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2883" documentId="11_9D5355BF84DCCE53631DEA188F31F45B3A7E0439" xr6:coauthVersionLast="47" xr6:coauthVersionMax="47" xr10:uidLastSave="{CE0A4B32-F5E6-43A4-8A24-CC49F8E8BF25}"/>
  <bookViews>
    <workbookView xWindow="25695" yWindow="0" windowWidth="26010" windowHeight="2098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3" i="2" l="1"/>
  <c r="E55" i="3"/>
  <c r="G55" i="3"/>
  <c r="J55" i="3"/>
  <c r="M55" i="3"/>
  <c r="P55" i="3"/>
  <c r="S55" i="3"/>
  <c r="V55" i="3"/>
  <c r="Y55" i="3"/>
  <c r="G213" i="2"/>
  <c r="J213" i="2"/>
  <c r="M213" i="2"/>
  <c r="P213" i="2"/>
  <c r="S213" i="2"/>
  <c r="V213" i="2"/>
  <c r="Y213" i="2"/>
  <c r="E227" i="2"/>
  <c r="BV75" i="7"/>
  <c r="BU75" i="7"/>
  <c r="CB74" i="7"/>
  <c r="CB75" i="7" s="1"/>
  <c r="CA74" i="7"/>
  <c r="CA75" i="7" s="1"/>
  <c r="BZ74" i="7"/>
  <c r="BZ75" i="7" s="1"/>
  <c r="BY74" i="7"/>
  <c r="BY75" i="7" s="1"/>
  <c r="BX74" i="7"/>
  <c r="BX75" i="7" s="1"/>
  <c r="BW74" i="7"/>
  <c r="BW75" i="7" s="1"/>
  <c r="BV74" i="7"/>
  <c r="BU74" i="7"/>
  <c r="BY79" i="6"/>
  <c r="BX79" i="6"/>
  <c r="BU79" i="6"/>
  <c r="CB78" i="6"/>
  <c r="CB79" i="6" s="1"/>
  <c r="CA78" i="6"/>
  <c r="CA79" i="6" s="1"/>
  <c r="BZ78" i="6"/>
  <c r="BZ79" i="6" s="1"/>
  <c r="BY78" i="6"/>
  <c r="BX78" i="6"/>
  <c r="BW78" i="6"/>
  <c r="BW79" i="6" s="1"/>
  <c r="BV78" i="6"/>
  <c r="BV79" i="6" s="1"/>
  <c r="BU78" i="6"/>
  <c r="BX80" i="5"/>
  <c r="BW80" i="5"/>
  <c r="BU80" i="5"/>
  <c r="CB79" i="5"/>
  <c r="CB80" i="5" s="1"/>
  <c r="CA79" i="5"/>
  <c r="CA80" i="5" s="1"/>
  <c r="BZ79" i="5"/>
  <c r="BZ80" i="5" s="1"/>
  <c r="BY79" i="5"/>
  <c r="BY80" i="5" s="1"/>
  <c r="BX79" i="5"/>
  <c r="BW79" i="5"/>
  <c r="BV79" i="5"/>
  <c r="BV80" i="5" s="1"/>
  <c r="BU79" i="5"/>
  <c r="BR79" i="7"/>
  <c r="BR80" i="7" s="1"/>
  <c r="BQ79" i="7"/>
  <c r="BQ80" i="7" s="1"/>
  <c r="BP79" i="7"/>
  <c r="BP80" i="7" s="1"/>
  <c r="BO79" i="7"/>
  <c r="BO80" i="7" s="1"/>
  <c r="BN79" i="7"/>
  <c r="BN80" i="7" s="1"/>
  <c r="BM79" i="7"/>
  <c r="BM80" i="7" s="1"/>
  <c r="BL79" i="7"/>
  <c r="BL80" i="7" s="1"/>
  <c r="BK79" i="7"/>
  <c r="BK80" i="7" s="1"/>
  <c r="BM79" i="6"/>
  <c r="BL79" i="6"/>
  <c r="BR78" i="6"/>
  <c r="BR79" i="6" s="1"/>
  <c r="BQ78" i="6"/>
  <c r="BQ79" i="6" s="1"/>
  <c r="BP78" i="6"/>
  <c r="BP79" i="6" s="1"/>
  <c r="BO78" i="6"/>
  <c r="BO79" i="6" s="1"/>
  <c r="BN78" i="6"/>
  <c r="BN79" i="6" s="1"/>
  <c r="BM78" i="6"/>
  <c r="BL78" i="6"/>
  <c r="BK78" i="6"/>
  <c r="BK79" i="6" s="1"/>
  <c r="BM70" i="5"/>
  <c r="BL70" i="5"/>
  <c r="BR69" i="5"/>
  <c r="BR70" i="5" s="1"/>
  <c r="BQ69" i="5"/>
  <c r="BQ70" i="5" s="1"/>
  <c r="BP69" i="5"/>
  <c r="BP70" i="5" s="1"/>
  <c r="BO69" i="5"/>
  <c r="BO70" i="5" s="1"/>
  <c r="BN69" i="5"/>
  <c r="BN70" i="5" s="1"/>
  <c r="BM69" i="5"/>
  <c r="BL69" i="5"/>
  <c r="BK69" i="5"/>
  <c r="BK70" i="5" s="1"/>
  <c r="BB80" i="7"/>
  <c r="BH79" i="7"/>
  <c r="BH80" i="7" s="1"/>
  <c r="BG79" i="7"/>
  <c r="BG80" i="7" s="1"/>
  <c r="BF79" i="7"/>
  <c r="BF80" i="7" s="1"/>
  <c r="BE79" i="7"/>
  <c r="BE80" i="7" s="1"/>
  <c r="BD79" i="7"/>
  <c r="BD80" i="7" s="1"/>
  <c r="BC79" i="7"/>
  <c r="BC80" i="7" s="1"/>
  <c r="BB79" i="7"/>
  <c r="BA79" i="7"/>
  <c r="BA80" i="7" s="1"/>
  <c r="BA79" i="6"/>
  <c r="BH78" i="6"/>
  <c r="BH79" i="6" s="1"/>
  <c r="BG78" i="6"/>
  <c r="BG79" i="6" s="1"/>
  <c r="BF78" i="6"/>
  <c r="BF79" i="6" s="1"/>
  <c r="BE78" i="6"/>
  <c r="BE79" i="6" s="1"/>
  <c r="BD78" i="6"/>
  <c r="BD79" i="6" s="1"/>
  <c r="BC78" i="6"/>
  <c r="BC79" i="6" s="1"/>
  <c r="BB78" i="6"/>
  <c r="BB79" i="6" s="1"/>
  <c r="BA78" i="6"/>
  <c r="BH69" i="5"/>
  <c r="BH70" i="5" s="1"/>
  <c r="BG69" i="5"/>
  <c r="BG70" i="5" s="1"/>
  <c r="BF69" i="5"/>
  <c r="BF70" i="5" s="1"/>
  <c r="BE69" i="5"/>
  <c r="BE70" i="5" s="1"/>
  <c r="BD69" i="5"/>
  <c r="BD70" i="5" s="1"/>
  <c r="BC69" i="5"/>
  <c r="BC70" i="5" s="1"/>
  <c r="BB69" i="5"/>
  <c r="BB70" i="5" s="1"/>
  <c r="BA69" i="5"/>
  <c r="BA70" i="5" s="1"/>
  <c r="AS80" i="7"/>
  <c r="AR80" i="7"/>
  <c r="AX79" i="7"/>
  <c r="AX80" i="7" s="1"/>
  <c r="AW79" i="7"/>
  <c r="AW80" i="7" s="1"/>
  <c r="AV79" i="7"/>
  <c r="AV80" i="7" s="1"/>
  <c r="AU79" i="7"/>
  <c r="AU80" i="7" s="1"/>
  <c r="AT79" i="7"/>
  <c r="AT80" i="7" s="1"/>
  <c r="AS79" i="7"/>
  <c r="AR79" i="7"/>
  <c r="AQ79" i="7"/>
  <c r="AQ80" i="7" s="1"/>
  <c r="AT79" i="6"/>
  <c r="AS79" i="6"/>
  <c r="AQ79" i="6"/>
  <c r="AX78" i="6"/>
  <c r="AX79" i="6" s="1"/>
  <c r="AW78" i="6"/>
  <c r="AW79" i="6" s="1"/>
  <c r="AV78" i="6"/>
  <c r="AV79" i="6" s="1"/>
  <c r="AU78" i="6"/>
  <c r="AU79" i="6" s="1"/>
  <c r="AT78" i="6"/>
  <c r="AS78" i="6"/>
  <c r="AR78" i="6"/>
  <c r="AR79" i="6" s="1"/>
  <c r="AQ78" i="6"/>
  <c r="AX79" i="5"/>
  <c r="AX80" i="5" s="1"/>
  <c r="AW79" i="5"/>
  <c r="AW80" i="5" s="1"/>
  <c r="AV79" i="5"/>
  <c r="AV80" i="5" s="1"/>
  <c r="AU79" i="5"/>
  <c r="AU80" i="5" s="1"/>
  <c r="AT79" i="5"/>
  <c r="AT80" i="5" s="1"/>
  <c r="AS79" i="5"/>
  <c r="AS80" i="5" s="1"/>
  <c r="AR79" i="5"/>
  <c r="AR80" i="5" s="1"/>
  <c r="AQ79" i="5"/>
  <c r="AQ80" i="5" s="1"/>
  <c r="CB78" i="4"/>
  <c r="CB79" i="4" s="1"/>
  <c r="CA78" i="4"/>
  <c r="CA79" i="4" s="1"/>
  <c r="BZ78" i="4"/>
  <c r="BZ79" i="4" s="1"/>
  <c r="BY78" i="4"/>
  <c r="BY79" i="4" s="1"/>
  <c r="BX78" i="4"/>
  <c r="BX79" i="4" s="1"/>
  <c r="BW78" i="4"/>
  <c r="BW79" i="4" s="1"/>
  <c r="BV78" i="4"/>
  <c r="BV79" i="4" s="1"/>
  <c r="BU78" i="4"/>
  <c r="BU79" i="4" s="1"/>
  <c r="BR78" i="4"/>
  <c r="BR79" i="4" s="1"/>
  <c r="BQ78" i="4"/>
  <c r="BQ79" i="4" s="1"/>
  <c r="BP78" i="4"/>
  <c r="BP79" i="4" s="1"/>
  <c r="BO78" i="4"/>
  <c r="BO79" i="4" s="1"/>
  <c r="BN78" i="4"/>
  <c r="BN79" i="4" s="1"/>
  <c r="BM78" i="4"/>
  <c r="BM79" i="4" s="1"/>
  <c r="BL78" i="4"/>
  <c r="BL79" i="4" s="1"/>
  <c r="BK78" i="4"/>
  <c r="BK79" i="4" s="1"/>
  <c r="BH78" i="4"/>
  <c r="BH79" i="4" s="1"/>
  <c r="BG78" i="4"/>
  <c r="BG79" i="4" s="1"/>
  <c r="BF78" i="4"/>
  <c r="BF79" i="4" s="1"/>
  <c r="BE78" i="4"/>
  <c r="BE79" i="4" s="1"/>
  <c r="BD78" i="4"/>
  <c r="BD79" i="4" s="1"/>
  <c r="BC78" i="4"/>
  <c r="BC79" i="4" s="1"/>
  <c r="BB78" i="4"/>
  <c r="BB79" i="4" s="1"/>
  <c r="BA78" i="4"/>
  <c r="BA79" i="4" s="1"/>
  <c r="AT79" i="4"/>
  <c r="AS79" i="4"/>
  <c r="AX78" i="4"/>
  <c r="AX79" i="4" s="1"/>
  <c r="AW78" i="4"/>
  <c r="AW79" i="4" s="1"/>
  <c r="AV78" i="4"/>
  <c r="AV79" i="4" s="1"/>
  <c r="AU78" i="4"/>
  <c r="AU79" i="4" s="1"/>
  <c r="AT78" i="4"/>
  <c r="AS78" i="4"/>
  <c r="AR78" i="4"/>
  <c r="AR79" i="4" s="1"/>
  <c r="AQ78" i="4"/>
  <c r="AQ79" i="4" s="1"/>
  <c r="CK80" i="3"/>
  <c r="CR79" i="3"/>
  <c r="CR80" i="3" s="1"/>
  <c r="CQ79" i="3"/>
  <c r="CQ80" i="3" s="1"/>
  <c r="CP79" i="3"/>
  <c r="CP80" i="3" s="1"/>
  <c r="CO79" i="3"/>
  <c r="CO80" i="3" s="1"/>
  <c r="CN79" i="3"/>
  <c r="CN80" i="3" s="1"/>
  <c r="CM79" i="3"/>
  <c r="CM80" i="3" s="1"/>
  <c r="CL79" i="3"/>
  <c r="CL80" i="3" s="1"/>
  <c r="CK79" i="3"/>
  <c r="CB30" i="3"/>
  <c r="CA30" i="3"/>
  <c r="CH29" i="3"/>
  <c r="CH30" i="3" s="1"/>
  <c r="CG29" i="3"/>
  <c r="CG30" i="3" s="1"/>
  <c r="CF29" i="3"/>
  <c r="CF30" i="3" s="1"/>
  <c r="CE29" i="3"/>
  <c r="CE30" i="3" s="1"/>
  <c r="CD29" i="3"/>
  <c r="CD30" i="3" s="1"/>
  <c r="CC29" i="3"/>
  <c r="CC30" i="3" s="1"/>
  <c r="CB29" i="3"/>
  <c r="CA29" i="3"/>
  <c r="BT35" i="3"/>
  <c r="BR35" i="3"/>
  <c r="BQ35" i="3"/>
  <c r="BX34" i="3"/>
  <c r="BX35" i="3" s="1"/>
  <c r="BW34" i="3"/>
  <c r="BW35" i="3" s="1"/>
  <c r="BV34" i="3"/>
  <c r="BV35" i="3" s="1"/>
  <c r="BU34" i="3"/>
  <c r="BU35" i="3" s="1"/>
  <c r="BT34" i="3"/>
  <c r="BS34" i="3"/>
  <c r="BS35" i="3" s="1"/>
  <c r="BR34" i="3"/>
  <c r="BQ34" i="3"/>
  <c r="GN78" i="2"/>
  <c r="GZ77" i="2"/>
  <c r="GZ78" i="2" s="1"/>
  <c r="GW77" i="2"/>
  <c r="GW78" i="2" s="1"/>
  <c r="GT77" i="2"/>
  <c r="GT78" i="2" s="1"/>
  <c r="GQ77" i="2"/>
  <c r="GQ78" i="2" s="1"/>
  <c r="GN77" i="2"/>
  <c r="GK77" i="2"/>
  <c r="GK78" i="2" s="1"/>
  <c r="GH77" i="2"/>
  <c r="GH78" i="2" s="1"/>
  <c r="GE77" i="2"/>
  <c r="GE78" i="2" s="1"/>
  <c r="FH78" i="2"/>
  <c r="FZ77" i="2"/>
  <c r="FZ78" i="2" s="1"/>
  <c r="FW77" i="2"/>
  <c r="FW78" i="2" s="1"/>
  <c r="FT77" i="2"/>
  <c r="FT78" i="2" s="1"/>
  <c r="FQ77" i="2"/>
  <c r="FQ78" i="2" s="1"/>
  <c r="FN77" i="2"/>
  <c r="FN78" i="2" s="1"/>
  <c r="FK77" i="2"/>
  <c r="FK78" i="2" s="1"/>
  <c r="FH77" i="2"/>
  <c r="FE77" i="2"/>
  <c r="FE78" i="2" s="1"/>
  <c r="EH78" i="2"/>
  <c r="EZ77" i="2"/>
  <c r="EZ78" i="2" s="1"/>
  <c r="EW77" i="2"/>
  <c r="EW78" i="2" s="1"/>
  <c r="ET77" i="2"/>
  <c r="ET78" i="2" s="1"/>
  <c r="EQ77" i="2"/>
  <c r="EQ78" i="2" s="1"/>
  <c r="EN77" i="2"/>
  <c r="EN78" i="2" s="1"/>
  <c r="EK77" i="2"/>
  <c r="EK78" i="2" s="1"/>
  <c r="EH77" i="2"/>
  <c r="EE77" i="2"/>
  <c r="EE78" i="2" s="1"/>
  <c r="DE78" i="2"/>
  <c r="DZ77" i="2"/>
  <c r="DZ78" i="2" s="1"/>
  <c r="DW77" i="2"/>
  <c r="DW78" i="2" s="1"/>
  <c r="DT77" i="2"/>
  <c r="DT78" i="2" s="1"/>
  <c r="DQ77" i="2"/>
  <c r="DQ78" i="2" s="1"/>
  <c r="DN77" i="2"/>
  <c r="DN78" i="2" s="1"/>
  <c r="DK77" i="2"/>
  <c r="DK78" i="2" s="1"/>
  <c r="DH77" i="2"/>
  <c r="DH78" i="2" s="1"/>
  <c r="DE77" i="2"/>
  <c r="AI70" i="7"/>
  <c r="AH70" i="7"/>
  <c r="AN69" i="7"/>
  <c r="AN70" i="7" s="1"/>
  <c r="AM69" i="7"/>
  <c r="AM70" i="7" s="1"/>
  <c r="AL69" i="7"/>
  <c r="AL70" i="7" s="1"/>
  <c r="AK69" i="7"/>
  <c r="AK70" i="7" s="1"/>
  <c r="AJ69" i="7"/>
  <c r="AJ70" i="7" s="1"/>
  <c r="AI69" i="7"/>
  <c r="AH69" i="7"/>
  <c r="AG69" i="7"/>
  <c r="AG70" i="7" s="1"/>
  <c r="AH130" i="6"/>
  <c r="AG130" i="6"/>
  <c r="AN129" i="6"/>
  <c r="AN130" i="6" s="1"/>
  <c r="AM129" i="6"/>
  <c r="AM130" i="6" s="1"/>
  <c r="AL129" i="6"/>
  <c r="AL130" i="6" s="1"/>
  <c r="AK129" i="6"/>
  <c r="AK130" i="6" s="1"/>
  <c r="AJ129" i="6"/>
  <c r="AJ130" i="6" s="1"/>
  <c r="AI129" i="6"/>
  <c r="AI130" i="6" s="1"/>
  <c r="AH129" i="6"/>
  <c r="AG129" i="6"/>
  <c r="AI70" i="5"/>
  <c r="AH70" i="5"/>
  <c r="AG70" i="5"/>
  <c r="AN69" i="5"/>
  <c r="AN70" i="5" s="1"/>
  <c r="AM69" i="5"/>
  <c r="AM70" i="5" s="1"/>
  <c r="AL69" i="5"/>
  <c r="AL70" i="5" s="1"/>
  <c r="AK69" i="5"/>
  <c r="AK70" i="5" s="1"/>
  <c r="AJ69" i="5"/>
  <c r="AJ70" i="5" s="1"/>
  <c r="AI69" i="5"/>
  <c r="AH69" i="5"/>
  <c r="AG69" i="5"/>
  <c r="AH139" i="4"/>
  <c r="AN138" i="4"/>
  <c r="AN139" i="4" s="1"/>
  <c r="AM138" i="4"/>
  <c r="AM139" i="4" s="1"/>
  <c r="AL138" i="4"/>
  <c r="AL139" i="4" s="1"/>
  <c r="AK138" i="4"/>
  <c r="AK139" i="4" s="1"/>
  <c r="AJ138" i="4"/>
  <c r="AJ139" i="4" s="1"/>
  <c r="AI138" i="4"/>
  <c r="AI139" i="4" s="1"/>
  <c r="AH138" i="4"/>
  <c r="AG138" i="4"/>
  <c r="AG139" i="4" s="1"/>
  <c r="AX75" i="3"/>
  <c r="AY75" i="3"/>
  <c r="AZ75" i="3"/>
  <c r="BA75" i="3"/>
  <c r="BB75" i="3"/>
  <c r="BC75" i="3"/>
  <c r="BD75" i="3"/>
  <c r="AW75" i="3"/>
  <c r="AX74" i="3"/>
  <c r="AY74" i="3"/>
  <c r="AZ74" i="3"/>
  <c r="BA74" i="3"/>
  <c r="BB74" i="3"/>
  <c r="BC74" i="3"/>
  <c r="BD74" i="3"/>
  <c r="AW74" i="3"/>
  <c r="CZ138" i="2"/>
  <c r="CT138" i="2"/>
  <c r="CN138" i="2"/>
  <c r="CK138" i="2"/>
  <c r="CH138" i="2"/>
  <c r="CE138" i="2"/>
  <c r="CQ138" i="2"/>
  <c r="CW138" i="2"/>
  <c r="CH137" i="2"/>
  <c r="CN137" i="2"/>
  <c r="CT137" i="2"/>
  <c r="CZ137" i="2"/>
  <c r="CK137" i="2"/>
  <c r="CQ137" i="2"/>
  <c r="CW137" i="2"/>
  <c r="CE137" i="2"/>
  <c r="Y64" i="7"/>
  <c r="AB64" i="7"/>
  <c r="AC65" i="7"/>
  <c r="AA65" i="7"/>
  <c r="Y65" i="7"/>
  <c r="W65" i="7"/>
  <c r="AD65" i="7"/>
  <c r="Z65" i="7"/>
  <c r="AD64" i="7"/>
  <c r="AC64" i="7"/>
  <c r="AB65" i="7"/>
  <c r="AA64" i="7"/>
  <c r="Z64" i="7"/>
  <c r="X64" i="7"/>
  <c r="X65" i="7" s="1"/>
  <c r="W64" i="7"/>
  <c r="Y279" i="6"/>
  <c r="W279" i="6"/>
  <c r="AD278" i="6"/>
  <c r="AD279" i="6" s="1"/>
  <c r="AC278" i="6"/>
  <c r="AC279" i="6" s="1"/>
  <c r="AB278" i="6"/>
  <c r="AB279" i="6" s="1"/>
  <c r="AA278" i="6"/>
  <c r="AA279" i="6" s="1"/>
  <c r="Z278" i="6"/>
  <c r="Z279" i="6" s="1"/>
  <c r="Y278" i="6"/>
  <c r="X278" i="6"/>
  <c r="X279" i="6" s="1"/>
  <c r="W278" i="6"/>
  <c r="AD69" i="5"/>
  <c r="AD70" i="5" s="1"/>
  <c r="AC69" i="5"/>
  <c r="AC70" i="5" s="1"/>
  <c r="AB69" i="5"/>
  <c r="AB70" i="5" s="1"/>
  <c r="AA69" i="5"/>
  <c r="AA70" i="5" s="1"/>
  <c r="Z69" i="5"/>
  <c r="Z70" i="5" s="1"/>
  <c r="Y69" i="5"/>
  <c r="Y70" i="5" s="1"/>
  <c r="X69" i="5"/>
  <c r="X70" i="5" s="1"/>
  <c r="W69" i="5"/>
  <c r="W70" i="5" s="1"/>
  <c r="X284" i="4"/>
  <c r="W284" i="4"/>
  <c r="AD283" i="4"/>
  <c r="AD284" i="4" s="1"/>
  <c r="AC283" i="4"/>
  <c r="AC284" i="4" s="1"/>
  <c r="AB283" i="4"/>
  <c r="AB284" i="4" s="1"/>
  <c r="AA283" i="4"/>
  <c r="AA284" i="4" s="1"/>
  <c r="Z283" i="4"/>
  <c r="Z284" i="4" s="1"/>
  <c r="Y283" i="4"/>
  <c r="Y284" i="4" s="1"/>
  <c r="X283" i="4"/>
  <c r="W283" i="4"/>
  <c r="AT69" i="3"/>
  <c r="AT70" i="3" s="1"/>
  <c r="AQ69" i="3"/>
  <c r="AO69" i="3"/>
  <c r="AO70" i="3" s="1"/>
  <c r="AM69" i="3"/>
  <c r="AM70" i="3" s="1"/>
  <c r="AQ70" i="3"/>
  <c r="AN69" i="3"/>
  <c r="AN70" i="3" s="1"/>
  <c r="AP69" i="3"/>
  <c r="AP70" i="3" s="1"/>
  <c r="AR69" i="3"/>
  <c r="AR70" i="3" s="1"/>
  <c r="AS69" i="3"/>
  <c r="AS70" i="3" s="1"/>
  <c r="BH273" i="2"/>
  <c r="BH272" i="2"/>
  <c r="BK272" i="2"/>
  <c r="BK273" i="2" s="1"/>
  <c r="BN272" i="2"/>
  <c r="BN273" i="2" s="1"/>
  <c r="BQ272" i="2"/>
  <c r="BQ273" i="2" s="1"/>
  <c r="BT272" i="2"/>
  <c r="BT273" i="2" s="1"/>
  <c r="BW272" i="2"/>
  <c r="BW273" i="2" s="1"/>
  <c r="BZ272" i="2"/>
  <c r="BZ273" i="2" s="1"/>
  <c r="BE272" i="2"/>
  <c r="BE273" i="2" s="1"/>
  <c r="T74" i="7"/>
  <c r="T75" i="7" s="1"/>
  <c r="S74" i="7"/>
  <c r="S75" i="7" s="1"/>
  <c r="R74" i="7"/>
  <c r="R75" i="7" s="1"/>
  <c r="Q74" i="7"/>
  <c r="Q75" i="7" s="1"/>
  <c r="P74" i="7"/>
  <c r="P75" i="7" s="1"/>
  <c r="O74" i="7"/>
  <c r="O75" i="7" s="1"/>
  <c r="N74" i="7"/>
  <c r="N75" i="7" s="1"/>
  <c r="M74" i="7"/>
  <c r="M75" i="7" s="1"/>
  <c r="N91" i="6"/>
  <c r="M91" i="6"/>
  <c r="T90" i="6"/>
  <c r="T91" i="6" s="1"/>
  <c r="S90" i="6"/>
  <c r="S91" i="6" s="1"/>
  <c r="R90" i="6"/>
  <c r="R91" i="6" s="1"/>
  <c r="Q90" i="6"/>
  <c r="Q91" i="6" s="1"/>
  <c r="P90" i="6"/>
  <c r="P91" i="6" s="1"/>
  <c r="O90" i="6"/>
  <c r="O91" i="6" s="1"/>
  <c r="N90" i="6"/>
  <c r="M90" i="6"/>
  <c r="N65" i="5"/>
  <c r="T64" i="5"/>
  <c r="T65" i="5" s="1"/>
  <c r="S64" i="5"/>
  <c r="S65" i="5" s="1"/>
  <c r="R64" i="5"/>
  <c r="R65" i="5" s="1"/>
  <c r="Q64" i="5"/>
  <c r="Q65" i="5" s="1"/>
  <c r="P64" i="5"/>
  <c r="P65" i="5" s="1"/>
  <c r="O64" i="5"/>
  <c r="O65" i="5" s="1"/>
  <c r="N64" i="5"/>
  <c r="M64" i="5"/>
  <c r="M65" i="5" s="1"/>
  <c r="T91" i="4"/>
  <c r="T92" i="4" s="1"/>
  <c r="S91" i="4"/>
  <c r="S92" i="4" s="1"/>
  <c r="R91" i="4"/>
  <c r="R92" i="4" s="1"/>
  <c r="Q91" i="4"/>
  <c r="Q92" i="4" s="1"/>
  <c r="P91" i="4"/>
  <c r="P92" i="4" s="1"/>
  <c r="O91" i="4"/>
  <c r="O92" i="4" s="1"/>
  <c r="N91" i="4"/>
  <c r="N92" i="4" s="1"/>
  <c r="M91" i="4"/>
  <c r="M92" i="4" s="1"/>
  <c r="AE65" i="3"/>
  <c r="AG65" i="3"/>
  <c r="AC65" i="3"/>
  <c r="AD64" i="3"/>
  <c r="AD65" i="3" s="1"/>
  <c r="AE64" i="3"/>
  <c r="AF64" i="3"/>
  <c r="AF65" i="3" s="1"/>
  <c r="AG64" i="3"/>
  <c r="AH64" i="3"/>
  <c r="AH65" i="3" s="1"/>
  <c r="AI64" i="3"/>
  <c r="AI65" i="3" s="1"/>
  <c r="AJ64" i="3"/>
  <c r="AJ65" i="3" s="1"/>
  <c r="AC64" i="3"/>
  <c r="AK90" i="2"/>
  <c r="AQ90" i="2"/>
  <c r="AE90" i="2"/>
  <c r="AH89" i="2"/>
  <c r="AH90" i="2" s="1"/>
  <c r="AK89" i="2"/>
  <c r="AN89" i="2"/>
  <c r="AN90" i="2" s="1"/>
  <c r="AQ89" i="2"/>
  <c r="AT89" i="2"/>
  <c r="AT90" i="2" s="1"/>
  <c r="AW89" i="2"/>
  <c r="AW90" i="2" s="1"/>
  <c r="AZ89" i="2"/>
  <c r="AZ90" i="2" s="1"/>
  <c r="AE89" i="2"/>
  <c r="I59" i="7"/>
  <c r="G59" i="7"/>
  <c r="E59" i="7"/>
  <c r="D60" i="7"/>
  <c r="G60" i="7"/>
  <c r="J60" i="7"/>
  <c r="E60" i="7"/>
  <c r="J59" i="7"/>
  <c r="I60" i="7"/>
  <c r="H59" i="7"/>
  <c r="H60" i="7" s="1"/>
  <c r="F59" i="7"/>
  <c r="F60" i="7" s="1"/>
  <c r="D59" i="7"/>
  <c r="C59" i="7"/>
  <c r="C60" i="7" s="1"/>
  <c r="C189" i="6"/>
  <c r="F189" i="6"/>
  <c r="I189" i="6"/>
  <c r="J190" i="6"/>
  <c r="F190" i="6"/>
  <c r="D190" i="6"/>
  <c r="H190" i="6"/>
  <c r="E190" i="6"/>
  <c r="C190" i="6"/>
  <c r="J189" i="6"/>
  <c r="I190" i="6"/>
  <c r="H189" i="6"/>
  <c r="G189" i="6"/>
  <c r="G190" i="6" s="1"/>
  <c r="E189" i="6"/>
  <c r="D189" i="6"/>
  <c r="E64" i="5"/>
  <c r="G64" i="5"/>
  <c r="I64" i="5"/>
  <c r="J65" i="5"/>
  <c r="G65" i="5"/>
  <c r="D65" i="5"/>
  <c r="C65" i="5"/>
  <c r="J64" i="5"/>
  <c r="I65" i="5"/>
  <c r="H64" i="5"/>
  <c r="H65" i="5" s="1"/>
  <c r="F64" i="5"/>
  <c r="F65" i="5" s="1"/>
  <c r="E65" i="5"/>
  <c r="D64" i="5"/>
  <c r="C64" i="5"/>
  <c r="E195" i="4"/>
  <c r="E196" i="4" s="1"/>
  <c r="G195" i="4"/>
  <c r="I195" i="4"/>
  <c r="J196" i="4"/>
  <c r="H196" i="4"/>
  <c r="D195" i="4"/>
  <c r="D196" i="4" s="1"/>
  <c r="F195" i="4"/>
  <c r="F196" i="4" s="1"/>
  <c r="G196" i="4"/>
  <c r="H195" i="4"/>
  <c r="I196" i="4"/>
  <c r="J195" i="4"/>
  <c r="C195" i="4"/>
  <c r="C196" i="4" s="1"/>
  <c r="E69" i="3"/>
  <c r="E68" i="3"/>
  <c r="E226" i="2"/>
  <c r="BW71" i="7"/>
  <c r="BU71" i="7"/>
  <c r="CB70" i="7"/>
  <c r="CB71" i="7" s="1"/>
  <c r="CA70" i="7"/>
  <c r="CA71" i="7" s="1"/>
  <c r="BZ70" i="7"/>
  <c r="BZ71" i="7" s="1"/>
  <c r="BY70" i="7"/>
  <c r="BY71" i="7" s="1"/>
  <c r="BX70" i="7"/>
  <c r="BX71" i="7" s="1"/>
  <c r="BW70" i="7"/>
  <c r="BV70" i="7"/>
  <c r="BV71" i="7" s="1"/>
  <c r="BU70" i="7"/>
  <c r="CB67" i="7"/>
  <c r="CA67" i="7"/>
  <c r="BZ67" i="7"/>
  <c r="BY67" i="7"/>
  <c r="BX67" i="7"/>
  <c r="BW67" i="7"/>
  <c r="CB66" i="7"/>
  <c r="CA66" i="7"/>
  <c r="BZ66" i="7"/>
  <c r="BY66" i="7"/>
  <c r="BX66" i="7"/>
  <c r="BW66" i="7"/>
  <c r="BV66" i="7"/>
  <c r="BV67" i="7" s="1"/>
  <c r="BU66" i="7"/>
  <c r="BU67" i="7" s="1"/>
  <c r="BU75" i="6"/>
  <c r="CB74" i="6"/>
  <c r="CB75" i="6" s="1"/>
  <c r="CA74" i="6"/>
  <c r="CA75" i="6" s="1"/>
  <c r="BZ74" i="6"/>
  <c r="BZ75" i="6" s="1"/>
  <c r="BY74" i="6"/>
  <c r="BY75" i="6" s="1"/>
  <c r="BX74" i="6"/>
  <c r="BX75" i="6" s="1"/>
  <c r="BW74" i="6"/>
  <c r="BW75" i="6" s="1"/>
  <c r="BV74" i="6"/>
  <c r="BV75" i="6" s="1"/>
  <c r="BU74" i="6"/>
  <c r="CB71" i="6"/>
  <c r="CA71" i="6"/>
  <c r="BZ71" i="6"/>
  <c r="BY71" i="6"/>
  <c r="BX71" i="6"/>
  <c r="BW71" i="6"/>
  <c r="BV71" i="6"/>
  <c r="CB70" i="6"/>
  <c r="CA70" i="6"/>
  <c r="BZ70" i="6"/>
  <c r="BY70" i="6"/>
  <c r="BX70" i="6"/>
  <c r="BW70" i="6"/>
  <c r="BV70" i="6"/>
  <c r="BU70" i="6"/>
  <c r="BU71" i="6" s="1"/>
  <c r="BW76" i="5"/>
  <c r="BV76" i="5"/>
  <c r="CB75" i="5"/>
  <c r="CB76" i="5" s="1"/>
  <c r="CA75" i="5"/>
  <c r="CA76" i="5" s="1"/>
  <c r="BZ75" i="5"/>
  <c r="BZ76" i="5" s="1"/>
  <c r="BY75" i="5"/>
  <c r="BY76" i="5" s="1"/>
  <c r="BX75" i="5"/>
  <c r="BX76" i="5" s="1"/>
  <c r="BW75" i="5"/>
  <c r="BV75" i="5"/>
  <c r="BU75" i="5"/>
  <c r="BU76" i="5" s="1"/>
  <c r="CB72" i="5"/>
  <c r="CA72" i="5"/>
  <c r="BZ72" i="5"/>
  <c r="BY72" i="5"/>
  <c r="BX72" i="5"/>
  <c r="BW72" i="5"/>
  <c r="CB71" i="5"/>
  <c r="CA71" i="5"/>
  <c r="BZ71" i="5"/>
  <c r="BY71" i="5"/>
  <c r="BX71" i="5"/>
  <c r="BW71" i="5"/>
  <c r="BV71" i="5"/>
  <c r="BV72" i="5" s="1"/>
  <c r="BU71" i="5"/>
  <c r="BU72" i="5" s="1"/>
  <c r="BU75" i="4"/>
  <c r="CB74" i="4"/>
  <c r="CB75" i="4" s="1"/>
  <c r="CA74" i="4"/>
  <c r="CA75" i="4" s="1"/>
  <c r="BZ74" i="4"/>
  <c r="BZ75" i="4" s="1"/>
  <c r="BY74" i="4"/>
  <c r="BY75" i="4" s="1"/>
  <c r="BX74" i="4"/>
  <c r="BX75" i="4" s="1"/>
  <c r="BW74" i="4"/>
  <c r="BW75" i="4" s="1"/>
  <c r="BV74" i="4"/>
  <c r="BV75" i="4" s="1"/>
  <c r="BU74" i="4"/>
  <c r="CA71" i="4"/>
  <c r="BZ71" i="4"/>
  <c r="BY71" i="4"/>
  <c r="CB70" i="4"/>
  <c r="CB71" i="4" s="1"/>
  <c r="CA70" i="4"/>
  <c r="BZ70" i="4"/>
  <c r="BY70" i="4"/>
  <c r="BX70" i="4"/>
  <c r="BX71" i="4" s="1"/>
  <c r="BW70" i="4"/>
  <c r="BW71" i="4" s="1"/>
  <c r="BV70" i="4"/>
  <c r="BV71" i="4" s="1"/>
  <c r="BU70" i="4"/>
  <c r="BU71" i="4" s="1"/>
  <c r="CM72" i="3"/>
  <c r="CL76" i="3"/>
  <c r="CM76" i="3"/>
  <c r="CN76" i="3"/>
  <c r="CO76" i="3"/>
  <c r="CP76" i="3"/>
  <c r="CQ76" i="3"/>
  <c r="CR76" i="3"/>
  <c r="CK76" i="3"/>
  <c r="CL75" i="3"/>
  <c r="CM75" i="3"/>
  <c r="CN75" i="3"/>
  <c r="CO75" i="3"/>
  <c r="CP75" i="3"/>
  <c r="CQ75" i="3"/>
  <c r="CR75" i="3"/>
  <c r="CK75" i="3"/>
  <c r="CL72" i="3"/>
  <c r="CN72" i="3"/>
  <c r="CO72" i="3"/>
  <c r="CP72" i="3"/>
  <c r="CQ72" i="3"/>
  <c r="CR72" i="3"/>
  <c r="CK72" i="3"/>
  <c r="CL71" i="3"/>
  <c r="CM71" i="3"/>
  <c r="CN71" i="3"/>
  <c r="CO71" i="3"/>
  <c r="CP71" i="3"/>
  <c r="CQ71" i="3"/>
  <c r="CR71" i="3"/>
  <c r="CK71" i="3"/>
  <c r="BR75" i="7"/>
  <c r="BR76" i="7" s="1"/>
  <c r="BQ75" i="7"/>
  <c r="BQ76" i="7" s="1"/>
  <c r="BP75" i="7"/>
  <c r="BP76" i="7" s="1"/>
  <c r="BO75" i="7"/>
  <c r="BO76" i="7" s="1"/>
  <c r="BN75" i="7"/>
  <c r="BN76" i="7" s="1"/>
  <c r="BM75" i="7"/>
  <c r="BM76" i="7" s="1"/>
  <c r="BL75" i="7"/>
  <c r="BL76" i="7" s="1"/>
  <c r="BK75" i="7"/>
  <c r="BK76" i="7" s="1"/>
  <c r="BR72" i="7"/>
  <c r="BQ72" i="7"/>
  <c r="BP72" i="7"/>
  <c r="BO72" i="7"/>
  <c r="BN72" i="7"/>
  <c r="BM72" i="7"/>
  <c r="BL72" i="7"/>
  <c r="BR71" i="7"/>
  <c r="BQ71" i="7"/>
  <c r="BP71" i="7"/>
  <c r="BO71" i="7"/>
  <c r="BN71" i="7"/>
  <c r="BM71" i="7"/>
  <c r="BL71" i="7"/>
  <c r="BK71" i="7"/>
  <c r="BK72" i="7" s="1"/>
  <c r="BM75" i="6"/>
  <c r="BK75" i="6"/>
  <c r="BR74" i="6"/>
  <c r="BR75" i="6" s="1"/>
  <c r="BQ74" i="6"/>
  <c r="BQ75" i="6" s="1"/>
  <c r="BP74" i="6"/>
  <c r="BP75" i="6" s="1"/>
  <c r="BO74" i="6"/>
  <c r="BO75" i="6" s="1"/>
  <c r="BN74" i="6"/>
  <c r="BN75" i="6" s="1"/>
  <c r="BM74" i="6"/>
  <c r="BL74" i="6"/>
  <c r="BL75" i="6" s="1"/>
  <c r="BK74" i="6"/>
  <c r="BR71" i="6"/>
  <c r="BQ71" i="6"/>
  <c r="BP71" i="6"/>
  <c r="BO71" i="6"/>
  <c r="BN71" i="6"/>
  <c r="BM71" i="6"/>
  <c r="BL71" i="6"/>
  <c r="BK71" i="6"/>
  <c r="BR70" i="6"/>
  <c r="BQ70" i="6"/>
  <c r="BP70" i="6"/>
  <c r="BO70" i="6"/>
  <c r="BN70" i="6"/>
  <c r="BM70" i="6"/>
  <c r="BL70" i="6"/>
  <c r="BK70" i="6"/>
  <c r="BM66" i="5"/>
  <c r="BL66" i="5"/>
  <c r="BR65" i="5"/>
  <c r="BR66" i="5" s="1"/>
  <c r="BQ65" i="5"/>
  <c r="BQ66" i="5" s="1"/>
  <c r="BP65" i="5"/>
  <c r="BP66" i="5" s="1"/>
  <c r="BO65" i="5"/>
  <c r="BO66" i="5" s="1"/>
  <c r="BN65" i="5"/>
  <c r="BN66" i="5" s="1"/>
  <c r="BM65" i="5"/>
  <c r="BL65" i="5"/>
  <c r="BK65" i="5"/>
  <c r="BK66" i="5" s="1"/>
  <c r="BR62" i="5"/>
  <c r="BQ62" i="5"/>
  <c r="BP62" i="5"/>
  <c r="BO62" i="5"/>
  <c r="BN62" i="5"/>
  <c r="BL62" i="5"/>
  <c r="BK62" i="5"/>
  <c r="BR61" i="5"/>
  <c r="BQ61" i="5"/>
  <c r="BP61" i="5"/>
  <c r="BO61" i="5"/>
  <c r="BN61" i="5"/>
  <c r="BM61" i="5"/>
  <c r="BM62" i="5" s="1"/>
  <c r="BL61" i="5"/>
  <c r="BK61" i="5"/>
  <c r="BR74" i="4"/>
  <c r="BR75" i="4" s="1"/>
  <c r="BQ74" i="4"/>
  <c r="BQ75" i="4" s="1"/>
  <c r="BP74" i="4"/>
  <c r="BP75" i="4" s="1"/>
  <c r="BO74" i="4"/>
  <c r="BO75" i="4" s="1"/>
  <c r="BN74" i="4"/>
  <c r="BN75" i="4" s="1"/>
  <c r="BM74" i="4"/>
  <c r="BM75" i="4" s="1"/>
  <c r="BL74" i="4"/>
  <c r="BL75" i="4" s="1"/>
  <c r="BK74" i="4"/>
  <c r="BK75" i="4" s="1"/>
  <c r="BP71" i="4"/>
  <c r="BN71" i="4"/>
  <c r="BM71" i="4"/>
  <c r="BR70" i="4"/>
  <c r="BR71" i="4" s="1"/>
  <c r="BQ70" i="4"/>
  <c r="BQ71" i="4" s="1"/>
  <c r="BP70" i="4"/>
  <c r="BO70" i="4"/>
  <c r="BO71" i="4" s="1"/>
  <c r="BN70" i="4"/>
  <c r="BM70" i="4"/>
  <c r="BL70" i="4"/>
  <c r="BL71" i="4" s="1"/>
  <c r="BK70" i="4"/>
  <c r="BK71" i="4" s="1"/>
  <c r="CA26" i="3"/>
  <c r="CH26" i="3"/>
  <c r="CC26" i="3"/>
  <c r="CA25" i="3"/>
  <c r="CD25" i="3"/>
  <c r="CE22" i="3"/>
  <c r="CH22" i="3"/>
  <c r="CG22" i="3"/>
  <c r="CD22" i="3"/>
  <c r="CA22" i="3"/>
  <c r="CB26" i="3"/>
  <c r="CD26" i="3"/>
  <c r="CE26" i="3"/>
  <c r="CF26" i="3"/>
  <c r="CG26" i="3"/>
  <c r="CB25" i="3"/>
  <c r="CC25" i="3"/>
  <c r="CE25" i="3"/>
  <c r="CF25" i="3"/>
  <c r="CG25" i="3"/>
  <c r="CH25" i="3"/>
  <c r="CB22" i="3"/>
  <c r="CC22" i="3"/>
  <c r="CF22" i="3"/>
  <c r="CB21" i="3"/>
  <c r="CC21" i="3"/>
  <c r="CD21" i="3"/>
  <c r="CE21" i="3"/>
  <c r="CF21" i="3"/>
  <c r="CG21" i="3"/>
  <c r="CH21" i="3"/>
  <c r="CA21" i="3"/>
  <c r="BB76" i="7"/>
  <c r="BA76" i="7"/>
  <c r="BH75" i="7"/>
  <c r="BH76" i="7" s="1"/>
  <c r="BG75" i="7"/>
  <c r="BG76" i="7" s="1"/>
  <c r="BF75" i="7"/>
  <c r="BF76" i="7" s="1"/>
  <c r="BE75" i="7"/>
  <c r="BE76" i="7" s="1"/>
  <c r="BD75" i="7"/>
  <c r="BD76" i="7" s="1"/>
  <c r="BC75" i="7"/>
  <c r="BC76" i="7" s="1"/>
  <c r="BB75" i="7"/>
  <c r="BA75" i="7"/>
  <c r="BH72" i="7"/>
  <c r="BG72" i="7"/>
  <c r="BF72" i="7"/>
  <c r="BE72" i="7"/>
  <c r="BD72" i="7"/>
  <c r="BC72" i="7"/>
  <c r="BB72" i="7"/>
  <c r="BH71" i="7"/>
  <c r="BG71" i="7"/>
  <c r="BF71" i="7"/>
  <c r="BE71" i="7"/>
  <c r="BD71" i="7"/>
  <c r="BC71" i="7"/>
  <c r="BB71" i="7"/>
  <c r="BA71" i="7"/>
  <c r="BA72" i="7" s="1"/>
  <c r="BC75" i="6"/>
  <c r="BA75" i="6"/>
  <c r="BH74" i="6"/>
  <c r="BH75" i="6" s="1"/>
  <c r="BG74" i="6"/>
  <c r="BG75" i="6" s="1"/>
  <c r="BF74" i="6"/>
  <c r="BF75" i="6" s="1"/>
  <c r="BE74" i="6"/>
  <c r="BE75" i="6" s="1"/>
  <c r="BD74" i="6"/>
  <c r="BD75" i="6" s="1"/>
  <c r="BC74" i="6"/>
  <c r="BB74" i="6"/>
  <c r="BB75" i="6" s="1"/>
  <c r="BA74" i="6"/>
  <c r="BH71" i="6"/>
  <c r="BG71" i="6"/>
  <c r="BF71" i="6"/>
  <c r="BE71" i="6"/>
  <c r="BD71" i="6"/>
  <c r="BC71" i="6"/>
  <c r="BB71" i="6"/>
  <c r="BH70" i="6"/>
  <c r="BG70" i="6"/>
  <c r="BF70" i="6"/>
  <c r="BE70" i="6"/>
  <c r="BD70" i="6"/>
  <c r="BC70" i="6"/>
  <c r="BB70" i="6"/>
  <c r="BA70" i="6"/>
  <c r="BA71" i="6" s="1"/>
  <c r="BD66" i="5"/>
  <c r="BC66" i="5"/>
  <c r="BA66" i="5"/>
  <c r="BH65" i="5"/>
  <c r="BH66" i="5" s="1"/>
  <c r="BG65" i="5"/>
  <c r="BG66" i="5" s="1"/>
  <c r="BF65" i="5"/>
  <c r="BF66" i="5" s="1"/>
  <c r="BE65" i="5"/>
  <c r="BE66" i="5" s="1"/>
  <c r="BD65" i="5"/>
  <c r="BC65" i="5"/>
  <c r="BB65" i="5"/>
  <c r="BB66" i="5" s="1"/>
  <c r="BA65" i="5"/>
  <c r="BH62" i="5"/>
  <c r="BG62" i="5"/>
  <c r="BF62" i="5"/>
  <c r="BE62" i="5"/>
  <c r="BD62" i="5"/>
  <c r="BC62" i="5"/>
  <c r="BB62" i="5"/>
  <c r="BA62" i="5"/>
  <c r="BH61" i="5"/>
  <c r="BG61" i="5"/>
  <c r="BF61" i="5"/>
  <c r="BE61" i="5"/>
  <c r="BD61" i="5"/>
  <c r="BC61" i="5"/>
  <c r="BB61" i="5"/>
  <c r="BA61" i="5"/>
  <c r="BC75" i="4"/>
  <c r="BH74" i="4"/>
  <c r="BH75" i="4" s="1"/>
  <c r="BG74" i="4"/>
  <c r="BG75" i="4" s="1"/>
  <c r="BF74" i="4"/>
  <c r="BF75" i="4" s="1"/>
  <c r="BE74" i="4"/>
  <c r="BE75" i="4" s="1"/>
  <c r="BD74" i="4"/>
  <c r="BD75" i="4" s="1"/>
  <c r="BC74" i="4"/>
  <c r="BB74" i="4"/>
  <c r="BB75" i="4" s="1"/>
  <c r="BA74" i="4"/>
  <c r="BA75" i="4" s="1"/>
  <c r="BF71" i="4"/>
  <c r="BE71" i="4"/>
  <c r="BD71" i="4"/>
  <c r="BH70" i="4"/>
  <c r="BH71" i="4" s="1"/>
  <c r="BG70" i="4"/>
  <c r="BG71" i="4" s="1"/>
  <c r="BF70" i="4"/>
  <c r="BE70" i="4"/>
  <c r="BD70" i="4"/>
  <c r="BC70" i="4"/>
  <c r="BC71" i="4" s="1"/>
  <c r="BB70" i="4"/>
  <c r="BB71" i="4" s="1"/>
  <c r="BA70" i="4"/>
  <c r="BA71" i="4" s="1"/>
  <c r="BR31" i="3"/>
  <c r="BS31" i="3"/>
  <c r="BT31" i="3"/>
  <c r="BU31" i="3"/>
  <c r="BV31" i="3"/>
  <c r="BW31" i="3"/>
  <c r="BX31" i="3"/>
  <c r="BQ31" i="3"/>
  <c r="BR30" i="3"/>
  <c r="BS30" i="3"/>
  <c r="BT30" i="3"/>
  <c r="BU30" i="3"/>
  <c r="BV30" i="3"/>
  <c r="BW30" i="3"/>
  <c r="BX30" i="3"/>
  <c r="BQ30" i="3"/>
  <c r="BR27" i="3"/>
  <c r="BS27" i="3"/>
  <c r="BT27" i="3"/>
  <c r="BU27" i="3"/>
  <c r="BV27" i="3"/>
  <c r="BW27" i="3"/>
  <c r="BX27" i="3"/>
  <c r="BQ27" i="3"/>
  <c r="BR26" i="3"/>
  <c r="BS26" i="3"/>
  <c r="BT26" i="3"/>
  <c r="BU26" i="3"/>
  <c r="BV26" i="3"/>
  <c r="BW26" i="3"/>
  <c r="BX26" i="3"/>
  <c r="BQ26" i="3"/>
  <c r="AQ76" i="7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4" i="6"/>
  <c r="AX75" i="6" s="1"/>
  <c r="AW74" i="6"/>
  <c r="AW75" i="6" s="1"/>
  <c r="AV74" i="6"/>
  <c r="AV75" i="6" s="1"/>
  <c r="AU74" i="6"/>
  <c r="AU75" i="6" s="1"/>
  <c r="AT74" i="6"/>
  <c r="AT75" i="6" s="1"/>
  <c r="AS74" i="6"/>
  <c r="AS75" i="6" s="1"/>
  <c r="AR74" i="6"/>
  <c r="AR75" i="6" s="1"/>
  <c r="AQ74" i="6"/>
  <c r="AQ75" i="6" s="1"/>
  <c r="AX71" i="6"/>
  <c r="AW71" i="6"/>
  <c r="AV71" i="6"/>
  <c r="AU71" i="6"/>
  <c r="AT71" i="6"/>
  <c r="AS71" i="6"/>
  <c r="AR71" i="6"/>
  <c r="AQ71" i="6"/>
  <c r="AX70" i="6"/>
  <c r="AW70" i="6"/>
  <c r="AV70" i="6"/>
  <c r="AU70" i="6"/>
  <c r="AT70" i="6"/>
  <c r="AS70" i="6"/>
  <c r="AR70" i="6"/>
  <c r="AQ70" i="6"/>
  <c r="AX75" i="5"/>
  <c r="AX76" i="5" s="1"/>
  <c r="AW75" i="5"/>
  <c r="AW76" i="5" s="1"/>
  <c r="AV75" i="5"/>
  <c r="AV76" i="5" s="1"/>
  <c r="AU75" i="5"/>
  <c r="AU76" i="5" s="1"/>
  <c r="AT75" i="5"/>
  <c r="AT76" i="5" s="1"/>
  <c r="AS75" i="5"/>
  <c r="AS76" i="5" s="1"/>
  <c r="AR75" i="5"/>
  <c r="AR76" i="5" s="1"/>
  <c r="AQ75" i="5"/>
  <c r="AQ76" i="5" s="1"/>
  <c r="AX72" i="5"/>
  <c r="AW72" i="5"/>
  <c r="AV72" i="5"/>
  <c r="AU72" i="5"/>
  <c r="AT72" i="5"/>
  <c r="AS72" i="5"/>
  <c r="AR72" i="5"/>
  <c r="AX71" i="5"/>
  <c r="AW71" i="5"/>
  <c r="AV71" i="5"/>
  <c r="AU71" i="5"/>
  <c r="AT71" i="5"/>
  <c r="AS71" i="5"/>
  <c r="AR71" i="5"/>
  <c r="AQ71" i="5"/>
  <c r="AQ72" i="5" s="1"/>
  <c r="AU75" i="4"/>
  <c r="AV75" i="4"/>
  <c r="AR74" i="4"/>
  <c r="AR75" i="4" s="1"/>
  <c r="AS74" i="4"/>
  <c r="AS75" i="4" s="1"/>
  <c r="AT74" i="4"/>
  <c r="AT75" i="4" s="1"/>
  <c r="AU74" i="4"/>
  <c r="AV74" i="4"/>
  <c r="AW74" i="4"/>
  <c r="AW75" i="4" s="1"/>
  <c r="AX74" i="4"/>
  <c r="AX75" i="4" s="1"/>
  <c r="AQ74" i="4"/>
  <c r="AQ75" i="4" s="1"/>
  <c r="AS71" i="4"/>
  <c r="AT71" i="4"/>
  <c r="AW71" i="4"/>
  <c r="AR70" i="4"/>
  <c r="AR71" i="4" s="1"/>
  <c r="AS70" i="4"/>
  <c r="AT70" i="4"/>
  <c r="AU70" i="4"/>
  <c r="AU71" i="4" s="1"/>
  <c r="AV70" i="4"/>
  <c r="AV71" i="4" s="1"/>
  <c r="AW70" i="4"/>
  <c r="AX70" i="4"/>
  <c r="AX71" i="4" s="1"/>
  <c r="AQ70" i="4"/>
  <c r="AQ71" i="4" s="1"/>
  <c r="AN65" i="7"/>
  <c r="AN66" i="7" s="1"/>
  <c r="AM65" i="7"/>
  <c r="AM66" i="7" s="1"/>
  <c r="AL65" i="7"/>
  <c r="AL66" i="7" s="1"/>
  <c r="AK65" i="7"/>
  <c r="AK66" i="7" s="1"/>
  <c r="AJ65" i="7"/>
  <c r="AJ66" i="7" s="1"/>
  <c r="AI65" i="7"/>
  <c r="AI66" i="7" s="1"/>
  <c r="AH65" i="7"/>
  <c r="AH66" i="7" s="1"/>
  <c r="AG65" i="7"/>
  <c r="AG66" i="7" s="1"/>
  <c r="AN62" i="7"/>
  <c r="AM62" i="7"/>
  <c r="AL62" i="7"/>
  <c r="AK62" i="7"/>
  <c r="AJ62" i="7"/>
  <c r="AI62" i="7"/>
  <c r="AH62" i="7"/>
  <c r="AG62" i="7"/>
  <c r="AN61" i="7"/>
  <c r="AM61" i="7"/>
  <c r="AL61" i="7"/>
  <c r="AK61" i="7"/>
  <c r="AJ61" i="7"/>
  <c r="AI61" i="7"/>
  <c r="AH61" i="7"/>
  <c r="AG61" i="7"/>
  <c r="AG126" i="6"/>
  <c r="AN125" i="6"/>
  <c r="AN126" i="6" s="1"/>
  <c r="AM125" i="6"/>
  <c r="AM126" i="6" s="1"/>
  <c r="AL125" i="6"/>
  <c r="AL126" i="6" s="1"/>
  <c r="AK125" i="6"/>
  <c r="AK126" i="6" s="1"/>
  <c r="AJ125" i="6"/>
  <c r="AJ126" i="6" s="1"/>
  <c r="AI125" i="6"/>
  <c r="AI126" i="6" s="1"/>
  <c r="AH125" i="6"/>
  <c r="AH126" i="6" s="1"/>
  <c r="AG125" i="6"/>
  <c r="AN122" i="6"/>
  <c r="AM122" i="6"/>
  <c r="AL122" i="6"/>
  <c r="AK122" i="6"/>
  <c r="AJ122" i="6"/>
  <c r="AI122" i="6"/>
  <c r="AH122" i="6"/>
  <c r="AN121" i="6"/>
  <c r="AM121" i="6"/>
  <c r="AL121" i="6"/>
  <c r="AK121" i="6"/>
  <c r="AJ121" i="6"/>
  <c r="AI121" i="6"/>
  <c r="AH121" i="6"/>
  <c r="AG121" i="6"/>
  <c r="AG122" i="6" s="1"/>
  <c r="AJ66" i="5"/>
  <c r="AI66" i="5"/>
  <c r="AH66" i="5"/>
  <c r="AG66" i="5"/>
  <c r="AN65" i="5"/>
  <c r="AN66" i="5" s="1"/>
  <c r="AM65" i="5"/>
  <c r="AM66" i="5" s="1"/>
  <c r="AL65" i="5"/>
  <c r="AL66" i="5" s="1"/>
  <c r="AK65" i="5"/>
  <c r="AK66" i="5" s="1"/>
  <c r="AJ65" i="5"/>
  <c r="AI65" i="5"/>
  <c r="AH65" i="5"/>
  <c r="AG65" i="5"/>
  <c r="AN62" i="5"/>
  <c r="AM62" i="5"/>
  <c r="AL62" i="5"/>
  <c r="AK62" i="5"/>
  <c r="AJ62" i="5"/>
  <c r="AI62" i="5"/>
  <c r="AH62" i="5"/>
  <c r="AN61" i="5"/>
  <c r="AM61" i="5"/>
  <c r="AL61" i="5"/>
  <c r="AK61" i="5"/>
  <c r="AJ61" i="5"/>
  <c r="AI61" i="5"/>
  <c r="AH61" i="5"/>
  <c r="AG61" i="5"/>
  <c r="AG62" i="5" s="1"/>
  <c r="AN134" i="4"/>
  <c r="AN135" i="4" s="1"/>
  <c r="AM134" i="4"/>
  <c r="AM135" i="4" s="1"/>
  <c r="AL134" i="4"/>
  <c r="AL135" i="4" s="1"/>
  <c r="AK134" i="4"/>
  <c r="AK135" i="4" s="1"/>
  <c r="AJ134" i="4"/>
  <c r="AJ135" i="4" s="1"/>
  <c r="AI134" i="4"/>
  <c r="AI135" i="4" s="1"/>
  <c r="AH134" i="4"/>
  <c r="AH135" i="4" s="1"/>
  <c r="AG134" i="4"/>
  <c r="AG135" i="4" s="1"/>
  <c r="AI131" i="4"/>
  <c r="AN130" i="4"/>
  <c r="AN131" i="4" s="1"/>
  <c r="AM130" i="4"/>
  <c r="AM131" i="4" s="1"/>
  <c r="AL130" i="4"/>
  <c r="AL131" i="4" s="1"/>
  <c r="AK130" i="4"/>
  <c r="AK131" i="4" s="1"/>
  <c r="AJ130" i="4"/>
  <c r="AJ131" i="4" s="1"/>
  <c r="AI130" i="4"/>
  <c r="AH130" i="4"/>
  <c r="AH131" i="4" s="1"/>
  <c r="AG130" i="4"/>
  <c r="AG131" i="4" s="1"/>
  <c r="AX71" i="3"/>
  <c r="AY71" i="3"/>
  <c r="AZ71" i="3"/>
  <c r="BA71" i="3"/>
  <c r="BB71" i="3"/>
  <c r="BC71" i="3"/>
  <c r="BD71" i="3"/>
  <c r="AW71" i="3"/>
  <c r="AX70" i="3"/>
  <c r="AY70" i="3"/>
  <c r="AZ70" i="3"/>
  <c r="BA70" i="3"/>
  <c r="BB70" i="3"/>
  <c r="BC70" i="3"/>
  <c r="BD70" i="3"/>
  <c r="AW70" i="3"/>
  <c r="AX67" i="3"/>
  <c r="AY67" i="3"/>
  <c r="AZ67" i="3"/>
  <c r="BA67" i="3"/>
  <c r="BB67" i="3"/>
  <c r="BC67" i="3"/>
  <c r="BD67" i="3"/>
  <c r="AW67" i="3"/>
  <c r="AX66" i="3"/>
  <c r="AY66" i="3"/>
  <c r="AZ66" i="3"/>
  <c r="BA66" i="3"/>
  <c r="BB66" i="3"/>
  <c r="BC66" i="3"/>
  <c r="BD66" i="3"/>
  <c r="AW66" i="3"/>
  <c r="Y61" i="7"/>
  <c r="W61" i="7"/>
  <c r="AD60" i="7"/>
  <c r="AD61" i="7" s="1"/>
  <c r="AC60" i="7"/>
  <c r="AC61" i="7" s="1"/>
  <c r="AB60" i="7"/>
  <c r="AB61" i="7" s="1"/>
  <c r="AA60" i="7"/>
  <c r="AA61" i="7" s="1"/>
  <c r="Z60" i="7"/>
  <c r="Z61" i="7" s="1"/>
  <c r="Y60" i="7"/>
  <c r="X60" i="7"/>
  <c r="X61" i="7" s="1"/>
  <c r="W60" i="7"/>
  <c r="AD57" i="7"/>
  <c r="AC57" i="7"/>
  <c r="AB57" i="7"/>
  <c r="AA57" i="7"/>
  <c r="Z57" i="7"/>
  <c r="Y57" i="7"/>
  <c r="X57" i="7"/>
  <c r="AD56" i="7"/>
  <c r="AC56" i="7"/>
  <c r="AB56" i="7"/>
  <c r="AA56" i="7"/>
  <c r="Z56" i="7"/>
  <c r="Y56" i="7"/>
  <c r="X56" i="7"/>
  <c r="W56" i="7"/>
  <c r="W57" i="7" s="1"/>
  <c r="AD274" i="6"/>
  <c r="AD275" i="6" s="1"/>
  <c r="AC274" i="6"/>
  <c r="AC275" i="6" s="1"/>
  <c r="AB274" i="6"/>
  <c r="AB275" i="6" s="1"/>
  <c r="AA274" i="6"/>
  <c r="AA275" i="6" s="1"/>
  <c r="Z274" i="6"/>
  <c r="Z275" i="6" s="1"/>
  <c r="Y274" i="6"/>
  <c r="Y275" i="6" s="1"/>
  <c r="X274" i="6"/>
  <c r="X275" i="6" s="1"/>
  <c r="W274" i="6"/>
  <c r="W275" i="6" s="1"/>
  <c r="AD271" i="6"/>
  <c r="AC271" i="6"/>
  <c r="AB271" i="6"/>
  <c r="AA271" i="6"/>
  <c r="Z271" i="6"/>
  <c r="Y271" i="6"/>
  <c r="X271" i="6"/>
  <c r="AD270" i="6"/>
  <c r="AC270" i="6"/>
  <c r="AB270" i="6"/>
  <c r="AA270" i="6"/>
  <c r="Z270" i="6"/>
  <c r="Y270" i="6"/>
  <c r="X270" i="6"/>
  <c r="W270" i="6"/>
  <c r="W271" i="6" s="1"/>
  <c r="AB66" i="5"/>
  <c r="W66" i="5"/>
  <c r="AD65" i="5"/>
  <c r="AD66" i="5" s="1"/>
  <c r="AC65" i="5"/>
  <c r="AC66" i="5" s="1"/>
  <c r="AB65" i="5"/>
  <c r="AA65" i="5"/>
  <c r="AA66" i="5" s="1"/>
  <c r="Z65" i="5"/>
  <c r="Z66" i="5" s="1"/>
  <c r="Y65" i="5"/>
  <c r="Y66" i="5" s="1"/>
  <c r="X65" i="5"/>
  <c r="X66" i="5" s="1"/>
  <c r="W65" i="5"/>
  <c r="AD62" i="5"/>
  <c r="AC62" i="5"/>
  <c r="AA62" i="5"/>
  <c r="Z62" i="5"/>
  <c r="Y62" i="5"/>
  <c r="X62" i="5"/>
  <c r="W62" i="5"/>
  <c r="AD61" i="5"/>
  <c r="AC61" i="5"/>
  <c r="AB61" i="5"/>
  <c r="AB62" i="5" s="1"/>
  <c r="AA61" i="5"/>
  <c r="Z61" i="5"/>
  <c r="Y61" i="5"/>
  <c r="X61" i="5"/>
  <c r="W61" i="5"/>
  <c r="AD279" i="4"/>
  <c r="AD280" i="4" s="1"/>
  <c r="AC279" i="4"/>
  <c r="AC280" i="4" s="1"/>
  <c r="AB279" i="4"/>
  <c r="AB280" i="4" s="1"/>
  <c r="AA279" i="4"/>
  <c r="AA280" i="4" s="1"/>
  <c r="Z279" i="4"/>
  <c r="Z280" i="4" s="1"/>
  <c r="Y279" i="4"/>
  <c r="Y280" i="4" s="1"/>
  <c r="X279" i="4"/>
  <c r="X280" i="4" s="1"/>
  <c r="W279" i="4"/>
  <c r="W280" i="4" s="1"/>
  <c r="AB276" i="4"/>
  <c r="AD275" i="4"/>
  <c r="AD276" i="4" s="1"/>
  <c r="AC275" i="4"/>
  <c r="AC276" i="4" s="1"/>
  <c r="AB275" i="4"/>
  <c r="AA275" i="4"/>
  <c r="AA276" i="4" s="1"/>
  <c r="Z275" i="4"/>
  <c r="Z276" i="4" s="1"/>
  <c r="Y275" i="4"/>
  <c r="Y276" i="4" s="1"/>
  <c r="X275" i="4"/>
  <c r="X276" i="4" s="1"/>
  <c r="W275" i="4"/>
  <c r="W276" i="4" s="1"/>
  <c r="M88" i="4"/>
  <c r="AT66" i="3"/>
  <c r="AR66" i="3"/>
  <c r="AO66" i="3"/>
  <c r="AO65" i="3"/>
  <c r="AQ66" i="3"/>
  <c r="AS66" i="3"/>
  <c r="AM66" i="3"/>
  <c r="AS65" i="3"/>
  <c r="AQ65" i="3"/>
  <c r="AM65" i="3"/>
  <c r="AS62" i="3"/>
  <c r="AQ62" i="3"/>
  <c r="AO62" i="3"/>
  <c r="AM62" i="3"/>
  <c r="AS61" i="3"/>
  <c r="AQ61" i="3"/>
  <c r="AO61" i="3"/>
  <c r="AM61" i="3"/>
  <c r="AT65" i="3"/>
  <c r="AR65" i="3"/>
  <c r="AP65" i="3"/>
  <c r="AP66" i="3" s="1"/>
  <c r="AN65" i="3"/>
  <c r="AN66" i="3" s="1"/>
  <c r="AT61" i="3"/>
  <c r="AT62" i="3" s="1"/>
  <c r="AR61" i="3"/>
  <c r="AR62" i="3" s="1"/>
  <c r="AP61" i="3"/>
  <c r="AP62" i="3" s="1"/>
  <c r="AN61" i="3"/>
  <c r="AN62" i="3" s="1"/>
  <c r="T70" i="7"/>
  <c r="T71" i="7" s="1"/>
  <c r="S70" i="7"/>
  <c r="S71" i="7" s="1"/>
  <c r="R70" i="7"/>
  <c r="R71" i="7" s="1"/>
  <c r="Q70" i="7"/>
  <c r="Q71" i="7" s="1"/>
  <c r="P70" i="7"/>
  <c r="P71" i="7" s="1"/>
  <c r="O70" i="7"/>
  <c r="O71" i="7" s="1"/>
  <c r="N70" i="7"/>
  <c r="N71" i="7" s="1"/>
  <c r="M70" i="7"/>
  <c r="M71" i="7" s="1"/>
  <c r="T66" i="7"/>
  <c r="T67" i="7" s="1"/>
  <c r="S66" i="7"/>
  <c r="S67" i="7" s="1"/>
  <c r="R66" i="7"/>
  <c r="R67" i="7" s="1"/>
  <c r="Q66" i="7"/>
  <c r="Q67" i="7" s="1"/>
  <c r="P66" i="7"/>
  <c r="P67" i="7" s="1"/>
  <c r="O66" i="7"/>
  <c r="O67" i="7" s="1"/>
  <c r="N66" i="7"/>
  <c r="N67" i="7" s="1"/>
  <c r="M66" i="7"/>
  <c r="M67" i="7" s="1"/>
  <c r="T86" i="6"/>
  <c r="T87" i="6" s="1"/>
  <c r="S86" i="6"/>
  <c r="S87" i="6" s="1"/>
  <c r="R86" i="6"/>
  <c r="R87" i="6" s="1"/>
  <c r="Q86" i="6"/>
  <c r="Q87" i="6" s="1"/>
  <c r="P86" i="6"/>
  <c r="P87" i="6" s="1"/>
  <c r="O86" i="6"/>
  <c r="O87" i="6" s="1"/>
  <c r="N86" i="6"/>
  <c r="N87" i="6" s="1"/>
  <c r="M86" i="6"/>
  <c r="M87" i="6" s="1"/>
  <c r="T82" i="6"/>
  <c r="T83" i="6" s="1"/>
  <c r="S82" i="6"/>
  <c r="S83" i="6" s="1"/>
  <c r="R82" i="6"/>
  <c r="R83" i="6" s="1"/>
  <c r="Q82" i="6"/>
  <c r="Q83" i="6" s="1"/>
  <c r="P82" i="6"/>
  <c r="P83" i="6" s="1"/>
  <c r="O82" i="6"/>
  <c r="O83" i="6" s="1"/>
  <c r="N82" i="6"/>
  <c r="N83" i="6" s="1"/>
  <c r="M82" i="6"/>
  <c r="M83" i="6" s="1"/>
  <c r="T60" i="5"/>
  <c r="T61" i="5" s="1"/>
  <c r="S60" i="5"/>
  <c r="S61" i="5" s="1"/>
  <c r="R60" i="5"/>
  <c r="R61" i="5" s="1"/>
  <c r="Q60" i="5"/>
  <c r="Q61" i="5" s="1"/>
  <c r="P60" i="5"/>
  <c r="P61" i="5" s="1"/>
  <c r="O60" i="5"/>
  <c r="O61" i="5" s="1"/>
  <c r="N60" i="5"/>
  <c r="N61" i="5" s="1"/>
  <c r="M60" i="5"/>
  <c r="M61" i="5" s="1"/>
  <c r="T56" i="5"/>
  <c r="T57" i="5" s="1"/>
  <c r="S56" i="5"/>
  <c r="S57" i="5" s="1"/>
  <c r="R56" i="5"/>
  <c r="R57" i="5" s="1"/>
  <c r="Q56" i="5"/>
  <c r="Q57" i="5" s="1"/>
  <c r="P56" i="5"/>
  <c r="P57" i="5" s="1"/>
  <c r="O56" i="5"/>
  <c r="O57" i="5" s="1"/>
  <c r="N56" i="5"/>
  <c r="N57" i="5" s="1"/>
  <c r="M56" i="5"/>
  <c r="M57" i="5" s="1"/>
  <c r="T87" i="4"/>
  <c r="T88" i="4" s="1"/>
  <c r="S87" i="4"/>
  <c r="S88" i="4" s="1"/>
  <c r="R87" i="4"/>
  <c r="R88" i="4" s="1"/>
  <c r="Q87" i="4"/>
  <c r="Q88" i="4" s="1"/>
  <c r="P87" i="4"/>
  <c r="P88" i="4" s="1"/>
  <c r="O87" i="4"/>
  <c r="O88" i="4" s="1"/>
  <c r="N87" i="4"/>
  <c r="N88" i="4" s="1"/>
  <c r="M87" i="4"/>
  <c r="T83" i="4"/>
  <c r="T84" i="4" s="1"/>
  <c r="S83" i="4"/>
  <c r="S84" i="4" s="1"/>
  <c r="R83" i="4"/>
  <c r="R84" i="4" s="1"/>
  <c r="Q83" i="4"/>
  <c r="Q84" i="4" s="1"/>
  <c r="P83" i="4"/>
  <c r="P84" i="4" s="1"/>
  <c r="O83" i="4"/>
  <c r="O84" i="4" s="1"/>
  <c r="N83" i="4"/>
  <c r="N84" i="4" s="1"/>
  <c r="M83" i="4"/>
  <c r="M84" i="4" s="1"/>
  <c r="AJ57" i="3"/>
  <c r="AD57" i="3"/>
  <c r="AE57" i="3"/>
  <c r="AF57" i="3"/>
  <c r="AG57" i="3"/>
  <c r="AH57" i="3"/>
  <c r="AI57" i="3"/>
  <c r="AC57" i="3"/>
  <c r="AJ60" i="3"/>
  <c r="AG60" i="3"/>
  <c r="AC60" i="3"/>
  <c r="AD61" i="3"/>
  <c r="AF61" i="3"/>
  <c r="AH61" i="3"/>
  <c r="AJ61" i="3"/>
  <c r="AE61" i="3"/>
  <c r="AG61" i="3"/>
  <c r="AI61" i="3"/>
  <c r="AC61" i="3"/>
  <c r="AD60" i="3"/>
  <c r="AE60" i="3"/>
  <c r="AF60" i="3"/>
  <c r="AH60" i="3"/>
  <c r="AI60" i="3"/>
  <c r="J56" i="7"/>
  <c r="G56" i="7"/>
  <c r="D56" i="7"/>
  <c r="J55" i="7"/>
  <c r="F55" i="7"/>
  <c r="C55" i="7"/>
  <c r="G186" i="6"/>
  <c r="D186" i="6"/>
  <c r="J185" i="6"/>
  <c r="G185" i="6"/>
  <c r="C185" i="6"/>
  <c r="J181" i="6"/>
  <c r="G181" i="6"/>
  <c r="C181" i="6"/>
  <c r="I55" i="7"/>
  <c r="I56" i="7" s="1"/>
  <c r="H55" i="7"/>
  <c r="H56" i="7" s="1"/>
  <c r="G55" i="7"/>
  <c r="F56" i="7"/>
  <c r="E55" i="7"/>
  <c r="E56" i="7" s="1"/>
  <c r="D55" i="7"/>
  <c r="C56" i="7"/>
  <c r="J51" i="7"/>
  <c r="J52" i="7" s="1"/>
  <c r="I51" i="7"/>
  <c r="I52" i="7" s="1"/>
  <c r="H51" i="7"/>
  <c r="H52" i="7" s="1"/>
  <c r="G51" i="7"/>
  <c r="G52" i="7" s="1"/>
  <c r="F51" i="7"/>
  <c r="F52" i="7" s="1"/>
  <c r="E51" i="7"/>
  <c r="E52" i="7" s="1"/>
  <c r="D51" i="7"/>
  <c r="D52" i="7" s="1"/>
  <c r="C51" i="7"/>
  <c r="C52" i="7" s="1"/>
  <c r="J186" i="6"/>
  <c r="I185" i="6"/>
  <c r="I186" i="6" s="1"/>
  <c r="H185" i="6"/>
  <c r="H186" i="6" s="1"/>
  <c r="F185" i="6"/>
  <c r="F186" i="6" s="1"/>
  <c r="E185" i="6"/>
  <c r="E186" i="6" s="1"/>
  <c r="D185" i="6"/>
  <c r="C186" i="6"/>
  <c r="J182" i="6"/>
  <c r="I181" i="6"/>
  <c r="I182" i="6" s="1"/>
  <c r="H181" i="6"/>
  <c r="H182" i="6" s="1"/>
  <c r="G182" i="6"/>
  <c r="F181" i="6"/>
  <c r="F182" i="6" s="1"/>
  <c r="E181" i="6"/>
  <c r="E182" i="6" s="1"/>
  <c r="D181" i="6"/>
  <c r="D182" i="6" s="1"/>
  <c r="C182" i="6"/>
  <c r="J60" i="5"/>
  <c r="J61" i="5" s="1"/>
  <c r="I60" i="5"/>
  <c r="I61" i="5" s="1"/>
  <c r="H60" i="5"/>
  <c r="H61" i="5" s="1"/>
  <c r="G60" i="5"/>
  <c r="G61" i="5" s="1"/>
  <c r="F60" i="5"/>
  <c r="F61" i="5" s="1"/>
  <c r="E60" i="5"/>
  <c r="E61" i="5" s="1"/>
  <c r="D60" i="5"/>
  <c r="D61" i="5" s="1"/>
  <c r="C60" i="5"/>
  <c r="C61" i="5" s="1"/>
  <c r="J56" i="5"/>
  <c r="J57" i="5" s="1"/>
  <c r="I56" i="5"/>
  <c r="I57" i="5" s="1"/>
  <c r="H56" i="5"/>
  <c r="H57" i="5" s="1"/>
  <c r="G56" i="5"/>
  <c r="G57" i="5" s="1"/>
  <c r="F56" i="5"/>
  <c r="F57" i="5" s="1"/>
  <c r="E56" i="5"/>
  <c r="E57" i="5" s="1"/>
  <c r="D56" i="5"/>
  <c r="D57" i="5" s="1"/>
  <c r="C56" i="5"/>
  <c r="C57" i="5" s="1"/>
  <c r="I192" i="4"/>
  <c r="D192" i="4"/>
  <c r="D191" i="4"/>
  <c r="F191" i="4"/>
  <c r="F192" i="4" s="1"/>
  <c r="J191" i="4"/>
  <c r="J192" i="4" s="1"/>
  <c r="I191" i="4"/>
  <c r="H191" i="4"/>
  <c r="H192" i="4" s="1"/>
  <c r="G191" i="4"/>
  <c r="G192" i="4" s="1"/>
  <c r="E191" i="4"/>
  <c r="E192" i="4" s="1"/>
  <c r="C191" i="4"/>
  <c r="C192" i="4" s="1"/>
  <c r="E65" i="3"/>
  <c r="C187" i="4"/>
  <c r="C188" i="4" s="1"/>
  <c r="J187" i="4"/>
  <c r="J188" i="4" s="1"/>
  <c r="I187" i="4"/>
  <c r="I188" i="4" s="1"/>
  <c r="H187" i="4"/>
  <c r="H188" i="4" s="1"/>
  <c r="G187" i="4"/>
  <c r="G188" i="4" s="1"/>
  <c r="F187" i="4"/>
  <c r="F188" i="4" s="1"/>
  <c r="E187" i="4"/>
  <c r="E188" i="4" s="1"/>
  <c r="D187" i="4"/>
  <c r="D188" i="4" s="1"/>
  <c r="AH56" i="3"/>
  <c r="AG56" i="3"/>
  <c r="AD56" i="3"/>
  <c r="AE56" i="3"/>
  <c r="AF56" i="3"/>
  <c r="AI56" i="3"/>
  <c r="AJ56" i="3"/>
  <c r="AC56" i="3"/>
  <c r="Y54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P4" i="3"/>
  <c r="P54" i="3" s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M4" i="3"/>
  <c r="M54" i="3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Y53" i="3"/>
  <c r="V53" i="3"/>
  <c r="S53" i="3"/>
  <c r="P53" i="3"/>
  <c r="M53" i="3"/>
  <c r="J53" i="3"/>
  <c r="G5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211" i="2"/>
  <c r="GY4" i="2"/>
  <c r="GY5" i="2"/>
  <c r="GY6" i="2"/>
  <c r="GY7" i="2"/>
  <c r="GY8" i="2"/>
  <c r="GY9" i="2"/>
  <c r="GY10" i="2"/>
  <c r="GY11" i="2"/>
  <c r="GY12" i="2"/>
  <c r="GY13" i="2"/>
  <c r="GY14" i="2"/>
  <c r="GY15" i="2"/>
  <c r="GY16" i="2"/>
  <c r="GY17" i="2"/>
  <c r="GY18" i="2"/>
  <c r="GY19" i="2"/>
  <c r="GY20" i="2"/>
  <c r="GY21" i="2"/>
  <c r="GY22" i="2"/>
  <c r="GY23" i="2"/>
  <c r="GY24" i="2"/>
  <c r="GY25" i="2"/>
  <c r="GY26" i="2"/>
  <c r="GY27" i="2"/>
  <c r="GY28" i="2"/>
  <c r="GY29" i="2"/>
  <c r="GY30" i="2"/>
  <c r="GY31" i="2"/>
  <c r="GY32" i="2"/>
  <c r="GY33" i="2"/>
  <c r="GY34" i="2"/>
  <c r="GY35" i="2"/>
  <c r="GY36" i="2"/>
  <c r="GY37" i="2"/>
  <c r="GY38" i="2"/>
  <c r="GY39" i="2"/>
  <c r="GY40" i="2"/>
  <c r="GY41" i="2"/>
  <c r="GY42" i="2"/>
  <c r="GY43" i="2"/>
  <c r="GY44" i="2"/>
  <c r="GY45" i="2"/>
  <c r="GY46" i="2"/>
  <c r="GY47" i="2"/>
  <c r="GY48" i="2"/>
  <c r="GY49" i="2"/>
  <c r="GY50" i="2"/>
  <c r="GY51" i="2"/>
  <c r="GY52" i="2"/>
  <c r="GY53" i="2"/>
  <c r="GY54" i="2"/>
  <c r="GY55" i="2"/>
  <c r="GY56" i="2"/>
  <c r="GY57" i="2"/>
  <c r="GY58" i="2"/>
  <c r="GY59" i="2"/>
  <c r="GY60" i="2"/>
  <c r="GY61" i="2"/>
  <c r="GY62" i="2"/>
  <c r="GV4" i="2"/>
  <c r="GV5" i="2"/>
  <c r="GV6" i="2"/>
  <c r="GV7" i="2"/>
  <c r="GV8" i="2"/>
  <c r="GV9" i="2"/>
  <c r="GV10" i="2"/>
  <c r="GV11" i="2"/>
  <c r="GV12" i="2"/>
  <c r="GV13" i="2"/>
  <c r="GV14" i="2"/>
  <c r="GV15" i="2"/>
  <c r="GV16" i="2"/>
  <c r="GV17" i="2"/>
  <c r="GV18" i="2"/>
  <c r="GV19" i="2"/>
  <c r="GV20" i="2"/>
  <c r="GV21" i="2"/>
  <c r="GV22" i="2"/>
  <c r="GV23" i="2"/>
  <c r="GV24" i="2"/>
  <c r="GV25" i="2"/>
  <c r="GV26" i="2"/>
  <c r="GV27" i="2"/>
  <c r="GV28" i="2"/>
  <c r="GV29" i="2"/>
  <c r="GV30" i="2"/>
  <c r="GV31" i="2"/>
  <c r="GV32" i="2"/>
  <c r="GV33" i="2"/>
  <c r="GV34" i="2"/>
  <c r="GV35" i="2"/>
  <c r="GV36" i="2"/>
  <c r="GV37" i="2"/>
  <c r="GV38" i="2"/>
  <c r="GV39" i="2"/>
  <c r="GV40" i="2"/>
  <c r="GV41" i="2"/>
  <c r="GV42" i="2"/>
  <c r="GV43" i="2"/>
  <c r="GV44" i="2"/>
  <c r="GV45" i="2"/>
  <c r="GV46" i="2"/>
  <c r="GV47" i="2"/>
  <c r="GV48" i="2"/>
  <c r="GV49" i="2"/>
  <c r="GV50" i="2"/>
  <c r="GV51" i="2"/>
  <c r="GV52" i="2"/>
  <c r="GV53" i="2"/>
  <c r="GV54" i="2"/>
  <c r="GV55" i="2"/>
  <c r="GV56" i="2"/>
  <c r="GV57" i="2"/>
  <c r="GV58" i="2"/>
  <c r="GV59" i="2"/>
  <c r="GV60" i="2"/>
  <c r="GV61" i="2"/>
  <c r="GV62" i="2"/>
  <c r="GS4" i="2"/>
  <c r="GS5" i="2"/>
  <c r="GS6" i="2"/>
  <c r="GS7" i="2"/>
  <c r="GS8" i="2"/>
  <c r="GS9" i="2"/>
  <c r="GS10" i="2"/>
  <c r="GS11" i="2"/>
  <c r="GS12" i="2"/>
  <c r="GS13" i="2"/>
  <c r="GS14" i="2"/>
  <c r="GS15" i="2"/>
  <c r="GS16" i="2"/>
  <c r="GS17" i="2"/>
  <c r="GS18" i="2"/>
  <c r="GS19" i="2"/>
  <c r="GS20" i="2"/>
  <c r="GS21" i="2"/>
  <c r="GS22" i="2"/>
  <c r="GS23" i="2"/>
  <c r="GS24" i="2"/>
  <c r="GS25" i="2"/>
  <c r="GS26" i="2"/>
  <c r="GS27" i="2"/>
  <c r="GS28" i="2"/>
  <c r="GS29" i="2"/>
  <c r="GS30" i="2"/>
  <c r="GS31" i="2"/>
  <c r="GS32" i="2"/>
  <c r="GS33" i="2"/>
  <c r="GS34" i="2"/>
  <c r="GS35" i="2"/>
  <c r="GS36" i="2"/>
  <c r="GS37" i="2"/>
  <c r="GS38" i="2"/>
  <c r="GS39" i="2"/>
  <c r="GS40" i="2"/>
  <c r="GS41" i="2"/>
  <c r="GS42" i="2"/>
  <c r="GS43" i="2"/>
  <c r="GS44" i="2"/>
  <c r="GS45" i="2"/>
  <c r="GS46" i="2"/>
  <c r="GS47" i="2"/>
  <c r="GS48" i="2"/>
  <c r="GS49" i="2"/>
  <c r="GS50" i="2"/>
  <c r="GS51" i="2"/>
  <c r="GS52" i="2"/>
  <c r="GS53" i="2"/>
  <c r="GS54" i="2"/>
  <c r="GS55" i="2"/>
  <c r="GS56" i="2"/>
  <c r="GS57" i="2"/>
  <c r="GS58" i="2"/>
  <c r="GS59" i="2"/>
  <c r="GS60" i="2"/>
  <c r="GS61" i="2"/>
  <c r="GS62" i="2"/>
  <c r="GP4" i="2"/>
  <c r="GP5" i="2"/>
  <c r="GP6" i="2"/>
  <c r="GP7" i="2"/>
  <c r="GP8" i="2"/>
  <c r="GP9" i="2"/>
  <c r="GP10" i="2"/>
  <c r="GP11" i="2"/>
  <c r="GP12" i="2"/>
  <c r="GP13" i="2"/>
  <c r="GP14" i="2"/>
  <c r="GP15" i="2"/>
  <c r="GP16" i="2"/>
  <c r="GP17" i="2"/>
  <c r="GP18" i="2"/>
  <c r="GP19" i="2"/>
  <c r="GP20" i="2"/>
  <c r="GP21" i="2"/>
  <c r="GP22" i="2"/>
  <c r="GP23" i="2"/>
  <c r="GP24" i="2"/>
  <c r="GP25" i="2"/>
  <c r="GP26" i="2"/>
  <c r="GP27" i="2"/>
  <c r="GP28" i="2"/>
  <c r="GP29" i="2"/>
  <c r="GP30" i="2"/>
  <c r="GP31" i="2"/>
  <c r="GP32" i="2"/>
  <c r="GP33" i="2"/>
  <c r="GP34" i="2"/>
  <c r="GP35" i="2"/>
  <c r="GP36" i="2"/>
  <c r="GP37" i="2"/>
  <c r="GP38" i="2"/>
  <c r="GP39" i="2"/>
  <c r="GP40" i="2"/>
  <c r="GP41" i="2"/>
  <c r="GP42" i="2"/>
  <c r="GP43" i="2"/>
  <c r="GP44" i="2"/>
  <c r="GP45" i="2"/>
  <c r="GP46" i="2"/>
  <c r="GP47" i="2"/>
  <c r="GP48" i="2"/>
  <c r="GP49" i="2"/>
  <c r="GP50" i="2"/>
  <c r="GP51" i="2"/>
  <c r="GP52" i="2"/>
  <c r="GP53" i="2"/>
  <c r="GP54" i="2"/>
  <c r="GP55" i="2"/>
  <c r="GP56" i="2"/>
  <c r="GP57" i="2"/>
  <c r="GP58" i="2"/>
  <c r="GP59" i="2"/>
  <c r="GP60" i="2"/>
  <c r="GP61" i="2"/>
  <c r="GP62" i="2"/>
  <c r="GM4" i="2"/>
  <c r="GM5" i="2"/>
  <c r="GM6" i="2"/>
  <c r="GM7" i="2"/>
  <c r="GM8" i="2"/>
  <c r="GM9" i="2"/>
  <c r="GM10" i="2"/>
  <c r="GM11" i="2"/>
  <c r="GM12" i="2"/>
  <c r="GM13" i="2"/>
  <c r="GM14" i="2"/>
  <c r="GM15" i="2"/>
  <c r="GM16" i="2"/>
  <c r="GM17" i="2"/>
  <c r="GM18" i="2"/>
  <c r="GM19" i="2"/>
  <c r="GM20" i="2"/>
  <c r="GM21" i="2"/>
  <c r="GM22" i="2"/>
  <c r="GM23" i="2"/>
  <c r="GM24" i="2"/>
  <c r="GM25" i="2"/>
  <c r="GM26" i="2"/>
  <c r="GM27" i="2"/>
  <c r="GM28" i="2"/>
  <c r="GM29" i="2"/>
  <c r="GM30" i="2"/>
  <c r="GM31" i="2"/>
  <c r="GM32" i="2"/>
  <c r="GM33" i="2"/>
  <c r="GM34" i="2"/>
  <c r="GM35" i="2"/>
  <c r="GM36" i="2"/>
  <c r="GM37" i="2"/>
  <c r="GM38" i="2"/>
  <c r="GM39" i="2"/>
  <c r="GM40" i="2"/>
  <c r="GM41" i="2"/>
  <c r="GM42" i="2"/>
  <c r="GM43" i="2"/>
  <c r="GM44" i="2"/>
  <c r="GM45" i="2"/>
  <c r="GM46" i="2"/>
  <c r="GM47" i="2"/>
  <c r="GM48" i="2"/>
  <c r="GM49" i="2"/>
  <c r="GM50" i="2"/>
  <c r="GM51" i="2"/>
  <c r="GM52" i="2"/>
  <c r="GM53" i="2"/>
  <c r="GM54" i="2"/>
  <c r="GM55" i="2"/>
  <c r="GM56" i="2"/>
  <c r="GM57" i="2"/>
  <c r="GM58" i="2"/>
  <c r="GM59" i="2"/>
  <c r="GM60" i="2"/>
  <c r="GM61" i="2"/>
  <c r="GM62" i="2"/>
  <c r="GJ4" i="2"/>
  <c r="GJ5" i="2"/>
  <c r="GJ6" i="2"/>
  <c r="GJ7" i="2"/>
  <c r="GJ8" i="2"/>
  <c r="GJ9" i="2"/>
  <c r="GJ10" i="2"/>
  <c r="GJ11" i="2"/>
  <c r="GJ12" i="2"/>
  <c r="GJ13" i="2"/>
  <c r="GJ14" i="2"/>
  <c r="GJ15" i="2"/>
  <c r="GJ16" i="2"/>
  <c r="GJ17" i="2"/>
  <c r="GJ18" i="2"/>
  <c r="GJ19" i="2"/>
  <c r="GJ20" i="2"/>
  <c r="GJ21" i="2"/>
  <c r="GJ22" i="2"/>
  <c r="GJ23" i="2"/>
  <c r="GJ24" i="2"/>
  <c r="GJ25" i="2"/>
  <c r="GJ26" i="2"/>
  <c r="GJ27" i="2"/>
  <c r="GJ28" i="2"/>
  <c r="GJ29" i="2"/>
  <c r="GJ30" i="2"/>
  <c r="GJ31" i="2"/>
  <c r="GJ32" i="2"/>
  <c r="GJ33" i="2"/>
  <c r="GJ34" i="2"/>
  <c r="GJ35" i="2"/>
  <c r="GJ36" i="2"/>
  <c r="GJ37" i="2"/>
  <c r="GJ38" i="2"/>
  <c r="GJ39" i="2"/>
  <c r="GJ40" i="2"/>
  <c r="GJ41" i="2"/>
  <c r="GJ42" i="2"/>
  <c r="GJ43" i="2"/>
  <c r="GJ44" i="2"/>
  <c r="GJ45" i="2"/>
  <c r="GJ46" i="2"/>
  <c r="GJ47" i="2"/>
  <c r="GJ48" i="2"/>
  <c r="GJ49" i="2"/>
  <c r="GJ50" i="2"/>
  <c r="GJ51" i="2"/>
  <c r="GJ52" i="2"/>
  <c r="GJ53" i="2"/>
  <c r="GJ54" i="2"/>
  <c r="GJ55" i="2"/>
  <c r="GJ56" i="2"/>
  <c r="GJ57" i="2"/>
  <c r="GJ58" i="2"/>
  <c r="GJ59" i="2"/>
  <c r="GJ60" i="2"/>
  <c r="GJ61" i="2"/>
  <c r="GJ62" i="2"/>
  <c r="GG4" i="2"/>
  <c r="GG5" i="2"/>
  <c r="GG6" i="2"/>
  <c r="GG7" i="2"/>
  <c r="GG8" i="2"/>
  <c r="GG9" i="2"/>
  <c r="GG10" i="2"/>
  <c r="GG11" i="2"/>
  <c r="GG12" i="2"/>
  <c r="GG13" i="2"/>
  <c r="GG14" i="2"/>
  <c r="GG15" i="2"/>
  <c r="GG16" i="2"/>
  <c r="GG17" i="2"/>
  <c r="GG18" i="2"/>
  <c r="GG19" i="2"/>
  <c r="GG20" i="2"/>
  <c r="GG21" i="2"/>
  <c r="GG22" i="2"/>
  <c r="GG23" i="2"/>
  <c r="GG24" i="2"/>
  <c r="GG25" i="2"/>
  <c r="GG26" i="2"/>
  <c r="GG27" i="2"/>
  <c r="GG28" i="2"/>
  <c r="GG29" i="2"/>
  <c r="GG30" i="2"/>
  <c r="GG31" i="2"/>
  <c r="GG32" i="2"/>
  <c r="GG33" i="2"/>
  <c r="GG34" i="2"/>
  <c r="GG35" i="2"/>
  <c r="GG36" i="2"/>
  <c r="GG37" i="2"/>
  <c r="GG38" i="2"/>
  <c r="GG39" i="2"/>
  <c r="GG40" i="2"/>
  <c r="GG41" i="2"/>
  <c r="GG42" i="2"/>
  <c r="GG43" i="2"/>
  <c r="GG44" i="2"/>
  <c r="GG45" i="2"/>
  <c r="GG46" i="2"/>
  <c r="GG47" i="2"/>
  <c r="GG48" i="2"/>
  <c r="GG49" i="2"/>
  <c r="GG50" i="2"/>
  <c r="GG51" i="2"/>
  <c r="GG52" i="2"/>
  <c r="GG53" i="2"/>
  <c r="GG54" i="2"/>
  <c r="GG55" i="2"/>
  <c r="GG56" i="2"/>
  <c r="GG57" i="2"/>
  <c r="GG58" i="2"/>
  <c r="GG59" i="2"/>
  <c r="GG60" i="2"/>
  <c r="GG61" i="2"/>
  <c r="GG62" i="2"/>
  <c r="GD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GD43" i="2"/>
  <c r="GD44" i="2"/>
  <c r="GD45" i="2"/>
  <c r="GD46" i="2"/>
  <c r="GD47" i="2"/>
  <c r="GD48" i="2"/>
  <c r="GD49" i="2"/>
  <c r="GD50" i="2"/>
  <c r="GD51" i="2"/>
  <c r="GD52" i="2"/>
  <c r="GD53" i="2"/>
  <c r="GD54" i="2"/>
  <c r="GD55" i="2"/>
  <c r="GD56" i="2"/>
  <c r="GD57" i="2"/>
  <c r="GD58" i="2"/>
  <c r="GD59" i="2"/>
  <c r="GD60" i="2"/>
  <c r="GD61" i="2"/>
  <c r="GD62" i="2"/>
  <c r="GF64" i="2"/>
  <c r="GI64" i="2"/>
  <c r="GL64" i="2"/>
  <c r="GO64" i="2"/>
  <c r="GR64" i="2"/>
  <c r="GU64" i="2"/>
  <c r="GX64" i="2"/>
  <c r="GF63" i="2"/>
  <c r="GI63" i="2"/>
  <c r="GL63" i="2"/>
  <c r="GO63" i="2"/>
  <c r="GR63" i="2"/>
  <c r="GU63" i="2"/>
  <c r="GX63" i="2"/>
  <c r="FY4" i="2"/>
  <c r="FY5" i="2"/>
  <c r="FY6" i="2"/>
  <c r="FY7" i="2"/>
  <c r="FY8" i="2"/>
  <c r="FY9" i="2"/>
  <c r="FY10" i="2"/>
  <c r="FY11" i="2"/>
  <c r="FY12" i="2"/>
  <c r="FY13" i="2"/>
  <c r="FY14" i="2"/>
  <c r="FY15" i="2"/>
  <c r="FY16" i="2"/>
  <c r="FY17" i="2"/>
  <c r="FY18" i="2"/>
  <c r="FY19" i="2"/>
  <c r="FY20" i="2"/>
  <c r="FY21" i="2"/>
  <c r="FY22" i="2"/>
  <c r="FY23" i="2"/>
  <c r="FY24" i="2"/>
  <c r="FY25" i="2"/>
  <c r="FY26" i="2"/>
  <c r="FY27" i="2"/>
  <c r="FY28" i="2"/>
  <c r="FY29" i="2"/>
  <c r="FY30" i="2"/>
  <c r="FY31" i="2"/>
  <c r="FY32" i="2"/>
  <c r="FY33" i="2"/>
  <c r="FY34" i="2"/>
  <c r="FY35" i="2"/>
  <c r="FY36" i="2"/>
  <c r="FY37" i="2"/>
  <c r="FY38" i="2"/>
  <c r="FY39" i="2"/>
  <c r="FY40" i="2"/>
  <c r="FY41" i="2"/>
  <c r="FY42" i="2"/>
  <c r="FY43" i="2"/>
  <c r="FY44" i="2"/>
  <c r="FY45" i="2"/>
  <c r="FY46" i="2"/>
  <c r="FY47" i="2"/>
  <c r="FY48" i="2"/>
  <c r="FY49" i="2"/>
  <c r="FY50" i="2"/>
  <c r="FY51" i="2"/>
  <c r="FY52" i="2"/>
  <c r="FY53" i="2"/>
  <c r="FY54" i="2"/>
  <c r="FY55" i="2"/>
  <c r="FY56" i="2"/>
  <c r="FY57" i="2"/>
  <c r="FY58" i="2"/>
  <c r="FY59" i="2"/>
  <c r="FY60" i="2"/>
  <c r="FY61" i="2"/>
  <c r="FY62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V53" i="2"/>
  <c r="FV54" i="2"/>
  <c r="FV55" i="2"/>
  <c r="FV56" i="2"/>
  <c r="FV57" i="2"/>
  <c r="FV58" i="2"/>
  <c r="FV59" i="2"/>
  <c r="FV60" i="2"/>
  <c r="FV61" i="2"/>
  <c r="FV62" i="2"/>
  <c r="FS4" i="2"/>
  <c r="FS5" i="2"/>
  <c r="FS6" i="2"/>
  <c r="FS7" i="2"/>
  <c r="FS8" i="2"/>
  <c r="FS9" i="2"/>
  <c r="FS10" i="2"/>
  <c r="FS11" i="2"/>
  <c r="FS12" i="2"/>
  <c r="FS13" i="2"/>
  <c r="FS14" i="2"/>
  <c r="FS15" i="2"/>
  <c r="FS16" i="2"/>
  <c r="FS17" i="2"/>
  <c r="FS18" i="2"/>
  <c r="FS19" i="2"/>
  <c r="FS20" i="2"/>
  <c r="FS21" i="2"/>
  <c r="FS22" i="2"/>
  <c r="FS23" i="2"/>
  <c r="FS24" i="2"/>
  <c r="FS25" i="2"/>
  <c r="FS26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39" i="2"/>
  <c r="FS40" i="2"/>
  <c r="FS41" i="2"/>
  <c r="FS42" i="2"/>
  <c r="FS43" i="2"/>
  <c r="FS44" i="2"/>
  <c r="FS45" i="2"/>
  <c r="FS46" i="2"/>
  <c r="FS47" i="2"/>
  <c r="FS48" i="2"/>
  <c r="FS49" i="2"/>
  <c r="FS50" i="2"/>
  <c r="FS51" i="2"/>
  <c r="FS52" i="2"/>
  <c r="FS53" i="2"/>
  <c r="FS54" i="2"/>
  <c r="FS55" i="2"/>
  <c r="FS56" i="2"/>
  <c r="FS57" i="2"/>
  <c r="FS58" i="2"/>
  <c r="FS59" i="2"/>
  <c r="FS60" i="2"/>
  <c r="FS61" i="2"/>
  <c r="FS62" i="2"/>
  <c r="FP4" i="2"/>
  <c r="FP5" i="2"/>
  <c r="FP6" i="2"/>
  <c r="FP7" i="2"/>
  <c r="FP8" i="2"/>
  <c r="FP9" i="2"/>
  <c r="FP10" i="2"/>
  <c r="FP11" i="2"/>
  <c r="FP12" i="2"/>
  <c r="FP13" i="2"/>
  <c r="FP14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27" i="2"/>
  <c r="FP28" i="2"/>
  <c r="FP29" i="2"/>
  <c r="FP30" i="2"/>
  <c r="FP31" i="2"/>
  <c r="FP32" i="2"/>
  <c r="FP33" i="2"/>
  <c r="FP34" i="2"/>
  <c r="FP35" i="2"/>
  <c r="FP36" i="2"/>
  <c r="FP37" i="2"/>
  <c r="FP38" i="2"/>
  <c r="FP39" i="2"/>
  <c r="FP40" i="2"/>
  <c r="FP41" i="2"/>
  <c r="FP42" i="2"/>
  <c r="FP43" i="2"/>
  <c r="FP44" i="2"/>
  <c r="FP45" i="2"/>
  <c r="FP46" i="2"/>
  <c r="FP47" i="2"/>
  <c r="FP48" i="2"/>
  <c r="FP49" i="2"/>
  <c r="FP50" i="2"/>
  <c r="FP51" i="2"/>
  <c r="FP52" i="2"/>
  <c r="FP53" i="2"/>
  <c r="FP54" i="2"/>
  <c r="FP55" i="2"/>
  <c r="FP56" i="2"/>
  <c r="FP57" i="2"/>
  <c r="FP58" i="2"/>
  <c r="FP59" i="2"/>
  <c r="FP60" i="2"/>
  <c r="FP61" i="2"/>
  <c r="FP62" i="2"/>
  <c r="FM4" i="2"/>
  <c r="FM5" i="2"/>
  <c r="FM6" i="2"/>
  <c r="FM7" i="2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52" i="2"/>
  <c r="FM53" i="2"/>
  <c r="FM54" i="2"/>
  <c r="FM55" i="2"/>
  <c r="FM56" i="2"/>
  <c r="FM57" i="2"/>
  <c r="FM58" i="2"/>
  <c r="FM59" i="2"/>
  <c r="FM60" i="2"/>
  <c r="FM61" i="2"/>
  <c r="FM62" i="2"/>
  <c r="FJ4" i="2"/>
  <c r="FJ5" i="2"/>
  <c r="FJ6" i="2"/>
  <c r="FJ7" i="2"/>
  <c r="FJ8" i="2"/>
  <c r="FJ9" i="2"/>
  <c r="FJ10" i="2"/>
  <c r="FJ11" i="2"/>
  <c r="FJ12" i="2"/>
  <c r="FJ13" i="2"/>
  <c r="FJ14" i="2"/>
  <c r="FJ15" i="2"/>
  <c r="FJ16" i="2"/>
  <c r="FJ17" i="2"/>
  <c r="FJ18" i="2"/>
  <c r="FJ19" i="2"/>
  <c r="FJ20" i="2"/>
  <c r="FJ21" i="2"/>
  <c r="FJ22" i="2"/>
  <c r="FJ23" i="2"/>
  <c r="FJ24" i="2"/>
  <c r="FJ25" i="2"/>
  <c r="FJ26" i="2"/>
  <c r="FJ27" i="2"/>
  <c r="FJ28" i="2"/>
  <c r="FJ29" i="2"/>
  <c r="FJ30" i="2"/>
  <c r="FJ31" i="2"/>
  <c r="FJ32" i="2"/>
  <c r="FJ33" i="2"/>
  <c r="FJ34" i="2"/>
  <c r="FJ35" i="2"/>
  <c r="FJ36" i="2"/>
  <c r="FJ37" i="2"/>
  <c r="FJ38" i="2"/>
  <c r="FJ39" i="2"/>
  <c r="FJ40" i="2"/>
  <c r="FJ41" i="2"/>
  <c r="FJ42" i="2"/>
  <c r="FJ43" i="2"/>
  <c r="FJ44" i="2"/>
  <c r="FJ45" i="2"/>
  <c r="FJ46" i="2"/>
  <c r="FJ47" i="2"/>
  <c r="FJ48" i="2"/>
  <c r="FJ49" i="2"/>
  <c r="FJ50" i="2"/>
  <c r="FJ51" i="2"/>
  <c r="FJ52" i="2"/>
  <c r="FJ53" i="2"/>
  <c r="FJ54" i="2"/>
  <c r="FJ55" i="2"/>
  <c r="FJ56" i="2"/>
  <c r="FJ57" i="2"/>
  <c r="FJ58" i="2"/>
  <c r="FJ59" i="2"/>
  <c r="FJ60" i="2"/>
  <c r="FJ61" i="2"/>
  <c r="FJ62" i="2"/>
  <c r="FG4" i="2"/>
  <c r="FG5" i="2"/>
  <c r="FG6" i="2"/>
  <c r="FG7" i="2"/>
  <c r="FG8" i="2"/>
  <c r="FG9" i="2"/>
  <c r="FG10" i="2"/>
  <c r="FG11" i="2"/>
  <c r="FG12" i="2"/>
  <c r="FG13" i="2"/>
  <c r="FG14" i="2"/>
  <c r="FG15" i="2"/>
  <c r="FG16" i="2"/>
  <c r="FG17" i="2"/>
  <c r="FG18" i="2"/>
  <c r="FG19" i="2"/>
  <c r="FG20" i="2"/>
  <c r="FG21" i="2"/>
  <c r="FG22" i="2"/>
  <c r="FG23" i="2"/>
  <c r="FG24" i="2"/>
  <c r="FG25" i="2"/>
  <c r="FG26" i="2"/>
  <c r="FG27" i="2"/>
  <c r="FG28" i="2"/>
  <c r="FG29" i="2"/>
  <c r="FG30" i="2"/>
  <c r="FG31" i="2"/>
  <c r="FG32" i="2"/>
  <c r="FG33" i="2"/>
  <c r="FG34" i="2"/>
  <c r="FG35" i="2"/>
  <c r="FG36" i="2"/>
  <c r="FG37" i="2"/>
  <c r="FG38" i="2"/>
  <c r="FG39" i="2"/>
  <c r="FG40" i="2"/>
  <c r="FG41" i="2"/>
  <c r="FG42" i="2"/>
  <c r="FG43" i="2"/>
  <c r="FG44" i="2"/>
  <c r="FG45" i="2"/>
  <c r="FG46" i="2"/>
  <c r="FG47" i="2"/>
  <c r="FG48" i="2"/>
  <c r="FG49" i="2"/>
  <c r="FG50" i="2"/>
  <c r="FG51" i="2"/>
  <c r="FG52" i="2"/>
  <c r="FG53" i="2"/>
  <c r="FG54" i="2"/>
  <c r="FG55" i="2"/>
  <c r="FG56" i="2"/>
  <c r="FG57" i="2"/>
  <c r="FG58" i="2"/>
  <c r="FG59" i="2"/>
  <c r="FG60" i="2"/>
  <c r="FG61" i="2"/>
  <c r="FG62" i="2"/>
  <c r="FD4" i="2"/>
  <c r="FD5" i="2"/>
  <c r="FD6" i="2"/>
  <c r="FD7" i="2"/>
  <c r="FD8" i="2"/>
  <c r="FD9" i="2"/>
  <c r="FD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F64" i="2"/>
  <c r="FI64" i="2"/>
  <c r="FL64" i="2"/>
  <c r="FO64" i="2"/>
  <c r="FR64" i="2"/>
  <c r="FU64" i="2"/>
  <c r="FX64" i="2"/>
  <c r="FF63" i="2"/>
  <c r="FI63" i="2"/>
  <c r="FL63" i="2"/>
  <c r="FO63" i="2"/>
  <c r="FR63" i="2"/>
  <c r="FU63" i="2"/>
  <c r="FX63" i="2"/>
  <c r="EY4" i="2"/>
  <c r="EY5" i="2"/>
  <c r="EY6" i="2"/>
  <c r="EY7" i="2"/>
  <c r="EY8" i="2"/>
  <c r="EY9" i="2"/>
  <c r="EY10" i="2"/>
  <c r="EY11" i="2"/>
  <c r="EY12" i="2"/>
  <c r="EY13" i="2"/>
  <c r="EY14" i="2"/>
  <c r="EY15" i="2"/>
  <c r="EY16" i="2"/>
  <c r="EY17" i="2"/>
  <c r="EY18" i="2"/>
  <c r="EY19" i="2"/>
  <c r="EY20" i="2"/>
  <c r="EY21" i="2"/>
  <c r="EY22" i="2"/>
  <c r="EY23" i="2"/>
  <c r="EY24" i="2"/>
  <c r="EY25" i="2"/>
  <c r="EY26" i="2"/>
  <c r="EY27" i="2"/>
  <c r="EY28" i="2"/>
  <c r="EY29" i="2"/>
  <c r="EY30" i="2"/>
  <c r="EY31" i="2"/>
  <c r="EY32" i="2"/>
  <c r="EY33" i="2"/>
  <c r="EY34" i="2"/>
  <c r="EY35" i="2"/>
  <c r="EY36" i="2"/>
  <c r="EY37" i="2"/>
  <c r="EY38" i="2"/>
  <c r="EY39" i="2"/>
  <c r="EY40" i="2"/>
  <c r="EY41" i="2"/>
  <c r="EY42" i="2"/>
  <c r="EY43" i="2"/>
  <c r="EY44" i="2"/>
  <c r="EY45" i="2"/>
  <c r="EY46" i="2"/>
  <c r="EY47" i="2"/>
  <c r="EY48" i="2"/>
  <c r="EY49" i="2"/>
  <c r="EY50" i="2"/>
  <c r="EY51" i="2"/>
  <c r="EY52" i="2"/>
  <c r="EY53" i="2"/>
  <c r="EY54" i="2"/>
  <c r="EY55" i="2"/>
  <c r="EY56" i="2"/>
  <c r="EY57" i="2"/>
  <c r="EY58" i="2"/>
  <c r="EY59" i="2"/>
  <c r="EY60" i="2"/>
  <c r="EY61" i="2"/>
  <c r="EY62" i="2"/>
  <c r="EV4" i="2"/>
  <c r="EV5" i="2"/>
  <c r="EV6" i="2"/>
  <c r="EV7" i="2"/>
  <c r="EV8" i="2"/>
  <c r="EV9" i="2"/>
  <c r="EV10" i="2"/>
  <c r="EV11" i="2"/>
  <c r="EV12" i="2"/>
  <c r="EV13" i="2"/>
  <c r="EV14" i="2"/>
  <c r="EV15" i="2"/>
  <c r="EV16" i="2"/>
  <c r="EV17" i="2"/>
  <c r="EV18" i="2"/>
  <c r="EV19" i="2"/>
  <c r="EV20" i="2"/>
  <c r="EV21" i="2"/>
  <c r="EV22" i="2"/>
  <c r="EV23" i="2"/>
  <c r="EV24" i="2"/>
  <c r="EV25" i="2"/>
  <c r="EV26" i="2"/>
  <c r="EV27" i="2"/>
  <c r="EV28" i="2"/>
  <c r="EV29" i="2"/>
  <c r="EV30" i="2"/>
  <c r="EV31" i="2"/>
  <c r="EV32" i="2"/>
  <c r="EV33" i="2"/>
  <c r="EV34" i="2"/>
  <c r="EV35" i="2"/>
  <c r="EV36" i="2"/>
  <c r="EV37" i="2"/>
  <c r="EV38" i="2"/>
  <c r="EV39" i="2"/>
  <c r="EV40" i="2"/>
  <c r="EV41" i="2"/>
  <c r="EV42" i="2"/>
  <c r="EV43" i="2"/>
  <c r="EV44" i="2"/>
  <c r="EV45" i="2"/>
  <c r="EV46" i="2"/>
  <c r="EV47" i="2"/>
  <c r="EV48" i="2"/>
  <c r="EV49" i="2"/>
  <c r="EV50" i="2"/>
  <c r="EV51" i="2"/>
  <c r="EV52" i="2"/>
  <c r="EV53" i="2"/>
  <c r="EV54" i="2"/>
  <c r="EV55" i="2"/>
  <c r="EV56" i="2"/>
  <c r="EV57" i="2"/>
  <c r="EV58" i="2"/>
  <c r="EV59" i="2"/>
  <c r="EV60" i="2"/>
  <c r="EV61" i="2"/>
  <c r="EV62" i="2"/>
  <c r="ES4" i="2"/>
  <c r="ES5" i="2"/>
  <c r="ES6" i="2"/>
  <c r="ES7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41" i="2"/>
  <c r="ES42" i="2"/>
  <c r="ES43" i="2"/>
  <c r="ES44" i="2"/>
  <c r="ES45" i="2"/>
  <c r="ES46" i="2"/>
  <c r="ES47" i="2"/>
  <c r="ES48" i="2"/>
  <c r="ES49" i="2"/>
  <c r="ES50" i="2"/>
  <c r="ES51" i="2"/>
  <c r="ES52" i="2"/>
  <c r="ES53" i="2"/>
  <c r="ES54" i="2"/>
  <c r="ES55" i="2"/>
  <c r="ES56" i="2"/>
  <c r="ES57" i="2"/>
  <c r="ES58" i="2"/>
  <c r="ES59" i="2"/>
  <c r="ES60" i="2"/>
  <c r="ES61" i="2"/>
  <c r="ES62" i="2"/>
  <c r="EP4" i="2"/>
  <c r="EP5" i="2"/>
  <c r="EP6" i="2"/>
  <c r="EP7" i="2"/>
  <c r="EP8" i="2"/>
  <c r="EP9" i="2"/>
  <c r="EP10" i="2"/>
  <c r="EP11" i="2"/>
  <c r="EP12" i="2"/>
  <c r="EP13" i="2"/>
  <c r="EP14" i="2"/>
  <c r="EP15" i="2"/>
  <c r="EP16" i="2"/>
  <c r="EP17" i="2"/>
  <c r="EP18" i="2"/>
  <c r="EP19" i="2"/>
  <c r="EP20" i="2"/>
  <c r="EP21" i="2"/>
  <c r="EP22" i="2"/>
  <c r="EP23" i="2"/>
  <c r="EP24" i="2"/>
  <c r="EP25" i="2"/>
  <c r="EP26" i="2"/>
  <c r="EP27" i="2"/>
  <c r="EP28" i="2"/>
  <c r="EP29" i="2"/>
  <c r="EP30" i="2"/>
  <c r="EP31" i="2"/>
  <c r="EP32" i="2"/>
  <c r="EP33" i="2"/>
  <c r="EP34" i="2"/>
  <c r="EP35" i="2"/>
  <c r="EP36" i="2"/>
  <c r="EP37" i="2"/>
  <c r="EP38" i="2"/>
  <c r="EP39" i="2"/>
  <c r="EP40" i="2"/>
  <c r="EP41" i="2"/>
  <c r="EP42" i="2"/>
  <c r="EP43" i="2"/>
  <c r="EP44" i="2"/>
  <c r="EP45" i="2"/>
  <c r="EP46" i="2"/>
  <c r="EP47" i="2"/>
  <c r="EP48" i="2"/>
  <c r="EP49" i="2"/>
  <c r="EP50" i="2"/>
  <c r="EP51" i="2"/>
  <c r="EP52" i="2"/>
  <c r="EP53" i="2"/>
  <c r="EP54" i="2"/>
  <c r="EP55" i="2"/>
  <c r="EP56" i="2"/>
  <c r="EP57" i="2"/>
  <c r="EP58" i="2"/>
  <c r="EP59" i="2"/>
  <c r="EP60" i="2"/>
  <c r="EP61" i="2"/>
  <c r="EP62" i="2"/>
  <c r="EM4" i="2"/>
  <c r="EM5" i="2"/>
  <c r="EM6" i="2"/>
  <c r="EM7" i="2"/>
  <c r="EM8" i="2"/>
  <c r="EM9" i="2"/>
  <c r="EM10" i="2"/>
  <c r="EM11" i="2"/>
  <c r="EM12" i="2"/>
  <c r="EM13" i="2"/>
  <c r="EM14" i="2"/>
  <c r="EM15" i="2"/>
  <c r="EM16" i="2"/>
  <c r="EM17" i="2"/>
  <c r="EM18" i="2"/>
  <c r="EM19" i="2"/>
  <c r="EM20" i="2"/>
  <c r="EM21" i="2"/>
  <c r="EM22" i="2"/>
  <c r="EM23" i="2"/>
  <c r="EM24" i="2"/>
  <c r="EM25" i="2"/>
  <c r="EM26" i="2"/>
  <c r="EM27" i="2"/>
  <c r="EM28" i="2"/>
  <c r="EM29" i="2"/>
  <c r="EM30" i="2"/>
  <c r="EM31" i="2"/>
  <c r="EM32" i="2"/>
  <c r="EM33" i="2"/>
  <c r="EM34" i="2"/>
  <c r="EM35" i="2"/>
  <c r="EM36" i="2"/>
  <c r="EM37" i="2"/>
  <c r="EM38" i="2"/>
  <c r="EM39" i="2"/>
  <c r="EM40" i="2"/>
  <c r="EM41" i="2"/>
  <c r="EM42" i="2"/>
  <c r="EM43" i="2"/>
  <c r="EM44" i="2"/>
  <c r="EM45" i="2"/>
  <c r="EM46" i="2"/>
  <c r="EM47" i="2"/>
  <c r="EM48" i="2"/>
  <c r="EM49" i="2"/>
  <c r="EM50" i="2"/>
  <c r="EM51" i="2"/>
  <c r="EM52" i="2"/>
  <c r="EM53" i="2"/>
  <c r="EM54" i="2"/>
  <c r="EM55" i="2"/>
  <c r="EM56" i="2"/>
  <c r="EM57" i="2"/>
  <c r="EM58" i="2"/>
  <c r="EM59" i="2"/>
  <c r="EM60" i="2"/>
  <c r="EM61" i="2"/>
  <c r="EM62" i="2"/>
  <c r="EJ4" i="2"/>
  <c r="EJ5" i="2"/>
  <c r="EJ6" i="2"/>
  <c r="EJ7" i="2"/>
  <c r="EJ8" i="2"/>
  <c r="EJ9" i="2"/>
  <c r="EJ10" i="2"/>
  <c r="EJ11" i="2"/>
  <c r="EJ12" i="2"/>
  <c r="EJ13" i="2"/>
  <c r="EJ14" i="2"/>
  <c r="EJ15" i="2"/>
  <c r="EJ16" i="2"/>
  <c r="EJ17" i="2"/>
  <c r="EJ18" i="2"/>
  <c r="EJ19" i="2"/>
  <c r="EJ20" i="2"/>
  <c r="EJ21" i="2"/>
  <c r="EJ22" i="2"/>
  <c r="EJ23" i="2"/>
  <c r="EJ24" i="2"/>
  <c r="EJ25" i="2"/>
  <c r="EJ26" i="2"/>
  <c r="EJ27" i="2"/>
  <c r="EJ28" i="2"/>
  <c r="EJ29" i="2"/>
  <c r="EJ30" i="2"/>
  <c r="EJ31" i="2"/>
  <c r="EJ32" i="2"/>
  <c r="EJ33" i="2"/>
  <c r="EJ34" i="2"/>
  <c r="EJ35" i="2"/>
  <c r="EJ36" i="2"/>
  <c r="EJ37" i="2"/>
  <c r="EJ38" i="2"/>
  <c r="EJ39" i="2"/>
  <c r="EJ40" i="2"/>
  <c r="EJ41" i="2"/>
  <c r="EJ42" i="2"/>
  <c r="EJ43" i="2"/>
  <c r="EJ44" i="2"/>
  <c r="EJ45" i="2"/>
  <c r="EJ46" i="2"/>
  <c r="EJ47" i="2"/>
  <c r="EJ48" i="2"/>
  <c r="EJ49" i="2"/>
  <c r="EJ50" i="2"/>
  <c r="EJ51" i="2"/>
  <c r="EJ52" i="2"/>
  <c r="EJ53" i="2"/>
  <c r="EJ54" i="2"/>
  <c r="EJ55" i="2"/>
  <c r="EJ56" i="2"/>
  <c r="EJ57" i="2"/>
  <c r="EJ58" i="2"/>
  <c r="EJ59" i="2"/>
  <c r="EJ60" i="2"/>
  <c r="EJ61" i="2"/>
  <c r="EJ62" i="2"/>
  <c r="EG4" i="2"/>
  <c r="EG5" i="2"/>
  <c r="EG6" i="2"/>
  <c r="EG7" i="2"/>
  <c r="EG8" i="2"/>
  <c r="EG9" i="2"/>
  <c r="EG10" i="2"/>
  <c r="EG11" i="2"/>
  <c r="EG12" i="2"/>
  <c r="EG13" i="2"/>
  <c r="EG14" i="2"/>
  <c r="EG15" i="2"/>
  <c r="EG16" i="2"/>
  <c r="EG17" i="2"/>
  <c r="EG18" i="2"/>
  <c r="EG19" i="2"/>
  <c r="EG20" i="2"/>
  <c r="EG21" i="2"/>
  <c r="EG22" i="2"/>
  <c r="EG23" i="2"/>
  <c r="EG24" i="2"/>
  <c r="EG25" i="2"/>
  <c r="EG26" i="2"/>
  <c r="EG27" i="2"/>
  <c r="EG28" i="2"/>
  <c r="EG29" i="2"/>
  <c r="EG30" i="2"/>
  <c r="EG31" i="2"/>
  <c r="EG32" i="2"/>
  <c r="EG33" i="2"/>
  <c r="EG34" i="2"/>
  <c r="EG35" i="2"/>
  <c r="EG36" i="2"/>
  <c r="EG37" i="2"/>
  <c r="EG38" i="2"/>
  <c r="EG39" i="2"/>
  <c r="EG40" i="2"/>
  <c r="EG41" i="2"/>
  <c r="EG42" i="2"/>
  <c r="EG43" i="2"/>
  <c r="EG44" i="2"/>
  <c r="EG45" i="2"/>
  <c r="EG46" i="2"/>
  <c r="EG47" i="2"/>
  <c r="EG48" i="2"/>
  <c r="EG49" i="2"/>
  <c r="EG50" i="2"/>
  <c r="EG51" i="2"/>
  <c r="EG52" i="2"/>
  <c r="EG53" i="2"/>
  <c r="EG54" i="2"/>
  <c r="EG55" i="2"/>
  <c r="EG56" i="2"/>
  <c r="EG57" i="2"/>
  <c r="EG58" i="2"/>
  <c r="EG59" i="2"/>
  <c r="EG60" i="2"/>
  <c r="EG61" i="2"/>
  <c r="EG62" i="2"/>
  <c r="ED4" i="2"/>
  <c r="ED5" i="2"/>
  <c r="ED6" i="2"/>
  <c r="ED7" i="2"/>
  <c r="ED8" i="2"/>
  <c r="ED9" i="2"/>
  <c r="ED10" i="2"/>
  <c r="ED11" i="2"/>
  <c r="ED12" i="2"/>
  <c r="ED13" i="2"/>
  <c r="ED14" i="2"/>
  <c r="ED15" i="2"/>
  <c r="ED16" i="2"/>
  <c r="ED17" i="2"/>
  <c r="ED18" i="2"/>
  <c r="ED19" i="2"/>
  <c r="ED20" i="2"/>
  <c r="ED21" i="2"/>
  <c r="ED22" i="2"/>
  <c r="ED23" i="2"/>
  <c r="ED24" i="2"/>
  <c r="ED25" i="2"/>
  <c r="ED26" i="2"/>
  <c r="ED27" i="2"/>
  <c r="ED28" i="2"/>
  <c r="ED29" i="2"/>
  <c r="ED30" i="2"/>
  <c r="ED31" i="2"/>
  <c r="ED32" i="2"/>
  <c r="ED33" i="2"/>
  <c r="ED34" i="2"/>
  <c r="ED35" i="2"/>
  <c r="ED36" i="2"/>
  <c r="ED37" i="2"/>
  <c r="ED38" i="2"/>
  <c r="ED39" i="2"/>
  <c r="ED40" i="2"/>
  <c r="ED41" i="2"/>
  <c r="ED42" i="2"/>
  <c r="ED43" i="2"/>
  <c r="ED44" i="2"/>
  <c r="ED45" i="2"/>
  <c r="ED46" i="2"/>
  <c r="ED47" i="2"/>
  <c r="ED48" i="2"/>
  <c r="ED49" i="2"/>
  <c r="ED50" i="2"/>
  <c r="ED51" i="2"/>
  <c r="ED52" i="2"/>
  <c r="ED53" i="2"/>
  <c r="ED54" i="2"/>
  <c r="ED55" i="2"/>
  <c r="ED56" i="2"/>
  <c r="ED57" i="2"/>
  <c r="ED58" i="2"/>
  <c r="ED59" i="2"/>
  <c r="ED60" i="2"/>
  <c r="ED61" i="2"/>
  <c r="ED62" i="2"/>
  <c r="EF64" i="2"/>
  <c r="EI64" i="2"/>
  <c r="EL64" i="2"/>
  <c r="EO64" i="2"/>
  <c r="ER64" i="2"/>
  <c r="EU64" i="2"/>
  <c r="EX64" i="2"/>
  <c r="EF63" i="2"/>
  <c r="EI63" i="2"/>
  <c r="EL63" i="2"/>
  <c r="EO63" i="2"/>
  <c r="ER63" i="2"/>
  <c r="EU63" i="2"/>
  <c r="EX63" i="2"/>
  <c r="DR63" i="2"/>
  <c r="DO63" i="2"/>
  <c r="DL63" i="2"/>
  <c r="DF63" i="2"/>
  <c r="DY4" i="2"/>
  <c r="DY5" i="2"/>
  <c r="DY6" i="2"/>
  <c r="DY7" i="2"/>
  <c r="DY8" i="2"/>
  <c r="DY9" i="2"/>
  <c r="DY10" i="2"/>
  <c r="DY11" i="2"/>
  <c r="DY12" i="2"/>
  <c r="DY13" i="2"/>
  <c r="DY14" i="2"/>
  <c r="DY15" i="2"/>
  <c r="DY16" i="2"/>
  <c r="DY17" i="2"/>
  <c r="DY18" i="2"/>
  <c r="DY19" i="2"/>
  <c r="DY20" i="2"/>
  <c r="DY21" i="2"/>
  <c r="DY22" i="2"/>
  <c r="DY23" i="2"/>
  <c r="DY24" i="2"/>
  <c r="DY25" i="2"/>
  <c r="DY26" i="2"/>
  <c r="DY27" i="2"/>
  <c r="DY28" i="2"/>
  <c r="DY29" i="2"/>
  <c r="DY30" i="2"/>
  <c r="DY31" i="2"/>
  <c r="DY32" i="2"/>
  <c r="DY33" i="2"/>
  <c r="DY34" i="2"/>
  <c r="DY35" i="2"/>
  <c r="DY36" i="2"/>
  <c r="DY37" i="2"/>
  <c r="DY38" i="2"/>
  <c r="DY39" i="2"/>
  <c r="DY40" i="2"/>
  <c r="DY41" i="2"/>
  <c r="DY42" i="2"/>
  <c r="DY43" i="2"/>
  <c r="DY44" i="2"/>
  <c r="DY45" i="2"/>
  <c r="DY46" i="2"/>
  <c r="DY47" i="2"/>
  <c r="DY48" i="2"/>
  <c r="DY49" i="2"/>
  <c r="DY50" i="2"/>
  <c r="DY51" i="2"/>
  <c r="DY52" i="2"/>
  <c r="DY53" i="2"/>
  <c r="DY54" i="2"/>
  <c r="DY55" i="2"/>
  <c r="DY56" i="2"/>
  <c r="DY57" i="2"/>
  <c r="DY58" i="2"/>
  <c r="DY59" i="2"/>
  <c r="DY60" i="2"/>
  <c r="DY61" i="2"/>
  <c r="DY62" i="2"/>
  <c r="DV4" i="2"/>
  <c r="DV5" i="2"/>
  <c r="DV6" i="2"/>
  <c r="DV7" i="2"/>
  <c r="DV8" i="2"/>
  <c r="DV9" i="2"/>
  <c r="DV10" i="2"/>
  <c r="DV11" i="2"/>
  <c r="DV12" i="2"/>
  <c r="DV13" i="2"/>
  <c r="DV14" i="2"/>
  <c r="DV15" i="2"/>
  <c r="DV16" i="2"/>
  <c r="DV17" i="2"/>
  <c r="DV18" i="2"/>
  <c r="DV19" i="2"/>
  <c r="DV20" i="2"/>
  <c r="DV21" i="2"/>
  <c r="DV22" i="2"/>
  <c r="DV23" i="2"/>
  <c r="DV24" i="2"/>
  <c r="DV25" i="2"/>
  <c r="DV26" i="2"/>
  <c r="DV27" i="2"/>
  <c r="DV28" i="2"/>
  <c r="DV29" i="2"/>
  <c r="DV30" i="2"/>
  <c r="DV31" i="2"/>
  <c r="DV32" i="2"/>
  <c r="DV33" i="2"/>
  <c r="DV34" i="2"/>
  <c r="DV35" i="2"/>
  <c r="DV36" i="2"/>
  <c r="DV37" i="2"/>
  <c r="DV38" i="2"/>
  <c r="DV39" i="2"/>
  <c r="DV40" i="2"/>
  <c r="DV41" i="2"/>
  <c r="DV42" i="2"/>
  <c r="DV43" i="2"/>
  <c r="DV44" i="2"/>
  <c r="DV45" i="2"/>
  <c r="DV46" i="2"/>
  <c r="DV47" i="2"/>
  <c r="DV48" i="2"/>
  <c r="DV49" i="2"/>
  <c r="DV50" i="2"/>
  <c r="DV51" i="2"/>
  <c r="DV52" i="2"/>
  <c r="DV53" i="2"/>
  <c r="DV54" i="2"/>
  <c r="DV55" i="2"/>
  <c r="DV56" i="2"/>
  <c r="DV57" i="2"/>
  <c r="DV58" i="2"/>
  <c r="DV59" i="2"/>
  <c r="DV60" i="2"/>
  <c r="DV61" i="2"/>
  <c r="DV62" i="2"/>
  <c r="DS4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P4" i="2"/>
  <c r="DP5" i="2"/>
  <c r="DP6" i="2"/>
  <c r="DP7" i="2"/>
  <c r="DP8" i="2"/>
  <c r="DP9" i="2"/>
  <c r="DP10" i="2"/>
  <c r="DP11" i="2"/>
  <c r="DP12" i="2"/>
  <c r="DP13" i="2"/>
  <c r="DP14" i="2"/>
  <c r="DP15" i="2"/>
  <c r="DP16" i="2"/>
  <c r="DP17" i="2"/>
  <c r="DP18" i="2"/>
  <c r="DP19" i="2"/>
  <c r="DP20" i="2"/>
  <c r="DP21" i="2"/>
  <c r="DP22" i="2"/>
  <c r="DP23" i="2"/>
  <c r="DP24" i="2"/>
  <c r="DP25" i="2"/>
  <c r="DP26" i="2"/>
  <c r="DP27" i="2"/>
  <c r="DP28" i="2"/>
  <c r="DP29" i="2"/>
  <c r="DP30" i="2"/>
  <c r="DP31" i="2"/>
  <c r="DP32" i="2"/>
  <c r="DP33" i="2"/>
  <c r="DP34" i="2"/>
  <c r="DP35" i="2"/>
  <c r="DP36" i="2"/>
  <c r="DP37" i="2"/>
  <c r="DP38" i="2"/>
  <c r="DP39" i="2"/>
  <c r="DP40" i="2"/>
  <c r="DP41" i="2"/>
  <c r="DP42" i="2"/>
  <c r="DP43" i="2"/>
  <c r="DP44" i="2"/>
  <c r="DP45" i="2"/>
  <c r="DP46" i="2"/>
  <c r="DP47" i="2"/>
  <c r="DP48" i="2"/>
  <c r="DP49" i="2"/>
  <c r="DP50" i="2"/>
  <c r="DP51" i="2"/>
  <c r="DP52" i="2"/>
  <c r="DP53" i="2"/>
  <c r="DP54" i="2"/>
  <c r="DP55" i="2"/>
  <c r="DP56" i="2"/>
  <c r="DP57" i="2"/>
  <c r="DP58" i="2"/>
  <c r="DP59" i="2"/>
  <c r="DP60" i="2"/>
  <c r="DP61" i="2"/>
  <c r="DP62" i="2"/>
  <c r="DM4" i="2"/>
  <c r="DM5" i="2"/>
  <c r="DM6" i="2"/>
  <c r="DM7" i="2"/>
  <c r="DM8" i="2"/>
  <c r="DM9" i="2"/>
  <c r="DM10" i="2"/>
  <c r="DM11" i="2"/>
  <c r="DM12" i="2"/>
  <c r="DM13" i="2"/>
  <c r="DM14" i="2"/>
  <c r="DM15" i="2"/>
  <c r="DM16" i="2"/>
  <c r="DM17" i="2"/>
  <c r="DM18" i="2"/>
  <c r="DM19" i="2"/>
  <c r="DM20" i="2"/>
  <c r="DM21" i="2"/>
  <c r="DM22" i="2"/>
  <c r="DM23" i="2"/>
  <c r="DM24" i="2"/>
  <c r="DM25" i="2"/>
  <c r="DM26" i="2"/>
  <c r="DM27" i="2"/>
  <c r="DM28" i="2"/>
  <c r="DM29" i="2"/>
  <c r="DM30" i="2"/>
  <c r="DM31" i="2"/>
  <c r="DM32" i="2"/>
  <c r="DM33" i="2"/>
  <c r="DM34" i="2"/>
  <c r="DM35" i="2"/>
  <c r="DM36" i="2"/>
  <c r="DM37" i="2"/>
  <c r="DM38" i="2"/>
  <c r="DM39" i="2"/>
  <c r="DM40" i="2"/>
  <c r="DM41" i="2"/>
  <c r="DM42" i="2"/>
  <c r="DM43" i="2"/>
  <c r="DM44" i="2"/>
  <c r="DM45" i="2"/>
  <c r="DM46" i="2"/>
  <c r="DM47" i="2"/>
  <c r="DM48" i="2"/>
  <c r="DM49" i="2"/>
  <c r="DM50" i="2"/>
  <c r="DM51" i="2"/>
  <c r="DM52" i="2"/>
  <c r="DM53" i="2"/>
  <c r="DM54" i="2"/>
  <c r="DM55" i="2"/>
  <c r="DM56" i="2"/>
  <c r="DM57" i="2"/>
  <c r="DM58" i="2"/>
  <c r="DM59" i="2"/>
  <c r="DM60" i="2"/>
  <c r="DM61" i="2"/>
  <c r="DM62" i="2"/>
  <c r="DJ4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G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F64" i="2"/>
  <c r="DI64" i="2"/>
  <c r="DL64" i="2"/>
  <c r="DO64" i="2"/>
  <c r="DR64" i="2"/>
  <c r="DU64" i="2"/>
  <c r="DX64" i="2"/>
  <c r="DI63" i="2"/>
  <c r="DU63" i="2"/>
  <c r="DX63" i="2"/>
  <c r="CP122" i="2"/>
  <c r="CM122" i="2"/>
  <c r="CF124" i="2"/>
  <c r="CI124" i="2"/>
  <c r="CL124" i="2"/>
  <c r="CO124" i="2"/>
  <c r="CR124" i="2"/>
  <c r="CU124" i="2"/>
  <c r="CX124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Y98" i="2"/>
  <c r="CY99" i="2"/>
  <c r="CY100" i="2"/>
  <c r="CY101" i="2"/>
  <c r="CY102" i="2"/>
  <c r="CY103" i="2"/>
  <c r="CY104" i="2"/>
  <c r="CY105" i="2"/>
  <c r="CY106" i="2"/>
  <c r="CY107" i="2"/>
  <c r="CY108" i="2"/>
  <c r="CY109" i="2"/>
  <c r="CY110" i="2"/>
  <c r="CY111" i="2"/>
  <c r="CY112" i="2"/>
  <c r="CY113" i="2"/>
  <c r="CY114" i="2"/>
  <c r="CY115" i="2"/>
  <c r="CY116" i="2"/>
  <c r="CY117" i="2"/>
  <c r="CY118" i="2"/>
  <c r="CY119" i="2"/>
  <c r="CY120" i="2"/>
  <c r="CY121" i="2"/>
  <c r="CY122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1" i="2"/>
  <c r="CM112" i="2"/>
  <c r="CM113" i="2"/>
  <c r="CM114" i="2"/>
  <c r="CM115" i="2"/>
  <c r="CM116" i="2"/>
  <c r="CM117" i="2"/>
  <c r="CM118" i="2"/>
  <c r="CM119" i="2"/>
  <c r="CM120" i="2"/>
  <c r="CM121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F123" i="2"/>
  <c r="CI123" i="2"/>
  <c r="CL123" i="2"/>
  <c r="CO123" i="2"/>
  <c r="CR123" i="2"/>
  <c r="CU123" i="2"/>
  <c r="CX123" i="2"/>
  <c r="BX259" i="2"/>
  <c r="BF259" i="2"/>
  <c r="BI259" i="2"/>
  <c r="BL259" i="2"/>
  <c r="BO259" i="2"/>
  <c r="BR259" i="2"/>
  <c r="BU259" i="2"/>
  <c r="BP257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0" i="2"/>
  <c r="BY211" i="2"/>
  <c r="BY212" i="2"/>
  <c r="BY213" i="2"/>
  <c r="BY214" i="2"/>
  <c r="BY215" i="2"/>
  <c r="BY216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39" i="2"/>
  <c r="BY240" i="2"/>
  <c r="BY241" i="2"/>
  <c r="BY242" i="2"/>
  <c r="BY243" i="2"/>
  <c r="BY244" i="2"/>
  <c r="BY245" i="2"/>
  <c r="BY246" i="2"/>
  <c r="BY247" i="2"/>
  <c r="BY248" i="2"/>
  <c r="BY249" i="2"/>
  <c r="BY250" i="2"/>
  <c r="BY251" i="2"/>
  <c r="BY252" i="2"/>
  <c r="BY253" i="2"/>
  <c r="BY254" i="2"/>
  <c r="BY255" i="2"/>
  <c r="BY256" i="2"/>
  <c r="BY257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F258" i="2"/>
  <c r="BI258" i="2"/>
  <c r="BL258" i="2"/>
  <c r="BO258" i="2"/>
  <c r="BR258" i="2"/>
  <c r="BU258" i="2"/>
  <c r="BX258" i="2"/>
  <c r="AM74" i="2"/>
  <c r="AJ74" i="2"/>
  <c r="AF76" i="2"/>
  <c r="AI76" i="2"/>
  <c r="AL76" i="2"/>
  <c r="AO76" i="2"/>
  <c r="AR76" i="2"/>
  <c r="AU76" i="2"/>
  <c r="AX76" i="2"/>
  <c r="AF75" i="2"/>
  <c r="AI75" i="2"/>
  <c r="AL75" i="2"/>
  <c r="AO75" i="2"/>
  <c r="AR75" i="2"/>
  <c r="AU75" i="2"/>
  <c r="AX75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G211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Y4" i="2"/>
  <c r="V4" i="2"/>
  <c r="S4" i="2"/>
  <c r="P4" i="2"/>
  <c r="M4" i="2"/>
  <c r="J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4" i="2"/>
  <c r="D212" i="2" l="1"/>
  <c r="G54" i="3"/>
  <c r="J54" i="3"/>
  <c r="D55" i="3"/>
  <c r="P56" i="3"/>
  <c r="Q53" i="3" s="1"/>
  <c r="P57" i="3"/>
  <c r="Q17" i="3" s="1"/>
  <c r="Q39" i="3"/>
  <c r="Q35" i="3"/>
  <c r="Q23" i="3"/>
  <c r="Q49" i="3"/>
  <c r="Q33" i="3"/>
  <c r="Q48" i="3"/>
  <c r="Q32" i="3"/>
  <c r="Q16" i="3"/>
  <c r="Q15" i="3"/>
  <c r="Q14" i="3"/>
  <c r="Q24" i="3"/>
  <c r="Q45" i="3"/>
  <c r="Q29" i="3"/>
  <c r="Q13" i="3"/>
  <c r="Q44" i="3"/>
  <c r="Q28" i="3"/>
  <c r="Q12" i="3"/>
  <c r="Q8" i="3"/>
  <c r="Q10" i="3"/>
  <c r="S54" i="3"/>
  <c r="G56" i="3"/>
  <c r="J56" i="3"/>
  <c r="Q6" i="3"/>
  <c r="V54" i="3"/>
  <c r="Y56" i="3"/>
  <c r="M56" i="3"/>
  <c r="D54" i="3"/>
  <c r="GY63" i="2"/>
  <c r="GS63" i="2"/>
  <c r="GJ63" i="2"/>
  <c r="GJ66" i="2" s="1"/>
  <c r="GJ64" i="2"/>
  <c r="GG63" i="2"/>
  <c r="GP63" i="2"/>
  <c r="GP66" i="2" s="1"/>
  <c r="FP64" i="2"/>
  <c r="FP66" i="2" s="1"/>
  <c r="FY64" i="2"/>
  <c r="GD64" i="2"/>
  <c r="GM63" i="2"/>
  <c r="GM64" i="2"/>
  <c r="GM66" i="2" s="1"/>
  <c r="GV64" i="2"/>
  <c r="GY64" i="2"/>
  <c r="GV63" i="2"/>
  <c r="GV65" i="2" s="1"/>
  <c r="GS64" i="2"/>
  <c r="GP64" i="2"/>
  <c r="GG64" i="2"/>
  <c r="GD63" i="2"/>
  <c r="DD63" i="2"/>
  <c r="FJ63" i="2"/>
  <c r="FD63" i="2"/>
  <c r="DJ63" i="2"/>
  <c r="FG64" i="2"/>
  <c r="FS63" i="2"/>
  <c r="FY63" i="2"/>
  <c r="FY66" i="2" s="1"/>
  <c r="FD64" i="2"/>
  <c r="EJ64" i="2"/>
  <c r="FV64" i="2"/>
  <c r="EV63" i="2"/>
  <c r="EM63" i="2"/>
  <c r="EM65" i="2" s="1"/>
  <c r="EP64" i="2"/>
  <c r="EY64" i="2"/>
  <c r="FP63" i="2"/>
  <c r="FV63" i="2"/>
  <c r="FS64" i="2"/>
  <c r="FM64" i="2"/>
  <c r="FM63" i="2"/>
  <c r="FJ64" i="2"/>
  <c r="FG63" i="2"/>
  <c r="EP63" i="2"/>
  <c r="EY63" i="2"/>
  <c r="EY65" i="2" s="1"/>
  <c r="ED64" i="2"/>
  <c r="EM64" i="2"/>
  <c r="EG64" i="2"/>
  <c r="DM64" i="2"/>
  <c r="DS63" i="2"/>
  <c r="DS65" i="2" s="1"/>
  <c r="DV63" i="2"/>
  <c r="DV65" i="2" s="1"/>
  <c r="DY64" i="2"/>
  <c r="DY65" i="2" s="1"/>
  <c r="EJ63" i="2"/>
  <c r="DM63" i="2"/>
  <c r="DM65" i="2" s="1"/>
  <c r="ES63" i="2"/>
  <c r="EV64" i="2"/>
  <c r="ES64" i="2"/>
  <c r="EG63" i="2"/>
  <c r="EG65" i="2" s="1"/>
  <c r="ED63" i="2"/>
  <c r="BG259" i="2"/>
  <c r="CG124" i="2"/>
  <c r="CV124" i="2"/>
  <c r="DS64" i="2"/>
  <c r="DJ64" i="2"/>
  <c r="CP124" i="2"/>
  <c r="DY63" i="2"/>
  <c r="DD64" i="2"/>
  <c r="BS259" i="2"/>
  <c r="CJ124" i="2"/>
  <c r="DP64" i="2"/>
  <c r="BP259" i="2"/>
  <c r="CS124" i="2"/>
  <c r="CY124" i="2"/>
  <c r="BY259" i="2"/>
  <c r="CD124" i="2"/>
  <c r="CM123" i="2"/>
  <c r="BM259" i="2"/>
  <c r="CM124" i="2"/>
  <c r="DV64" i="2"/>
  <c r="BJ259" i="2"/>
  <c r="DG64" i="2"/>
  <c r="DP63" i="2"/>
  <c r="DG63" i="2"/>
  <c r="CV123" i="2"/>
  <c r="CP123" i="2"/>
  <c r="CJ123" i="2"/>
  <c r="CD123" i="2"/>
  <c r="CY123" i="2"/>
  <c r="BP258" i="2"/>
  <c r="BV258" i="2"/>
  <c r="BV259" i="2"/>
  <c r="CG123" i="2"/>
  <c r="CS123" i="2"/>
  <c r="BD258" i="2"/>
  <c r="BM258" i="2"/>
  <c r="DD66" i="2"/>
  <c r="EY66" i="2"/>
  <c r="GD66" i="2"/>
  <c r="GM65" i="2"/>
  <c r="BY258" i="2"/>
  <c r="DY66" i="2"/>
  <c r="FP65" i="2"/>
  <c r="BJ258" i="2"/>
  <c r="BS258" i="2"/>
  <c r="BG258" i="2"/>
  <c r="BD259" i="2"/>
  <c r="AM76" i="2"/>
  <c r="AG75" i="2"/>
  <c r="AV75" i="2"/>
  <c r="AY76" i="2"/>
  <c r="AS75" i="2"/>
  <c r="AG76" i="2"/>
  <c r="AV76" i="2"/>
  <c r="AP75" i="2"/>
  <c r="AJ76" i="2"/>
  <c r="AS76" i="2"/>
  <c r="AM75" i="2"/>
  <c r="AD76" i="2"/>
  <c r="AD75" i="2"/>
  <c r="AP76" i="2"/>
  <c r="AJ75" i="2"/>
  <c r="AY75" i="2"/>
  <c r="V212" i="2"/>
  <c r="Y212" i="2"/>
  <c r="D213" i="2"/>
  <c r="D214" i="2" s="1"/>
  <c r="G212" i="2"/>
  <c r="J212" i="2"/>
  <c r="M212" i="2"/>
  <c r="P212" i="2"/>
  <c r="S212" i="2"/>
  <c r="Q26" i="3" l="1"/>
  <c r="Q27" i="3"/>
  <c r="Q42" i="3"/>
  <c r="Q43" i="3"/>
  <c r="Q11" i="3"/>
  <c r="CM126" i="2"/>
  <c r="DS66" i="2"/>
  <c r="DT61" i="2" s="1"/>
  <c r="GJ65" i="2"/>
  <c r="GK30" i="2" s="1"/>
  <c r="FY65" i="2"/>
  <c r="FG65" i="2"/>
  <c r="FQ39" i="2"/>
  <c r="EJ65" i="2"/>
  <c r="EK61" i="2" s="1"/>
  <c r="EP65" i="2"/>
  <c r="EQ45" i="2" s="1"/>
  <c r="DD65" i="2"/>
  <c r="DE5" i="2" s="1"/>
  <c r="GP65" i="2"/>
  <c r="GQ42" i="2" s="1"/>
  <c r="FJ65" i="2"/>
  <c r="GG65" i="2"/>
  <c r="DM66" i="2"/>
  <c r="DN24" i="2" s="1"/>
  <c r="FV66" i="2"/>
  <c r="K20" i="3"/>
  <c r="K31" i="3"/>
  <c r="K30" i="3"/>
  <c r="K27" i="3"/>
  <c r="K10" i="3"/>
  <c r="K28" i="3"/>
  <c r="K34" i="3"/>
  <c r="N38" i="3"/>
  <c r="N9" i="3"/>
  <c r="N32" i="3"/>
  <c r="N31" i="3"/>
  <c r="N28" i="3"/>
  <c r="N16" i="3"/>
  <c r="Z28" i="3"/>
  <c r="Y57" i="3"/>
  <c r="Z6" i="3" s="1"/>
  <c r="S56" i="3"/>
  <c r="S57" i="3"/>
  <c r="Q19" i="3"/>
  <c r="Q51" i="3"/>
  <c r="Q9" i="3"/>
  <c r="Q41" i="3"/>
  <c r="Q25" i="3"/>
  <c r="Q38" i="3"/>
  <c r="Q30" i="3"/>
  <c r="Q31" i="3"/>
  <c r="J57" i="3"/>
  <c r="K7" i="3" s="1"/>
  <c r="Q20" i="3"/>
  <c r="Q5" i="3"/>
  <c r="Q46" i="3"/>
  <c r="Q47" i="3"/>
  <c r="Q18" i="3"/>
  <c r="G57" i="3"/>
  <c r="H35" i="3" s="1"/>
  <c r="Q36" i="3"/>
  <c r="Q21" i="3"/>
  <c r="Q22" i="3"/>
  <c r="D56" i="3"/>
  <c r="D57" i="3"/>
  <c r="Q34" i="3"/>
  <c r="Q7" i="3"/>
  <c r="Q52" i="3"/>
  <c r="Q37" i="3"/>
  <c r="Q4" i="3"/>
  <c r="Q50" i="3"/>
  <c r="Q40" i="3"/>
  <c r="M57" i="3"/>
  <c r="N46" i="3" s="1"/>
  <c r="V56" i="3"/>
  <c r="V57" i="3"/>
  <c r="GD65" i="2"/>
  <c r="GE62" i="2" s="1"/>
  <c r="GQ8" i="2"/>
  <c r="GQ15" i="2"/>
  <c r="GS66" i="2"/>
  <c r="EM66" i="2"/>
  <c r="FD65" i="2"/>
  <c r="FE45" i="2" s="1"/>
  <c r="GY65" i="2"/>
  <c r="GN21" i="2"/>
  <c r="GN44" i="2"/>
  <c r="GN13" i="2"/>
  <c r="GN60" i="2"/>
  <c r="FD66" i="2"/>
  <c r="FE62" i="2" s="1"/>
  <c r="GQ40" i="2"/>
  <c r="DZ45" i="2"/>
  <c r="ED66" i="2"/>
  <c r="GQ56" i="2"/>
  <c r="GQ10" i="2"/>
  <c r="GQ41" i="2"/>
  <c r="GN47" i="2"/>
  <c r="GQ4" i="2"/>
  <c r="GQ57" i="2"/>
  <c r="GQ20" i="2"/>
  <c r="GQ26" i="2"/>
  <c r="ES65" i="2"/>
  <c r="BM261" i="2"/>
  <c r="GK17" i="2"/>
  <c r="CS126" i="2"/>
  <c r="GN38" i="2"/>
  <c r="GQ21" i="2"/>
  <c r="EP66" i="2"/>
  <c r="EQ46" i="2" s="1"/>
  <c r="GN54" i="2"/>
  <c r="GQ37" i="2"/>
  <c r="GQ14" i="2"/>
  <c r="GN7" i="2"/>
  <c r="GQ53" i="2"/>
  <c r="GQ30" i="2"/>
  <c r="DV66" i="2"/>
  <c r="DW16" i="2" s="1"/>
  <c r="DJ66" i="2"/>
  <c r="GN23" i="2"/>
  <c r="EJ66" i="2"/>
  <c r="EK50" i="2" s="1"/>
  <c r="GN28" i="2"/>
  <c r="GY66" i="2"/>
  <c r="GZ18" i="2" s="1"/>
  <c r="GV66" i="2"/>
  <c r="GW19" i="2" s="1"/>
  <c r="GS65" i="2"/>
  <c r="GQ22" i="2"/>
  <c r="GQ34" i="2"/>
  <c r="GQ32" i="2"/>
  <c r="GQ54" i="2"/>
  <c r="GQ28" i="2"/>
  <c r="GQ48" i="2"/>
  <c r="GQ6" i="2"/>
  <c r="GQ38" i="2"/>
  <c r="GQ7" i="2"/>
  <c r="GQ44" i="2"/>
  <c r="GQ9" i="2"/>
  <c r="GQ60" i="2"/>
  <c r="GQ18" i="2"/>
  <c r="GN14" i="2"/>
  <c r="GN30" i="2"/>
  <c r="GN55" i="2"/>
  <c r="GN46" i="2"/>
  <c r="GN18" i="2"/>
  <c r="GN4" i="2"/>
  <c r="GN20" i="2"/>
  <c r="GN26" i="2"/>
  <c r="GN45" i="2"/>
  <c r="GN50" i="2"/>
  <c r="GN52" i="2"/>
  <c r="GN5" i="2"/>
  <c r="GN31" i="2"/>
  <c r="GN29" i="2"/>
  <c r="GN61" i="2"/>
  <c r="GN36" i="2"/>
  <c r="GN10" i="2"/>
  <c r="GN53" i="2"/>
  <c r="GN41" i="2"/>
  <c r="GN62" i="2"/>
  <c r="GN11" i="2"/>
  <c r="GN59" i="2"/>
  <c r="GN43" i="2"/>
  <c r="GN27" i="2"/>
  <c r="GN8" i="2"/>
  <c r="GN16" i="2"/>
  <c r="GN24" i="2"/>
  <c r="GN32" i="2"/>
  <c r="GN40" i="2"/>
  <c r="GN48" i="2"/>
  <c r="GN56" i="2"/>
  <c r="GN9" i="2"/>
  <c r="GN17" i="2"/>
  <c r="GN25" i="2"/>
  <c r="GN19" i="2"/>
  <c r="GN35" i="2"/>
  <c r="GN51" i="2"/>
  <c r="GN37" i="2"/>
  <c r="GN6" i="2"/>
  <c r="GN34" i="2"/>
  <c r="GN33" i="2"/>
  <c r="GN39" i="2"/>
  <c r="GN57" i="2"/>
  <c r="GN15" i="2"/>
  <c r="GN42" i="2"/>
  <c r="GN58" i="2"/>
  <c r="GN22" i="2"/>
  <c r="GN12" i="2"/>
  <c r="GN49" i="2"/>
  <c r="GK29" i="2"/>
  <c r="GK9" i="2"/>
  <c r="GK13" i="2"/>
  <c r="GK8" i="2"/>
  <c r="GK32" i="2"/>
  <c r="GK24" i="2"/>
  <c r="GK4" i="2"/>
  <c r="GK31" i="2"/>
  <c r="GK14" i="2"/>
  <c r="GK23" i="2"/>
  <c r="GK20" i="2"/>
  <c r="GK46" i="2"/>
  <c r="GK52" i="2"/>
  <c r="GK5" i="2"/>
  <c r="GK21" i="2"/>
  <c r="GK57" i="2"/>
  <c r="GK16" i="2"/>
  <c r="GK61" i="2"/>
  <c r="GK40" i="2"/>
  <c r="GK56" i="2"/>
  <c r="GK25" i="2"/>
  <c r="GK41" i="2"/>
  <c r="GK47" i="2"/>
  <c r="GK22" i="2"/>
  <c r="GK28" i="2"/>
  <c r="GK7" i="2"/>
  <c r="GK45" i="2"/>
  <c r="GK19" i="2"/>
  <c r="GK35" i="2"/>
  <c r="GK27" i="2"/>
  <c r="GK43" i="2"/>
  <c r="GK51" i="2"/>
  <c r="GK11" i="2"/>
  <c r="GK10" i="2"/>
  <c r="GK18" i="2"/>
  <c r="GK26" i="2"/>
  <c r="GK34" i="2"/>
  <c r="GK42" i="2"/>
  <c r="GK50" i="2"/>
  <c r="GK58" i="2"/>
  <c r="GK37" i="2"/>
  <c r="GK53" i="2"/>
  <c r="GK12" i="2"/>
  <c r="GK38" i="2"/>
  <c r="GK44" i="2"/>
  <c r="GK33" i="2"/>
  <c r="GK39" i="2"/>
  <c r="GK36" i="2"/>
  <c r="GK62" i="2"/>
  <c r="GK15" i="2"/>
  <c r="GK48" i="2"/>
  <c r="GK6" i="2"/>
  <c r="GK54" i="2"/>
  <c r="GK60" i="2"/>
  <c r="GK49" i="2"/>
  <c r="GG66" i="2"/>
  <c r="GH51" i="2" s="1"/>
  <c r="GE58" i="2"/>
  <c r="GE48" i="2"/>
  <c r="GE28" i="2"/>
  <c r="GE30" i="2"/>
  <c r="GE61" i="2"/>
  <c r="GE40" i="2"/>
  <c r="FE53" i="2"/>
  <c r="FE37" i="2"/>
  <c r="FE60" i="2"/>
  <c r="FE44" i="2"/>
  <c r="FE28" i="2"/>
  <c r="FE12" i="2"/>
  <c r="FE54" i="2"/>
  <c r="FE38" i="2"/>
  <c r="FE22" i="2"/>
  <c r="FZ33" i="2"/>
  <c r="EN18" i="2"/>
  <c r="DZ44" i="2"/>
  <c r="CP126" i="2"/>
  <c r="DG65" i="2"/>
  <c r="EZ32" i="2"/>
  <c r="FQ32" i="2"/>
  <c r="EV66" i="2"/>
  <c r="FQ13" i="2"/>
  <c r="DT44" i="2"/>
  <c r="DP66" i="2"/>
  <c r="EZ44" i="2"/>
  <c r="FS66" i="2"/>
  <c r="FZ30" i="2"/>
  <c r="FZ8" i="2"/>
  <c r="FZ40" i="2"/>
  <c r="FZ47" i="2"/>
  <c r="FZ46" i="2"/>
  <c r="FZ15" i="2"/>
  <c r="FZ16" i="2"/>
  <c r="FZ55" i="2"/>
  <c r="FZ24" i="2"/>
  <c r="FZ42" i="2"/>
  <c r="FZ25" i="2"/>
  <c r="FZ9" i="2"/>
  <c r="FZ41" i="2"/>
  <c r="FZ10" i="2"/>
  <c r="FZ48" i="2"/>
  <c r="FZ5" i="2"/>
  <c r="FZ26" i="2"/>
  <c r="FZ34" i="2"/>
  <c r="FZ53" i="2"/>
  <c r="FZ38" i="2"/>
  <c r="FZ58" i="2"/>
  <c r="FZ50" i="2"/>
  <c r="FZ17" i="2"/>
  <c r="FZ14" i="2"/>
  <c r="FZ62" i="2"/>
  <c r="FZ54" i="2"/>
  <c r="FZ7" i="2"/>
  <c r="FZ29" i="2"/>
  <c r="FZ4" i="2"/>
  <c r="FZ12" i="2"/>
  <c r="FZ20" i="2"/>
  <c r="FZ28" i="2"/>
  <c r="FZ36" i="2"/>
  <c r="FZ44" i="2"/>
  <c r="FZ52" i="2"/>
  <c r="FZ60" i="2"/>
  <c r="FZ43" i="2"/>
  <c r="FZ59" i="2"/>
  <c r="FZ51" i="2"/>
  <c r="FZ35" i="2"/>
  <c r="FZ11" i="2"/>
  <c r="FZ19" i="2"/>
  <c r="FZ27" i="2"/>
  <c r="FZ31" i="2"/>
  <c r="FZ37" i="2"/>
  <c r="FZ32" i="2"/>
  <c r="FZ22" i="2"/>
  <c r="FZ23" i="2"/>
  <c r="FZ45" i="2"/>
  <c r="FZ49" i="2"/>
  <c r="FZ56" i="2"/>
  <c r="FZ21" i="2"/>
  <c r="FZ57" i="2"/>
  <c r="FZ6" i="2"/>
  <c r="FZ13" i="2"/>
  <c r="FZ39" i="2"/>
  <c r="FZ61" i="2"/>
  <c r="FZ18" i="2"/>
  <c r="FV65" i="2"/>
  <c r="FS65" i="2"/>
  <c r="FQ8" i="2"/>
  <c r="FQ29" i="2"/>
  <c r="FQ61" i="2"/>
  <c r="FQ55" i="2"/>
  <c r="FQ52" i="2"/>
  <c r="FQ40" i="2"/>
  <c r="FQ31" i="2"/>
  <c r="FQ30" i="2"/>
  <c r="FQ47" i="2"/>
  <c r="FQ24" i="2"/>
  <c r="FQ62" i="2"/>
  <c r="FQ16" i="2"/>
  <c r="FQ20" i="2"/>
  <c r="FQ38" i="2"/>
  <c r="FQ6" i="2"/>
  <c r="FQ14" i="2"/>
  <c r="FQ22" i="2"/>
  <c r="FQ43" i="2"/>
  <c r="FQ51" i="2"/>
  <c r="FQ19" i="2"/>
  <c r="FQ9" i="2"/>
  <c r="FQ17" i="2"/>
  <c r="FQ25" i="2"/>
  <c r="FQ33" i="2"/>
  <c r="FQ41" i="2"/>
  <c r="FQ35" i="2"/>
  <c r="FQ27" i="2"/>
  <c r="FQ59" i="2"/>
  <c r="FQ11" i="2"/>
  <c r="FQ56" i="2"/>
  <c r="FQ15" i="2"/>
  <c r="FQ54" i="2"/>
  <c r="FQ12" i="2"/>
  <c r="FQ48" i="2"/>
  <c r="FQ10" i="2"/>
  <c r="FQ42" i="2"/>
  <c r="FQ28" i="2"/>
  <c r="FQ34" i="2"/>
  <c r="FQ4" i="2"/>
  <c r="FQ36" i="2"/>
  <c r="FQ5" i="2"/>
  <c r="FQ21" i="2"/>
  <c r="FQ37" i="2"/>
  <c r="FQ7" i="2"/>
  <c r="FQ44" i="2"/>
  <c r="FQ49" i="2"/>
  <c r="FQ45" i="2"/>
  <c r="FQ46" i="2"/>
  <c r="FQ57" i="2"/>
  <c r="FQ26" i="2"/>
  <c r="FQ58" i="2"/>
  <c r="FQ50" i="2"/>
  <c r="FQ53" i="2"/>
  <c r="FQ23" i="2"/>
  <c r="FQ60" i="2"/>
  <c r="FQ18" i="2"/>
  <c r="FM65" i="2"/>
  <c r="FM66" i="2"/>
  <c r="FJ66" i="2"/>
  <c r="FK39" i="2" s="1"/>
  <c r="FG66" i="2"/>
  <c r="FH31" i="2" s="1"/>
  <c r="FH39" i="2"/>
  <c r="FE7" i="2"/>
  <c r="FE30" i="2"/>
  <c r="FE46" i="2"/>
  <c r="FE61" i="2"/>
  <c r="FE50" i="2"/>
  <c r="FE43" i="2"/>
  <c r="FE19" i="2"/>
  <c r="FE8" i="2"/>
  <c r="FE16" i="2"/>
  <c r="FE24" i="2"/>
  <c r="FE32" i="2"/>
  <c r="FE40" i="2"/>
  <c r="FE48" i="2"/>
  <c r="FE20" i="2"/>
  <c r="FE57" i="2"/>
  <c r="FE5" i="2"/>
  <c r="FE58" i="2"/>
  <c r="FE49" i="2"/>
  <c r="EK23" i="2"/>
  <c r="EK25" i="2"/>
  <c r="EK30" i="2"/>
  <c r="EZ60" i="2"/>
  <c r="EK39" i="2"/>
  <c r="DT36" i="2"/>
  <c r="EK24" i="2"/>
  <c r="EK43" i="2"/>
  <c r="EK31" i="2"/>
  <c r="DT18" i="2"/>
  <c r="EK7" i="2"/>
  <c r="EK40" i="2"/>
  <c r="EK27" i="2"/>
  <c r="EK47" i="2"/>
  <c r="DT45" i="2"/>
  <c r="EK4" i="2"/>
  <c r="EK56" i="2"/>
  <c r="EK19" i="2"/>
  <c r="EK16" i="2"/>
  <c r="DE24" i="2"/>
  <c r="EK42" i="2"/>
  <c r="EN54" i="2"/>
  <c r="EK11" i="2"/>
  <c r="EN7" i="2"/>
  <c r="EK52" i="2"/>
  <c r="EK34" i="2"/>
  <c r="EK12" i="2"/>
  <c r="EN44" i="2"/>
  <c r="EK5" i="2"/>
  <c r="EK26" i="2"/>
  <c r="EK60" i="2"/>
  <c r="EN60" i="2"/>
  <c r="DZ30" i="2"/>
  <c r="EK21" i="2"/>
  <c r="EK18" i="2"/>
  <c r="EK13" i="2"/>
  <c r="ES66" i="2"/>
  <c r="ET52" i="2" s="1"/>
  <c r="EK37" i="2"/>
  <c r="EZ21" i="2"/>
  <c r="EK41" i="2"/>
  <c r="EZ37" i="2"/>
  <c r="EZ6" i="2"/>
  <c r="EZ22" i="2"/>
  <c r="EZ46" i="2"/>
  <c r="EZ53" i="2"/>
  <c r="EZ14" i="2"/>
  <c r="EZ62" i="2"/>
  <c r="EZ13" i="2"/>
  <c r="EZ38" i="2"/>
  <c r="EZ45" i="2"/>
  <c r="EZ31" i="2"/>
  <c r="EZ29" i="2"/>
  <c r="EZ61" i="2"/>
  <c r="EZ30" i="2"/>
  <c r="EZ39" i="2"/>
  <c r="EZ20" i="2"/>
  <c r="EZ47" i="2"/>
  <c r="EZ23" i="2"/>
  <c r="EZ24" i="2"/>
  <c r="EZ56" i="2"/>
  <c r="EZ16" i="2"/>
  <c r="EZ55" i="2"/>
  <c r="EZ4" i="2"/>
  <c r="EZ12" i="2"/>
  <c r="EZ59" i="2"/>
  <c r="EZ35" i="2"/>
  <c r="EZ27" i="2"/>
  <c r="EZ43" i="2"/>
  <c r="EZ8" i="2"/>
  <c r="EZ19" i="2"/>
  <c r="EZ9" i="2"/>
  <c r="EZ17" i="2"/>
  <c r="EZ25" i="2"/>
  <c r="EZ33" i="2"/>
  <c r="EZ41" i="2"/>
  <c r="EZ49" i="2"/>
  <c r="EZ57" i="2"/>
  <c r="EZ10" i="2"/>
  <c r="EZ18" i="2"/>
  <c r="EZ26" i="2"/>
  <c r="EZ34" i="2"/>
  <c r="EZ42" i="2"/>
  <c r="EZ50" i="2"/>
  <c r="EZ58" i="2"/>
  <c r="EZ51" i="2"/>
  <c r="EZ11" i="2"/>
  <c r="EZ54" i="2"/>
  <c r="EZ7" i="2"/>
  <c r="EZ15" i="2"/>
  <c r="EZ40" i="2"/>
  <c r="EZ36" i="2"/>
  <c r="EZ52" i="2"/>
  <c r="EZ5" i="2"/>
  <c r="EZ28" i="2"/>
  <c r="EZ48" i="2"/>
  <c r="EV65" i="2"/>
  <c r="EQ6" i="2"/>
  <c r="EQ60" i="2"/>
  <c r="EQ38" i="2"/>
  <c r="EQ14" i="2"/>
  <c r="EQ12" i="2"/>
  <c r="EQ44" i="2"/>
  <c r="EQ22" i="2"/>
  <c r="EQ43" i="2"/>
  <c r="EQ8" i="2"/>
  <c r="EQ16" i="2"/>
  <c r="EQ24" i="2"/>
  <c r="EQ40" i="2"/>
  <c r="EQ48" i="2"/>
  <c r="EQ56" i="2"/>
  <c r="EQ59" i="2"/>
  <c r="EQ9" i="2"/>
  <c r="EQ17" i="2"/>
  <c r="EQ25" i="2"/>
  <c r="EQ33" i="2"/>
  <c r="EQ41" i="2"/>
  <c r="EQ49" i="2"/>
  <c r="EQ13" i="2"/>
  <c r="EQ7" i="2"/>
  <c r="EQ39" i="2"/>
  <c r="EQ55" i="2"/>
  <c r="EQ20" i="2"/>
  <c r="EQ52" i="2"/>
  <c r="EQ50" i="2"/>
  <c r="EQ31" i="2"/>
  <c r="EQ34" i="2"/>
  <c r="EQ10" i="2"/>
  <c r="EQ26" i="2"/>
  <c r="EQ36" i="2"/>
  <c r="EQ58" i="2"/>
  <c r="EQ5" i="2"/>
  <c r="EN13" i="2"/>
  <c r="EN29" i="2"/>
  <c r="EN46" i="2"/>
  <c r="EN61" i="2"/>
  <c r="EN16" i="2"/>
  <c r="EN62" i="2"/>
  <c r="EN45" i="2"/>
  <c r="EN14" i="2"/>
  <c r="EN26" i="2"/>
  <c r="EN15" i="2"/>
  <c r="EN10" i="2"/>
  <c r="EN40" i="2"/>
  <c r="EN5" i="2"/>
  <c r="EN42" i="2"/>
  <c r="EN31" i="2"/>
  <c r="EN23" i="2"/>
  <c r="EN4" i="2"/>
  <c r="EN24" i="2"/>
  <c r="EN56" i="2"/>
  <c r="EN21" i="2"/>
  <c r="EN53" i="2"/>
  <c r="EN58" i="2"/>
  <c r="EN47" i="2"/>
  <c r="EN55" i="2"/>
  <c r="EN20" i="2"/>
  <c r="EN36" i="2"/>
  <c r="EN48" i="2"/>
  <c r="EN37" i="2"/>
  <c r="EN6" i="2"/>
  <c r="EN51" i="2"/>
  <c r="EN59" i="2"/>
  <c r="EN19" i="2"/>
  <c r="EN27" i="2"/>
  <c r="EN43" i="2"/>
  <c r="EN35" i="2"/>
  <c r="EN9" i="2"/>
  <c r="EN17" i="2"/>
  <c r="EN25" i="2"/>
  <c r="EN33" i="2"/>
  <c r="EN41" i="2"/>
  <c r="EN49" i="2"/>
  <c r="EN57" i="2"/>
  <c r="EN11" i="2"/>
  <c r="EN8" i="2"/>
  <c r="EN30" i="2"/>
  <c r="EN12" i="2"/>
  <c r="EN34" i="2"/>
  <c r="EN39" i="2"/>
  <c r="EN52" i="2"/>
  <c r="EN32" i="2"/>
  <c r="EN22" i="2"/>
  <c r="EN38" i="2"/>
  <c r="EN28" i="2"/>
  <c r="EN50" i="2"/>
  <c r="EK32" i="2"/>
  <c r="EK22" i="2"/>
  <c r="EK51" i="2"/>
  <c r="EK28" i="2"/>
  <c r="EK48" i="2"/>
  <c r="EK57" i="2"/>
  <c r="EK44" i="2"/>
  <c r="EG66" i="2"/>
  <c r="EH12" i="2" s="1"/>
  <c r="EH49" i="2"/>
  <c r="ED65" i="2"/>
  <c r="DE55" i="2"/>
  <c r="DE45" i="2"/>
  <c r="DZ39" i="2"/>
  <c r="DZ60" i="2"/>
  <c r="DZ61" i="2"/>
  <c r="DT53" i="2"/>
  <c r="DZ42" i="2"/>
  <c r="DT7" i="2"/>
  <c r="DE17" i="2"/>
  <c r="DT57" i="2"/>
  <c r="DE25" i="2"/>
  <c r="DT26" i="2"/>
  <c r="DE39" i="2"/>
  <c r="DT42" i="2"/>
  <c r="DZ38" i="2"/>
  <c r="BP261" i="2"/>
  <c r="DT58" i="2"/>
  <c r="DZ54" i="2"/>
  <c r="DE49" i="2"/>
  <c r="DZ7" i="2"/>
  <c r="DZ23" i="2"/>
  <c r="DZ25" i="2"/>
  <c r="DZ62" i="2"/>
  <c r="DZ55" i="2"/>
  <c r="DZ15" i="2"/>
  <c r="DZ33" i="2"/>
  <c r="DZ9" i="2"/>
  <c r="DZ51" i="2"/>
  <c r="DZ27" i="2"/>
  <c r="DZ19" i="2"/>
  <c r="DZ5" i="2"/>
  <c r="DZ13" i="2"/>
  <c r="DZ21" i="2"/>
  <c r="DZ29" i="2"/>
  <c r="DZ6" i="2"/>
  <c r="DZ14" i="2"/>
  <c r="DZ22" i="2"/>
  <c r="DZ59" i="2"/>
  <c r="DZ43" i="2"/>
  <c r="DZ8" i="2"/>
  <c r="DZ16" i="2"/>
  <c r="DZ24" i="2"/>
  <c r="DZ32" i="2"/>
  <c r="DZ40" i="2"/>
  <c r="DZ48" i="2"/>
  <c r="DZ56" i="2"/>
  <c r="DZ35" i="2"/>
  <c r="DZ11" i="2"/>
  <c r="DZ57" i="2"/>
  <c r="DZ10" i="2"/>
  <c r="DZ58" i="2"/>
  <c r="DZ18" i="2"/>
  <c r="DZ46" i="2"/>
  <c r="DZ41" i="2"/>
  <c r="DZ47" i="2"/>
  <c r="DZ4" i="2"/>
  <c r="DZ20" i="2"/>
  <c r="DZ12" i="2"/>
  <c r="DZ34" i="2"/>
  <c r="DZ31" i="2"/>
  <c r="DZ17" i="2"/>
  <c r="DZ26" i="2"/>
  <c r="DZ36" i="2"/>
  <c r="DZ49" i="2"/>
  <c r="DZ52" i="2"/>
  <c r="DZ37" i="2"/>
  <c r="DZ53" i="2"/>
  <c r="DZ28" i="2"/>
  <c r="DZ50" i="2"/>
  <c r="DW62" i="2"/>
  <c r="DW59" i="2"/>
  <c r="DW55" i="2"/>
  <c r="DW25" i="2"/>
  <c r="DT5" i="2"/>
  <c r="DT13" i="2"/>
  <c r="DT21" i="2"/>
  <c r="DT37" i="2"/>
  <c r="DT6" i="2"/>
  <c r="DT14" i="2"/>
  <c r="DT22" i="2"/>
  <c r="DT30" i="2"/>
  <c r="DT38" i="2"/>
  <c r="DT46" i="2"/>
  <c r="DT54" i="2"/>
  <c r="DT51" i="2"/>
  <c r="DT31" i="2"/>
  <c r="DT8" i="2"/>
  <c r="DT40" i="2"/>
  <c r="DT56" i="2"/>
  <c r="DT59" i="2"/>
  <c r="DT43" i="2"/>
  <c r="DT9" i="2"/>
  <c r="DT17" i="2"/>
  <c r="DT25" i="2"/>
  <c r="DT33" i="2"/>
  <c r="DT19" i="2"/>
  <c r="DT35" i="2"/>
  <c r="DT10" i="2"/>
  <c r="DT27" i="2"/>
  <c r="DT11" i="2"/>
  <c r="DT39" i="2"/>
  <c r="DT34" i="2"/>
  <c r="DT23" i="2"/>
  <c r="DT41" i="2"/>
  <c r="DP65" i="2"/>
  <c r="DN14" i="2"/>
  <c r="DN5" i="2"/>
  <c r="DN40" i="2"/>
  <c r="DN15" i="2"/>
  <c r="DN6" i="2"/>
  <c r="DN49" i="2"/>
  <c r="DN26" i="2"/>
  <c r="DN47" i="2"/>
  <c r="DN32" i="2"/>
  <c r="DN46" i="2"/>
  <c r="DN21" i="2"/>
  <c r="DN48" i="2"/>
  <c r="DN30" i="2"/>
  <c r="DN62" i="2"/>
  <c r="DN58" i="2"/>
  <c r="DN54" i="2"/>
  <c r="DN53" i="2"/>
  <c r="DN34" i="2"/>
  <c r="DN42" i="2"/>
  <c r="DN50" i="2"/>
  <c r="DN10" i="2"/>
  <c r="DN37" i="2"/>
  <c r="DN7" i="2"/>
  <c r="DN39" i="2"/>
  <c r="DN29" i="2"/>
  <c r="DN36" i="2"/>
  <c r="DN52" i="2"/>
  <c r="DN44" i="2"/>
  <c r="DN20" i="2"/>
  <c r="DN60" i="2"/>
  <c r="DN28" i="2"/>
  <c r="DN12" i="2"/>
  <c r="DN16" i="2"/>
  <c r="DN38" i="2"/>
  <c r="DN59" i="2"/>
  <c r="DN17" i="2"/>
  <c r="DN55" i="2"/>
  <c r="DN45" i="2"/>
  <c r="DN35" i="2"/>
  <c r="DN57" i="2"/>
  <c r="DN31" i="2"/>
  <c r="DN27" i="2"/>
  <c r="DN18" i="2"/>
  <c r="DN13" i="2"/>
  <c r="DN25" i="2"/>
  <c r="DN33" i="2"/>
  <c r="DN41" i="2"/>
  <c r="DN8" i="2"/>
  <c r="DN61" i="2"/>
  <c r="DN51" i="2"/>
  <c r="DJ65" i="2"/>
  <c r="DG66" i="2"/>
  <c r="DH22" i="2"/>
  <c r="DE61" i="2"/>
  <c r="DE36" i="2"/>
  <c r="DE46" i="2"/>
  <c r="DE4" i="2"/>
  <c r="DE52" i="2"/>
  <c r="DE15" i="2"/>
  <c r="DE6" i="2"/>
  <c r="DE14" i="2"/>
  <c r="DE56" i="2"/>
  <c r="DE47" i="2"/>
  <c r="DE48" i="2"/>
  <c r="DE8" i="2"/>
  <c r="DE30" i="2"/>
  <c r="DE9" i="2"/>
  <c r="DE58" i="2"/>
  <c r="DE44" i="2"/>
  <c r="DE33" i="2"/>
  <c r="DE21" i="2"/>
  <c r="DE53" i="2"/>
  <c r="DE22" i="2"/>
  <c r="DE38" i="2"/>
  <c r="DE7" i="2"/>
  <c r="DE60" i="2"/>
  <c r="DE51" i="2"/>
  <c r="DE19" i="2"/>
  <c r="DE27" i="2"/>
  <c r="DE11" i="2"/>
  <c r="DE57" i="2"/>
  <c r="DE12" i="2"/>
  <c r="DE54" i="2"/>
  <c r="DE23" i="2"/>
  <c r="DE13" i="2"/>
  <c r="DE50" i="2"/>
  <c r="BM260" i="2"/>
  <c r="BN253" i="2" s="1"/>
  <c r="BD261" i="2"/>
  <c r="BS260" i="2"/>
  <c r="BS261" i="2"/>
  <c r="BN246" i="2"/>
  <c r="BN238" i="2"/>
  <c r="BD260" i="2"/>
  <c r="CD126" i="2"/>
  <c r="CD125" i="2"/>
  <c r="CV126" i="2"/>
  <c r="CV125" i="2"/>
  <c r="CJ126" i="2"/>
  <c r="CJ125" i="2"/>
  <c r="CG126" i="2"/>
  <c r="CG125" i="2"/>
  <c r="CP125" i="2"/>
  <c r="CM125" i="2"/>
  <c r="CN122" i="2" s="1"/>
  <c r="CY126" i="2"/>
  <c r="CY125" i="2"/>
  <c r="CS125" i="2"/>
  <c r="BV261" i="2"/>
  <c r="BV260" i="2"/>
  <c r="BP260" i="2"/>
  <c r="BY261" i="2"/>
  <c r="BY260" i="2"/>
  <c r="BG261" i="2"/>
  <c r="BG260" i="2"/>
  <c r="BJ261" i="2"/>
  <c r="BJ260" i="2"/>
  <c r="AV77" i="2"/>
  <c r="AG77" i="2"/>
  <c r="AD78" i="2"/>
  <c r="AP78" i="2"/>
  <c r="AS77" i="2"/>
  <c r="AY77" i="2"/>
  <c r="AP77" i="2"/>
  <c r="AM78" i="2"/>
  <c r="AJ77" i="2"/>
  <c r="AM77" i="2"/>
  <c r="AD77" i="2"/>
  <c r="AS78" i="2"/>
  <c r="AY78" i="2"/>
  <c r="AG78" i="2"/>
  <c r="AV78" i="2"/>
  <c r="AJ78" i="2"/>
  <c r="M214" i="2"/>
  <c r="M215" i="2"/>
  <c r="S214" i="2"/>
  <c r="S215" i="2"/>
  <c r="P214" i="2"/>
  <c r="P215" i="2"/>
  <c r="D215" i="2"/>
  <c r="E211" i="2" s="1"/>
  <c r="Y214" i="2"/>
  <c r="Y215" i="2"/>
  <c r="J214" i="2"/>
  <c r="J215" i="2"/>
  <c r="G214" i="2"/>
  <c r="G215" i="2"/>
  <c r="V214" i="2"/>
  <c r="V215" i="2"/>
  <c r="N11" i="3" l="1"/>
  <c r="N34" i="3"/>
  <c r="Z24" i="3"/>
  <c r="N39" i="3"/>
  <c r="Z18" i="3"/>
  <c r="N25" i="3"/>
  <c r="N21" i="3"/>
  <c r="Z36" i="3"/>
  <c r="N37" i="3"/>
  <c r="Z10" i="3"/>
  <c r="H49" i="3"/>
  <c r="Z41" i="3"/>
  <c r="H21" i="3"/>
  <c r="Z42" i="3"/>
  <c r="N4" i="3"/>
  <c r="Z26" i="3"/>
  <c r="Z11" i="3"/>
  <c r="Z37" i="3"/>
  <c r="Z53" i="3"/>
  <c r="K21" i="3"/>
  <c r="Q55" i="3"/>
  <c r="N35" i="3"/>
  <c r="Z13" i="3"/>
  <c r="K32" i="3"/>
  <c r="N17" i="3"/>
  <c r="Z40" i="3"/>
  <c r="Z22" i="3"/>
  <c r="K50" i="3"/>
  <c r="Z34" i="3"/>
  <c r="Z7" i="3"/>
  <c r="K15" i="3"/>
  <c r="DW10" i="2"/>
  <c r="DW8" i="2"/>
  <c r="GE7" i="2"/>
  <c r="GE21" i="2"/>
  <c r="FH23" i="2"/>
  <c r="GE46" i="2"/>
  <c r="GE50" i="2"/>
  <c r="DW38" i="2"/>
  <c r="DW31" i="2"/>
  <c r="DW58" i="2"/>
  <c r="GE42" i="2"/>
  <c r="DW12" i="2"/>
  <c r="GE52" i="2"/>
  <c r="GE26" i="2"/>
  <c r="DW53" i="2"/>
  <c r="DW14" i="2"/>
  <c r="FE42" i="2"/>
  <c r="FE6" i="2"/>
  <c r="FE13" i="2"/>
  <c r="GE56" i="2"/>
  <c r="GE18" i="2"/>
  <c r="DW15" i="2"/>
  <c r="DW6" i="2"/>
  <c r="FE26" i="2"/>
  <c r="FE35" i="2"/>
  <c r="FE29" i="2"/>
  <c r="GE16" i="2"/>
  <c r="GE10" i="2"/>
  <c r="GQ12" i="2"/>
  <c r="DE28" i="2"/>
  <c r="DE41" i="2"/>
  <c r="DH5" i="2"/>
  <c r="DT29" i="2"/>
  <c r="DW60" i="2"/>
  <c r="DW27" i="2"/>
  <c r="DW50" i="2"/>
  <c r="EK38" i="2"/>
  <c r="EQ4" i="2"/>
  <c r="EQ63" i="2" s="1"/>
  <c r="EQ32" i="2"/>
  <c r="DT60" i="2"/>
  <c r="FE36" i="2"/>
  <c r="FE18" i="2"/>
  <c r="FE21" i="2"/>
  <c r="GE37" i="2"/>
  <c r="GE43" i="2"/>
  <c r="GQ16" i="2"/>
  <c r="GQ64" i="2" s="1"/>
  <c r="GQ61" i="2"/>
  <c r="BN18" i="2"/>
  <c r="DW39" i="2"/>
  <c r="DW36" i="2"/>
  <c r="GE8" i="2"/>
  <c r="GE36" i="2"/>
  <c r="DW11" i="2"/>
  <c r="BN194" i="2"/>
  <c r="DW45" i="2"/>
  <c r="GE23" i="2"/>
  <c r="DW43" i="2"/>
  <c r="FE11" i="2"/>
  <c r="GE44" i="2"/>
  <c r="GQ58" i="2"/>
  <c r="GQ24" i="2"/>
  <c r="DE42" i="2"/>
  <c r="DW35" i="2"/>
  <c r="DW21" i="2"/>
  <c r="EQ15" i="2"/>
  <c r="EQ51" i="2"/>
  <c r="EK15" i="2"/>
  <c r="FE51" i="2"/>
  <c r="FE4" i="2"/>
  <c r="FE63" i="2" s="1"/>
  <c r="EK14" i="2"/>
  <c r="GE13" i="2"/>
  <c r="GE4" i="2"/>
  <c r="GE25" i="2"/>
  <c r="GQ19" i="2"/>
  <c r="GQ5" i="2"/>
  <c r="BN160" i="2"/>
  <c r="DE34" i="2"/>
  <c r="DE31" i="2"/>
  <c r="DT48" i="2"/>
  <c r="DW49" i="2"/>
  <c r="DW9" i="2"/>
  <c r="DW13" i="2"/>
  <c r="DW42" i="2"/>
  <c r="EQ54" i="2"/>
  <c r="EQ35" i="2"/>
  <c r="EK6" i="2"/>
  <c r="EK58" i="2"/>
  <c r="EK59" i="2"/>
  <c r="FE59" i="2"/>
  <c r="FE39" i="2"/>
  <c r="EK33" i="2"/>
  <c r="GE22" i="2"/>
  <c r="GE5" i="2"/>
  <c r="GE63" i="2" s="1"/>
  <c r="GE17" i="2"/>
  <c r="GQ59" i="2"/>
  <c r="DW22" i="2"/>
  <c r="GQ35" i="2"/>
  <c r="GZ38" i="2"/>
  <c r="GQ50" i="2"/>
  <c r="DW57" i="2"/>
  <c r="GE34" i="2"/>
  <c r="GE54" i="2"/>
  <c r="BN31" i="2"/>
  <c r="DW51" i="2"/>
  <c r="DW44" i="2"/>
  <c r="FE31" i="2"/>
  <c r="GE41" i="2"/>
  <c r="BN84" i="2"/>
  <c r="DW18" i="2"/>
  <c r="DW29" i="2"/>
  <c r="GE55" i="2"/>
  <c r="GQ43" i="2"/>
  <c r="BN235" i="2"/>
  <c r="DE16" i="2"/>
  <c r="BN152" i="2"/>
  <c r="DE62" i="2"/>
  <c r="DW33" i="2"/>
  <c r="EQ62" i="2"/>
  <c r="EK36" i="2"/>
  <c r="FE41" i="2"/>
  <c r="GE53" i="2"/>
  <c r="GE12" i="2"/>
  <c r="GQ51" i="2"/>
  <c r="GQ29" i="2"/>
  <c r="DE18" i="2"/>
  <c r="DT32" i="2"/>
  <c r="DW56" i="2"/>
  <c r="DW4" i="2"/>
  <c r="DW63" i="2" s="1"/>
  <c r="EQ42" i="2"/>
  <c r="DT49" i="2"/>
  <c r="EK62" i="2"/>
  <c r="FE33" i="2"/>
  <c r="FE15" i="2"/>
  <c r="EK54" i="2"/>
  <c r="GE60" i="2"/>
  <c r="GE32" i="2"/>
  <c r="GE35" i="2"/>
  <c r="BN112" i="2"/>
  <c r="DE10" i="2"/>
  <c r="DE64" i="2" s="1"/>
  <c r="DE20" i="2"/>
  <c r="DN23" i="2"/>
  <c r="DN43" i="2"/>
  <c r="DN4" i="2"/>
  <c r="DN63" i="2" s="1"/>
  <c r="DT24" i="2"/>
  <c r="DW17" i="2"/>
  <c r="DW48" i="2"/>
  <c r="DT15" i="2"/>
  <c r="EQ23" i="2"/>
  <c r="EQ61" i="2"/>
  <c r="EK49" i="2"/>
  <c r="EK9" i="2"/>
  <c r="FE25" i="2"/>
  <c r="FE34" i="2"/>
  <c r="GE45" i="2"/>
  <c r="GE38" i="2"/>
  <c r="GE59" i="2"/>
  <c r="GQ27" i="2"/>
  <c r="GQ55" i="2"/>
  <c r="GQ62" i="2"/>
  <c r="DW54" i="2"/>
  <c r="DW46" i="2"/>
  <c r="DW30" i="2"/>
  <c r="FH4" i="2"/>
  <c r="DW20" i="2"/>
  <c r="GE6" i="2"/>
  <c r="GE49" i="2"/>
  <c r="FE10" i="2"/>
  <c r="FE64" i="2" s="1"/>
  <c r="FE47" i="2"/>
  <c r="FE52" i="2"/>
  <c r="GE33" i="2"/>
  <c r="GQ45" i="2"/>
  <c r="DW26" i="2"/>
  <c r="DE26" i="2"/>
  <c r="DW19" i="2"/>
  <c r="DW5" i="2"/>
  <c r="EQ53" i="2"/>
  <c r="EK8" i="2"/>
  <c r="EK63" i="2" s="1"/>
  <c r="FE23" i="2"/>
  <c r="GE9" i="2"/>
  <c r="BN144" i="2"/>
  <c r="DE40" i="2"/>
  <c r="DW41" i="2"/>
  <c r="DW28" i="2"/>
  <c r="EQ21" i="2"/>
  <c r="EK45" i="2"/>
  <c r="BN163" i="2"/>
  <c r="DE35" i="2"/>
  <c r="DE32" i="2"/>
  <c r="DN9" i="2"/>
  <c r="DN22" i="2"/>
  <c r="DN56" i="2"/>
  <c r="DT16" i="2"/>
  <c r="DW47" i="2"/>
  <c r="DW40" i="2"/>
  <c r="DT28" i="2"/>
  <c r="DT20" i="2"/>
  <c r="EQ11" i="2"/>
  <c r="EQ29" i="2"/>
  <c r="EK53" i="2"/>
  <c r="EK35" i="2"/>
  <c r="EK55" i="2"/>
  <c r="FE17" i="2"/>
  <c r="FE55" i="2"/>
  <c r="DN19" i="2"/>
  <c r="GE20" i="2"/>
  <c r="GE14" i="2"/>
  <c r="GE51" i="2"/>
  <c r="GQ11" i="2"/>
  <c r="GQ13" i="2"/>
  <c r="DW7" i="2"/>
  <c r="GE57" i="2"/>
  <c r="DW61" i="2"/>
  <c r="DW37" i="2"/>
  <c r="GQ23" i="2"/>
  <c r="GQ47" i="2"/>
  <c r="GQ31" i="2"/>
  <c r="BN225" i="2"/>
  <c r="DW23" i="2"/>
  <c r="DW32" i="2"/>
  <c r="DE29" i="2"/>
  <c r="EQ19" i="2"/>
  <c r="EQ37" i="2"/>
  <c r="FE9" i="2"/>
  <c r="GE24" i="2"/>
  <c r="GE39" i="2"/>
  <c r="GE11" i="2"/>
  <c r="GQ33" i="2"/>
  <c r="GQ52" i="2"/>
  <c r="BN137" i="2"/>
  <c r="DE59" i="2"/>
  <c r="DE37" i="2"/>
  <c r="DT55" i="2"/>
  <c r="DW52" i="2"/>
  <c r="DW24" i="2"/>
  <c r="DT62" i="2"/>
  <c r="EQ47" i="2"/>
  <c r="EQ27" i="2"/>
  <c r="EQ30" i="2"/>
  <c r="EQ64" i="2" s="1"/>
  <c r="EK29" i="2"/>
  <c r="EK20" i="2"/>
  <c r="EK46" i="2"/>
  <c r="FE27" i="2"/>
  <c r="FE14" i="2"/>
  <c r="EQ28" i="2"/>
  <c r="GE31" i="2"/>
  <c r="GE15" i="2"/>
  <c r="GE27" i="2"/>
  <c r="GQ25" i="2"/>
  <c r="GQ46" i="2"/>
  <c r="GQ49" i="2"/>
  <c r="DT52" i="2"/>
  <c r="BN92" i="2"/>
  <c r="DE43" i="2"/>
  <c r="DN11" i="2"/>
  <c r="DT50" i="2"/>
  <c r="DT47" i="2"/>
  <c r="DW34" i="2"/>
  <c r="DT12" i="2"/>
  <c r="DT4" i="2"/>
  <c r="DT64" i="2" s="1"/>
  <c r="EQ18" i="2"/>
  <c r="EQ57" i="2"/>
  <c r="EK10" i="2"/>
  <c r="EK17" i="2"/>
  <c r="FE56" i="2"/>
  <c r="GE29" i="2"/>
  <c r="GE47" i="2"/>
  <c r="GE19" i="2"/>
  <c r="GK59" i="2"/>
  <c r="GK55" i="2"/>
  <c r="GQ17" i="2"/>
  <c r="GQ39" i="2"/>
  <c r="GQ36" i="2"/>
  <c r="H48" i="3"/>
  <c r="H40" i="3"/>
  <c r="H39" i="3"/>
  <c r="H18" i="3"/>
  <c r="K41" i="3"/>
  <c r="H47" i="3"/>
  <c r="K17" i="3"/>
  <c r="H52" i="3"/>
  <c r="K52" i="3"/>
  <c r="H36" i="3"/>
  <c r="K42" i="3"/>
  <c r="H20" i="3"/>
  <c r="H34" i="3"/>
  <c r="H10" i="3"/>
  <c r="H27" i="3"/>
  <c r="H50" i="3"/>
  <c r="H13" i="3"/>
  <c r="T26" i="3"/>
  <c r="T10" i="3"/>
  <c r="T42" i="3"/>
  <c r="T41" i="3"/>
  <c r="T25" i="3"/>
  <c r="T45" i="3"/>
  <c r="T24" i="3"/>
  <c r="T50" i="3"/>
  <c r="T49" i="3"/>
  <c r="T46" i="3"/>
  <c r="T29" i="3"/>
  <c r="T19" i="3"/>
  <c r="T48" i="3"/>
  <c r="T47" i="3"/>
  <c r="T39" i="3"/>
  <c r="T9" i="3"/>
  <c r="T34" i="3"/>
  <c r="T33" i="3"/>
  <c r="T30" i="3"/>
  <c r="T13" i="3"/>
  <c r="T23" i="3"/>
  <c r="T18" i="3"/>
  <c r="T17" i="3"/>
  <c r="T14" i="3"/>
  <c r="T4" i="3"/>
  <c r="T7" i="3"/>
  <c r="T51" i="3"/>
  <c r="T38" i="3"/>
  <c r="T35" i="3"/>
  <c r="T22" i="3"/>
  <c r="T6" i="3"/>
  <c r="T37" i="3"/>
  <c r="T32" i="3"/>
  <c r="T31" i="3"/>
  <c r="T43" i="3"/>
  <c r="T21" i="3"/>
  <c r="T52" i="3"/>
  <c r="T16" i="3"/>
  <c r="T15" i="3"/>
  <c r="T27" i="3"/>
  <c r="T5" i="3"/>
  <c r="T36" i="3"/>
  <c r="T40" i="3"/>
  <c r="T11" i="3"/>
  <c r="T20" i="3"/>
  <c r="T44" i="3"/>
  <c r="T53" i="3"/>
  <c r="T12" i="3"/>
  <c r="T28" i="3"/>
  <c r="T8" i="3"/>
  <c r="Z27" i="3"/>
  <c r="Z44" i="3"/>
  <c r="N27" i="3"/>
  <c r="N53" i="3"/>
  <c r="N33" i="3"/>
  <c r="H28" i="3"/>
  <c r="H29" i="3"/>
  <c r="H14" i="3"/>
  <c r="K19" i="3"/>
  <c r="K40" i="3"/>
  <c r="K8" i="3"/>
  <c r="Z45" i="3"/>
  <c r="Z47" i="3"/>
  <c r="Z12" i="3"/>
  <c r="N44" i="3"/>
  <c r="N13" i="3"/>
  <c r="N51" i="3"/>
  <c r="H17" i="3"/>
  <c r="H30" i="3"/>
  <c r="H8" i="3"/>
  <c r="K44" i="3"/>
  <c r="K26" i="3"/>
  <c r="K33" i="3"/>
  <c r="W11" i="3"/>
  <c r="W43" i="3"/>
  <c r="W53" i="3"/>
  <c r="W27" i="3"/>
  <c r="W13" i="3"/>
  <c r="W41" i="3"/>
  <c r="W42" i="3"/>
  <c r="W46" i="3"/>
  <c r="W29" i="3"/>
  <c r="W51" i="3"/>
  <c r="W50" i="3"/>
  <c r="W47" i="3"/>
  <c r="W30" i="3"/>
  <c r="W15" i="3"/>
  <c r="W25" i="3"/>
  <c r="W40" i="3"/>
  <c r="W35" i="3"/>
  <c r="W34" i="3"/>
  <c r="W31" i="3"/>
  <c r="W14" i="3"/>
  <c r="W24" i="3"/>
  <c r="W19" i="3"/>
  <c r="W18" i="3"/>
  <c r="W8" i="3"/>
  <c r="W52" i="3"/>
  <c r="W39" i="3"/>
  <c r="W36" i="3"/>
  <c r="W23" i="3"/>
  <c r="W20" i="3"/>
  <c r="W49" i="3"/>
  <c r="W48" i="3"/>
  <c r="W26" i="3"/>
  <c r="W7" i="3"/>
  <c r="W38" i="3"/>
  <c r="W4" i="3"/>
  <c r="W33" i="3"/>
  <c r="W32" i="3"/>
  <c r="W44" i="3"/>
  <c r="W9" i="3"/>
  <c r="W10" i="3"/>
  <c r="W22" i="3"/>
  <c r="W37" i="3"/>
  <c r="W17" i="3"/>
  <c r="W16" i="3"/>
  <c r="W28" i="3"/>
  <c r="W12" i="3"/>
  <c r="W6" i="3"/>
  <c r="W21" i="3"/>
  <c r="W45" i="3"/>
  <c r="W5" i="3"/>
  <c r="Z38" i="3"/>
  <c r="Z4" i="3"/>
  <c r="Z14" i="3"/>
  <c r="Z33" i="3"/>
  <c r="N47" i="3"/>
  <c r="N14" i="3"/>
  <c r="N20" i="3"/>
  <c r="H23" i="3"/>
  <c r="H25" i="3"/>
  <c r="H19" i="3"/>
  <c r="K45" i="3"/>
  <c r="K43" i="3"/>
  <c r="K37" i="3"/>
  <c r="Z23" i="3"/>
  <c r="Z9" i="3"/>
  <c r="Z30" i="3"/>
  <c r="Z17" i="3"/>
  <c r="N48" i="3"/>
  <c r="N50" i="3"/>
  <c r="N40" i="3"/>
  <c r="H43" i="3"/>
  <c r="H42" i="3"/>
  <c r="H24" i="3"/>
  <c r="K38" i="3"/>
  <c r="K46" i="3"/>
  <c r="K24" i="3"/>
  <c r="Z5" i="3"/>
  <c r="Z16" i="3"/>
  <c r="Z31" i="3"/>
  <c r="N49" i="3"/>
  <c r="N43" i="3"/>
  <c r="N41" i="3"/>
  <c r="N8" i="3"/>
  <c r="H44" i="3"/>
  <c r="H45" i="3"/>
  <c r="H51" i="3"/>
  <c r="K48" i="3"/>
  <c r="K47" i="3"/>
  <c r="K12" i="3"/>
  <c r="E14" i="3"/>
  <c r="E46" i="3"/>
  <c r="E30" i="3"/>
  <c r="E36" i="3"/>
  <c r="E49" i="3"/>
  <c r="E53" i="3"/>
  <c r="E50" i="3"/>
  <c r="E33" i="3"/>
  <c r="E29" i="3"/>
  <c r="E23" i="3"/>
  <c r="E51" i="3"/>
  <c r="E43" i="3"/>
  <c r="E38" i="3"/>
  <c r="E37" i="3"/>
  <c r="E44" i="3"/>
  <c r="E34" i="3"/>
  <c r="E17" i="3"/>
  <c r="E20" i="3"/>
  <c r="E11" i="3"/>
  <c r="E22" i="3"/>
  <c r="E21" i="3"/>
  <c r="E18" i="3"/>
  <c r="E6" i="3"/>
  <c r="E5" i="3"/>
  <c r="E42" i="3"/>
  <c r="E26" i="3"/>
  <c r="E39" i="3"/>
  <c r="E4" i="3"/>
  <c r="E31" i="3"/>
  <c r="E10" i="3"/>
  <c r="E41" i="3"/>
  <c r="E25" i="3"/>
  <c r="E7" i="3"/>
  <c r="E35" i="3"/>
  <c r="E47" i="3"/>
  <c r="E9" i="3"/>
  <c r="E19" i="3"/>
  <c r="E40" i="3"/>
  <c r="E15" i="3"/>
  <c r="E24" i="3"/>
  <c r="E45" i="3"/>
  <c r="E28" i="3"/>
  <c r="E48" i="3"/>
  <c r="E16" i="3"/>
  <c r="E52" i="3"/>
  <c r="E8" i="3"/>
  <c r="E32" i="3"/>
  <c r="E12" i="3"/>
  <c r="E27" i="3"/>
  <c r="E13" i="3"/>
  <c r="Z39" i="3"/>
  <c r="Z19" i="3"/>
  <c r="Z48" i="3"/>
  <c r="N36" i="3"/>
  <c r="N5" i="3"/>
  <c r="N29" i="3"/>
  <c r="N24" i="3"/>
  <c r="H15" i="3"/>
  <c r="H46" i="3"/>
  <c r="H38" i="3"/>
  <c r="K35" i="3"/>
  <c r="K5" i="3"/>
  <c r="K22" i="3"/>
  <c r="Q54" i="3"/>
  <c r="Z8" i="3"/>
  <c r="Z20" i="3"/>
  <c r="Z51" i="3"/>
  <c r="N52" i="3"/>
  <c r="N22" i="3"/>
  <c r="N30" i="3"/>
  <c r="H16" i="3"/>
  <c r="H33" i="3"/>
  <c r="H9" i="3"/>
  <c r="H6" i="3"/>
  <c r="K29" i="3"/>
  <c r="K36" i="3"/>
  <c r="K13" i="3"/>
  <c r="Z29" i="3"/>
  <c r="Z25" i="3"/>
  <c r="Z52" i="3"/>
  <c r="N6" i="3"/>
  <c r="N42" i="3"/>
  <c r="N19" i="3"/>
  <c r="H32" i="3"/>
  <c r="H5" i="3"/>
  <c r="H26" i="3"/>
  <c r="H22" i="3"/>
  <c r="K4" i="3"/>
  <c r="K9" i="3"/>
  <c r="K49" i="3"/>
  <c r="Z49" i="3"/>
  <c r="Z15" i="3"/>
  <c r="Z46" i="3"/>
  <c r="N12" i="3"/>
  <c r="N18" i="3"/>
  <c r="N10" i="3"/>
  <c r="H7" i="3"/>
  <c r="H4" i="3"/>
  <c r="H37" i="3"/>
  <c r="K51" i="3"/>
  <c r="K53" i="3"/>
  <c r="K23" i="3"/>
  <c r="Z50" i="3"/>
  <c r="Z32" i="3"/>
  <c r="Z43" i="3"/>
  <c r="N15" i="3"/>
  <c r="N26" i="3"/>
  <c r="N45" i="3"/>
  <c r="H11" i="3"/>
  <c r="H53" i="3"/>
  <c r="H41" i="3"/>
  <c r="K18" i="3"/>
  <c r="K11" i="3"/>
  <c r="K6" i="3"/>
  <c r="K39" i="3"/>
  <c r="Z21" i="3"/>
  <c r="Z35" i="3"/>
  <c r="N7" i="3"/>
  <c r="N23" i="3"/>
  <c r="H12" i="3"/>
  <c r="H31" i="3"/>
  <c r="K16" i="3"/>
  <c r="K14" i="3"/>
  <c r="K25" i="3"/>
  <c r="BN87" i="2"/>
  <c r="BN128" i="2"/>
  <c r="BN223" i="2"/>
  <c r="EH23" i="2"/>
  <c r="FH7" i="2"/>
  <c r="BN162" i="2"/>
  <c r="BN88" i="2"/>
  <c r="BN233" i="2"/>
  <c r="FH18" i="2"/>
  <c r="GZ62" i="2"/>
  <c r="BN179" i="2"/>
  <c r="BN195" i="2"/>
  <c r="BN173" i="2"/>
  <c r="FH54" i="2"/>
  <c r="BN14" i="2"/>
  <c r="BN188" i="2"/>
  <c r="FH60" i="2"/>
  <c r="BN15" i="2"/>
  <c r="BE253" i="2"/>
  <c r="BN151" i="2"/>
  <c r="BN44" i="2"/>
  <c r="BN75" i="2"/>
  <c r="BN12" i="2"/>
  <c r="BN113" i="2"/>
  <c r="BN62" i="2"/>
  <c r="BN74" i="2"/>
  <c r="BN43" i="2"/>
  <c r="BN86" i="2"/>
  <c r="BN148" i="2"/>
  <c r="BN139" i="2"/>
  <c r="BN123" i="2"/>
  <c r="BN68" i="2"/>
  <c r="BN11" i="2"/>
  <c r="BN20" i="2"/>
  <c r="BN61" i="2"/>
  <c r="BN19" i="2"/>
  <c r="BN241" i="2"/>
  <c r="BN218" i="2"/>
  <c r="BN126" i="2"/>
  <c r="GH62" i="2"/>
  <c r="BN98" i="2"/>
  <c r="BN111" i="2"/>
  <c r="BN27" i="2"/>
  <c r="BN255" i="2"/>
  <c r="BN110" i="2"/>
  <c r="BN35" i="2"/>
  <c r="BN234" i="2"/>
  <c r="GW62" i="2"/>
  <c r="GW30" i="2"/>
  <c r="DH43" i="2"/>
  <c r="EH15" i="2"/>
  <c r="FH46" i="2"/>
  <c r="GW40" i="2"/>
  <c r="GW16" i="2"/>
  <c r="FH10" i="2"/>
  <c r="GW41" i="2"/>
  <c r="FH41" i="2"/>
  <c r="GW33" i="2"/>
  <c r="BN80" i="2"/>
  <c r="BN149" i="2"/>
  <c r="BN93" i="2"/>
  <c r="BN17" i="2"/>
  <c r="BN58" i="2"/>
  <c r="BN243" i="2"/>
  <c r="BN72" i="2"/>
  <c r="BN9" i="2"/>
  <c r="BN177" i="2"/>
  <c r="BN164" i="2"/>
  <c r="FH33" i="2"/>
  <c r="GH28" i="2"/>
  <c r="GW59" i="2"/>
  <c r="BN26" i="2"/>
  <c r="BN47" i="2"/>
  <c r="BN41" i="2"/>
  <c r="BN203" i="2"/>
  <c r="BN8" i="2"/>
  <c r="BN37" i="2"/>
  <c r="BN206" i="2"/>
  <c r="FH25" i="2"/>
  <c r="GH52" i="2"/>
  <c r="FH17" i="2"/>
  <c r="GH54" i="2"/>
  <c r="FH11" i="2"/>
  <c r="GZ4" i="2"/>
  <c r="FH35" i="2"/>
  <c r="GZ9" i="2"/>
  <c r="BN46" i="2"/>
  <c r="BN57" i="2"/>
  <c r="BN71" i="2"/>
  <c r="BN224" i="2"/>
  <c r="BN22" i="2"/>
  <c r="BN221" i="2"/>
  <c r="BN132" i="2"/>
  <c r="FH19" i="2"/>
  <c r="GZ52" i="2"/>
  <c r="FH59" i="2"/>
  <c r="GZ26" i="2"/>
  <c r="BN239" i="2"/>
  <c r="BN103" i="2"/>
  <c r="BN216" i="2"/>
  <c r="BN157" i="2"/>
  <c r="BN208" i="2"/>
  <c r="BN174" i="2"/>
  <c r="FH51" i="2"/>
  <c r="DH20" i="2"/>
  <c r="BN167" i="2"/>
  <c r="BN52" i="2"/>
  <c r="BN66" i="2"/>
  <c r="BN69" i="2"/>
  <c r="BN36" i="2"/>
  <c r="BN6" i="2"/>
  <c r="BN245" i="2"/>
  <c r="BN25" i="2"/>
  <c r="BN251" i="2"/>
  <c r="BN200" i="2"/>
  <c r="BN226" i="2"/>
  <c r="BN193" i="2"/>
  <c r="BN156" i="2"/>
  <c r="DH38" i="2"/>
  <c r="EH28" i="2"/>
  <c r="FH47" i="2"/>
  <c r="FH43" i="2"/>
  <c r="GZ15" i="2"/>
  <c r="GZ5" i="2"/>
  <c r="GZ10" i="2"/>
  <c r="GZ60" i="2"/>
  <c r="GZ12" i="2"/>
  <c r="GZ35" i="2"/>
  <c r="GZ44" i="2"/>
  <c r="GZ29" i="2"/>
  <c r="GZ33" i="2"/>
  <c r="GZ51" i="2"/>
  <c r="GZ53" i="2"/>
  <c r="GZ61" i="2"/>
  <c r="GZ23" i="2"/>
  <c r="GZ56" i="2"/>
  <c r="GZ30" i="2"/>
  <c r="GZ20" i="2"/>
  <c r="GZ17" i="2"/>
  <c r="GZ48" i="2"/>
  <c r="GZ37" i="2"/>
  <c r="GZ25" i="2"/>
  <c r="GZ21" i="2"/>
  <c r="GZ40" i="2"/>
  <c r="GZ6" i="2"/>
  <c r="GZ31" i="2"/>
  <c r="GZ28" i="2"/>
  <c r="GZ32" i="2"/>
  <c r="GZ45" i="2"/>
  <c r="GZ22" i="2"/>
  <c r="GZ49" i="2"/>
  <c r="GZ24" i="2"/>
  <c r="GZ14" i="2"/>
  <c r="GZ54" i="2"/>
  <c r="GZ11" i="2"/>
  <c r="GZ16" i="2"/>
  <c r="GZ39" i="2"/>
  <c r="GZ36" i="2"/>
  <c r="GZ43" i="2"/>
  <c r="GZ8" i="2"/>
  <c r="GZ46" i="2"/>
  <c r="GZ41" i="2"/>
  <c r="GZ58" i="2"/>
  <c r="GZ27" i="2"/>
  <c r="GZ55" i="2"/>
  <c r="GZ47" i="2"/>
  <c r="GZ50" i="2"/>
  <c r="GZ19" i="2"/>
  <c r="GZ57" i="2"/>
  <c r="GZ42" i="2"/>
  <c r="GZ59" i="2"/>
  <c r="GZ13" i="2"/>
  <c r="GZ7" i="2"/>
  <c r="GZ34" i="2"/>
  <c r="GW9" i="2"/>
  <c r="GW35" i="2"/>
  <c r="GW56" i="2"/>
  <c r="GW20" i="2"/>
  <c r="GW11" i="2"/>
  <c r="GW32" i="2"/>
  <c r="GW36" i="2"/>
  <c r="GW14" i="2"/>
  <c r="GW22" i="2"/>
  <c r="GW4" i="2"/>
  <c r="GW52" i="2"/>
  <c r="GW27" i="2"/>
  <c r="GW54" i="2"/>
  <c r="GW48" i="2"/>
  <c r="GW57" i="2"/>
  <c r="GW61" i="2"/>
  <c r="GW23" i="2"/>
  <c r="GW38" i="2"/>
  <c r="GW49" i="2"/>
  <c r="GW53" i="2"/>
  <c r="GW55" i="2"/>
  <c r="GW7" i="2"/>
  <c r="GW58" i="2"/>
  <c r="GW45" i="2"/>
  <c r="GW15" i="2"/>
  <c r="GW31" i="2"/>
  <c r="GW50" i="2"/>
  <c r="GW37" i="2"/>
  <c r="GW6" i="2"/>
  <c r="GW25" i="2"/>
  <c r="GW42" i="2"/>
  <c r="GW29" i="2"/>
  <c r="GW39" i="2"/>
  <c r="GW17" i="2"/>
  <c r="GW34" i="2"/>
  <c r="GW21" i="2"/>
  <c r="GW60" i="2"/>
  <c r="GW12" i="2"/>
  <c r="GW26" i="2"/>
  <c r="GW13" i="2"/>
  <c r="GW24" i="2"/>
  <c r="GW44" i="2"/>
  <c r="GW18" i="2"/>
  <c r="GW5" i="2"/>
  <c r="GW47" i="2"/>
  <c r="GW46" i="2"/>
  <c r="GW10" i="2"/>
  <c r="GW51" i="2"/>
  <c r="GW28" i="2"/>
  <c r="GW8" i="2"/>
  <c r="GW43" i="2"/>
  <c r="GT51" i="2"/>
  <c r="GT43" i="2"/>
  <c r="GT59" i="2"/>
  <c r="GT15" i="2"/>
  <c r="GT23" i="2"/>
  <c r="GT31" i="2"/>
  <c r="GT39" i="2"/>
  <c r="GT47" i="2"/>
  <c r="GT55" i="2"/>
  <c r="GT8" i="2"/>
  <c r="GT16" i="2"/>
  <c r="GT24" i="2"/>
  <c r="GT32" i="2"/>
  <c r="GT40" i="2"/>
  <c r="GT48" i="2"/>
  <c r="GT56" i="2"/>
  <c r="GT11" i="2"/>
  <c r="GT27" i="2"/>
  <c r="GT19" i="2"/>
  <c r="GT35" i="2"/>
  <c r="GT50" i="2"/>
  <c r="GT28" i="2"/>
  <c r="GT37" i="2"/>
  <c r="GT5" i="2"/>
  <c r="GT36" i="2"/>
  <c r="GT34" i="2"/>
  <c r="GT12" i="2"/>
  <c r="GT21" i="2"/>
  <c r="GT42" i="2"/>
  <c r="GT10" i="2"/>
  <c r="GT9" i="2"/>
  <c r="GT18" i="2"/>
  <c r="GT58" i="2"/>
  <c r="GT4" i="2"/>
  <c r="GT14" i="2"/>
  <c r="GT29" i="2"/>
  <c r="GT49" i="2"/>
  <c r="GT52" i="2"/>
  <c r="GT41" i="2"/>
  <c r="GT45" i="2"/>
  <c r="GT33" i="2"/>
  <c r="GT26" i="2"/>
  <c r="GT57" i="2"/>
  <c r="GT25" i="2"/>
  <c r="GT61" i="2"/>
  <c r="GT38" i="2"/>
  <c r="GT6" i="2"/>
  <c r="GT17" i="2"/>
  <c r="GT20" i="2"/>
  <c r="GT54" i="2"/>
  <c r="GT62" i="2"/>
  <c r="GT7" i="2"/>
  <c r="GT22" i="2"/>
  <c r="GT44" i="2"/>
  <c r="GT46" i="2"/>
  <c r="GT30" i="2"/>
  <c r="GT53" i="2"/>
  <c r="GT13" i="2"/>
  <c r="GT60" i="2"/>
  <c r="GN63" i="2"/>
  <c r="GN64" i="2"/>
  <c r="GK64" i="2"/>
  <c r="GK63" i="2"/>
  <c r="GH48" i="2"/>
  <c r="GH22" i="2"/>
  <c r="GH10" i="2"/>
  <c r="GH30" i="2"/>
  <c r="GH12" i="2"/>
  <c r="GH55" i="2"/>
  <c r="GH16" i="2"/>
  <c r="GH20" i="2"/>
  <c r="GH56" i="2"/>
  <c r="GH42" i="2"/>
  <c r="GH4" i="2"/>
  <c r="GH36" i="2"/>
  <c r="GH25" i="2"/>
  <c r="GH38" i="2"/>
  <c r="GH8" i="2"/>
  <c r="GH40" i="2"/>
  <c r="GH14" i="2"/>
  <c r="GH23" i="2"/>
  <c r="GH13" i="2"/>
  <c r="GH45" i="2"/>
  <c r="GH37" i="2"/>
  <c r="GH44" i="2"/>
  <c r="GH18" i="2"/>
  <c r="GH50" i="2"/>
  <c r="GH31" i="2"/>
  <c r="GH17" i="2"/>
  <c r="GH21" i="2"/>
  <c r="GH11" i="2"/>
  <c r="GH9" i="2"/>
  <c r="GH39" i="2"/>
  <c r="GH53" i="2"/>
  <c r="GH19" i="2"/>
  <c r="GH46" i="2"/>
  <c r="GH60" i="2"/>
  <c r="GH6" i="2"/>
  <c r="GH32" i="2"/>
  <c r="GH33" i="2"/>
  <c r="GH58" i="2"/>
  <c r="GH27" i="2"/>
  <c r="GH47" i="2"/>
  <c r="GH5" i="2"/>
  <c r="GH24" i="2"/>
  <c r="GH59" i="2"/>
  <c r="GH61" i="2"/>
  <c r="GH41" i="2"/>
  <c r="GH29" i="2"/>
  <c r="GH35" i="2"/>
  <c r="GH57" i="2"/>
  <c r="GH26" i="2"/>
  <c r="GH34" i="2"/>
  <c r="GH43" i="2"/>
  <c r="GH7" i="2"/>
  <c r="GH49" i="2"/>
  <c r="GH15" i="2"/>
  <c r="DH42" i="2"/>
  <c r="DH35" i="2"/>
  <c r="EH50" i="2"/>
  <c r="EH26" i="2"/>
  <c r="EH62" i="2"/>
  <c r="DH4" i="2"/>
  <c r="DH32" i="2"/>
  <c r="EH60" i="2"/>
  <c r="EH10" i="2"/>
  <c r="EH30" i="2"/>
  <c r="FK16" i="2"/>
  <c r="DH53" i="2"/>
  <c r="DH16" i="2"/>
  <c r="EH54" i="2"/>
  <c r="EH41" i="2"/>
  <c r="EH45" i="2"/>
  <c r="FK9" i="2"/>
  <c r="DH51" i="2"/>
  <c r="EH11" i="2"/>
  <c r="EH21" i="2"/>
  <c r="FK57" i="2"/>
  <c r="BN229" i="2"/>
  <c r="BN146" i="2"/>
  <c r="BN172" i="2"/>
  <c r="BN65" i="2"/>
  <c r="DH50" i="2"/>
  <c r="DH61" i="2"/>
  <c r="EH6" i="2"/>
  <c r="EH40" i="2"/>
  <c r="EH20" i="2"/>
  <c r="FK30" i="2"/>
  <c r="BN136" i="2"/>
  <c r="BN219" i="2"/>
  <c r="BN181" i="2"/>
  <c r="BN5" i="2"/>
  <c r="BN202" i="2"/>
  <c r="DH28" i="2"/>
  <c r="EH58" i="2"/>
  <c r="EH32" i="2"/>
  <c r="EH61" i="2"/>
  <c r="FK53" i="2"/>
  <c r="BN117" i="2"/>
  <c r="BN4" i="2"/>
  <c r="BN159" i="2"/>
  <c r="DH7" i="2"/>
  <c r="EH37" i="2"/>
  <c r="EH24" i="2"/>
  <c r="EH7" i="2"/>
  <c r="FK23" i="2"/>
  <c r="DH33" i="2"/>
  <c r="EH34" i="2"/>
  <c r="EH16" i="2"/>
  <c r="EH55" i="2"/>
  <c r="DH12" i="2"/>
  <c r="EH22" i="2"/>
  <c r="EH8" i="2"/>
  <c r="EH9" i="2"/>
  <c r="FH62" i="2"/>
  <c r="FH38" i="2"/>
  <c r="DH6" i="2"/>
  <c r="EH33" i="2"/>
  <c r="EH43" i="2"/>
  <c r="FH44" i="2"/>
  <c r="DH26" i="2"/>
  <c r="EH53" i="2"/>
  <c r="EH35" i="2"/>
  <c r="BN34" i="2"/>
  <c r="BN222" i="2"/>
  <c r="DH9" i="2"/>
  <c r="EH42" i="2"/>
  <c r="EH51" i="2"/>
  <c r="BN83" i="2"/>
  <c r="BN39" i="2"/>
  <c r="BN70" i="2"/>
  <c r="BN50" i="2"/>
  <c r="BN171" i="2"/>
  <c r="BN24" i="2"/>
  <c r="BN108" i="2"/>
  <c r="BN21" i="2"/>
  <c r="BN189" i="2"/>
  <c r="BN196" i="2"/>
  <c r="DH60" i="2"/>
  <c r="DH47" i="2"/>
  <c r="EH52" i="2"/>
  <c r="EH31" i="2"/>
  <c r="FH57" i="2"/>
  <c r="FH6" i="2"/>
  <c r="BN64" i="2"/>
  <c r="BN158" i="2"/>
  <c r="BN23" i="2"/>
  <c r="BN7" i="2"/>
  <c r="BN248" i="2"/>
  <c r="BN16" i="2"/>
  <c r="BN79" i="2"/>
  <c r="BN204" i="2"/>
  <c r="BN191" i="2"/>
  <c r="BN138" i="2"/>
  <c r="DH54" i="2"/>
  <c r="DH25" i="2"/>
  <c r="EH25" i="2"/>
  <c r="EH57" i="2"/>
  <c r="FH49" i="2"/>
  <c r="FH21" i="2"/>
  <c r="FZ63" i="2"/>
  <c r="FZ64" i="2"/>
  <c r="FW27" i="2"/>
  <c r="FW51" i="2"/>
  <c r="FW19" i="2"/>
  <c r="FW11" i="2"/>
  <c r="FW35" i="2"/>
  <c r="FW59" i="2"/>
  <c r="FW9" i="2"/>
  <c r="FW17" i="2"/>
  <c r="FW25" i="2"/>
  <c r="FW33" i="2"/>
  <c r="FW41" i="2"/>
  <c r="FW49" i="2"/>
  <c r="FW57" i="2"/>
  <c r="FW10" i="2"/>
  <c r="FW18" i="2"/>
  <c r="FW26" i="2"/>
  <c r="FW43" i="2"/>
  <c r="FW34" i="2"/>
  <c r="FW60" i="2"/>
  <c r="FW22" i="2"/>
  <c r="FW58" i="2"/>
  <c r="FW5" i="2"/>
  <c r="FW52" i="2"/>
  <c r="FW36" i="2"/>
  <c r="FW20" i="2"/>
  <c r="FW30" i="2"/>
  <c r="FW45" i="2"/>
  <c r="FW48" i="2"/>
  <c r="FW44" i="2"/>
  <c r="FW6" i="2"/>
  <c r="FW21" i="2"/>
  <c r="FW42" i="2"/>
  <c r="FW40" i="2"/>
  <c r="FW4" i="2"/>
  <c r="FW54" i="2"/>
  <c r="FW32" i="2"/>
  <c r="FW28" i="2"/>
  <c r="FW53" i="2"/>
  <c r="FW47" i="2"/>
  <c r="FW24" i="2"/>
  <c r="FW61" i="2"/>
  <c r="FW16" i="2"/>
  <c r="FW12" i="2"/>
  <c r="FW37" i="2"/>
  <c r="FW56" i="2"/>
  <c r="FW46" i="2"/>
  <c r="FW14" i="2"/>
  <c r="FW50" i="2"/>
  <c r="FW15" i="2"/>
  <c r="FW55" i="2"/>
  <c r="FW29" i="2"/>
  <c r="FW31" i="2"/>
  <c r="FW8" i="2"/>
  <c r="FW39" i="2"/>
  <c r="FW7" i="2"/>
  <c r="FW62" i="2"/>
  <c r="FW23" i="2"/>
  <c r="FW38" i="2"/>
  <c r="FW13" i="2"/>
  <c r="FT59" i="2"/>
  <c r="FT51" i="2"/>
  <c r="FT35" i="2"/>
  <c r="FT27" i="2"/>
  <c r="FT11" i="2"/>
  <c r="FT43" i="2"/>
  <c r="FT19" i="2"/>
  <c r="FT33" i="2"/>
  <c r="FT13" i="2"/>
  <c r="FT40" i="2"/>
  <c r="FT36" i="2"/>
  <c r="FT20" i="2"/>
  <c r="FT26" i="2"/>
  <c r="FT53" i="2"/>
  <c r="FT61" i="2"/>
  <c r="FT48" i="2"/>
  <c r="FT49" i="2"/>
  <c r="FT24" i="2"/>
  <c r="FT18" i="2"/>
  <c r="FT31" i="2"/>
  <c r="FT10" i="2"/>
  <c r="FT5" i="2"/>
  <c r="FT32" i="2"/>
  <c r="FT60" i="2"/>
  <c r="FT8" i="2"/>
  <c r="FT4" i="2"/>
  <c r="FT7" i="2"/>
  <c r="FT42" i="2"/>
  <c r="FT22" i="2"/>
  <c r="FT50" i="2"/>
  <c r="FT16" i="2"/>
  <c r="FT44" i="2"/>
  <c r="FT41" i="2"/>
  <c r="FT9" i="2"/>
  <c r="FT29" i="2"/>
  <c r="FT34" i="2"/>
  <c r="FT28" i="2"/>
  <c r="FT55" i="2"/>
  <c r="FT21" i="2"/>
  <c r="FT17" i="2"/>
  <c r="FT12" i="2"/>
  <c r="FT39" i="2"/>
  <c r="FT54" i="2"/>
  <c r="FT38" i="2"/>
  <c r="FT6" i="2"/>
  <c r="FT47" i="2"/>
  <c r="FT58" i="2"/>
  <c r="FT23" i="2"/>
  <c r="FT15" i="2"/>
  <c r="FT46" i="2"/>
  <c r="FT14" i="2"/>
  <c r="FT52" i="2"/>
  <c r="FT57" i="2"/>
  <c r="FT56" i="2"/>
  <c r="FT25" i="2"/>
  <c r="FT62" i="2"/>
  <c r="FT30" i="2"/>
  <c r="FT37" i="2"/>
  <c r="FT45" i="2"/>
  <c r="FQ63" i="2"/>
  <c r="FQ64" i="2"/>
  <c r="FN5" i="2"/>
  <c r="FN13" i="2"/>
  <c r="FN21" i="2"/>
  <c r="FN29" i="2"/>
  <c r="FN37" i="2"/>
  <c r="FN45" i="2"/>
  <c r="FN53" i="2"/>
  <c r="FN59" i="2"/>
  <c r="FN8" i="2"/>
  <c r="FN16" i="2"/>
  <c r="FN24" i="2"/>
  <c r="FN32" i="2"/>
  <c r="FN40" i="2"/>
  <c r="FN48" i="2"/>
  <c r="FN56" i="2"/>
  <c r="FN51" i="2"/>
  <c r="FN43" i="2"/>
  <c r="FN35" i="2"/>
  <c r="FN27" i="2"/>
  <c r="FN19" i="2"/>
  <c r="FN11" i="2"/>
  <c r="FN50" i="2"/>
  <c r="FN28" i="2"/>
  <c r="FN22" i="2"/>
  <c r="FN58" i="2"/>
  <c r="FN52" i="2"/>
  <c r="FN42" i="2"/>
  <c r="FN20" i="2"/>
  <c r="FN17" i="2"/>
  <c r="FN41" i="2"/>
  <c r="FN9" i="2"/>
  <c r="FN55" i="2"/>
  <c r="FN7" i="2"/>
  <c r="FN34" i="2"/>
  <c r="FN12" i="2"/>
  <c r="FN6" i="2"/>
  <c r="FN26" i="2"/>
  <c r="FN4" i="2"/>
  <c r="FN57" i="2"/>
  <c r="FN38" i="2"/>
  <c r="FN18" i="2"/>
  <c r="FN49" i="2"/>
  <c r="FN36" i="2"/>
  <c r="FN47" i="2"/>
  <c r="FN15" i="2"/>
  <c r="FN46" i="2"/>
  <c r="FN23" i="2"/>
  <c r="FN60" i="2"/>
  <c r="FN33" i="2"/>
  <c r="FN31" i="2"/>
  <c r="FN39" i="2"/>
  <c r="FN61" i="2"/>
  <c r="FN10" i="2"/>
  <c r="FN25" i="2"/>
  <c r="FN62" i="2"/>
  <c r="FN30" i="2"/>
  <c r="FN44" i="2"/>
  <c r="FN14" i="2"/>
  <c r="FN54" i="2"/>
  <c r="FK58" i="2"/>
  <c r="FK4" i="2"/>
  <c r="FK38" i="2"/>
  <c r="FK54" i="2"/>
  <c r="FK20" i="2"/>
  <c r="FK14" i="2"/>
  <c r="FK32" i="2"/>
  <c r="FK59" i="2"/>
  <c r="FK13" i="2"/>
  <c r="FK46" i="2"/>
  <c r="FK21" i="2"/>
  <c r="FK7" i="2"/>
  <c r="FK52" i="2"/>
  <c r="FK61" i="2"/>
  <c r="FK62" i="2"/>
  <c r="FK28" i="2"/>
  <c r="FK40" i="2"/>
  <c r="FK25" i="2"/>
  <c r="FK31" i="2"/>
  <c r="FK44" i="2"/>
  <c r="FK45" i="2"/>
  <c r="FK22" i="2"/>
  <c r="FK49" i="2"/>
  <c r="FK55" i="2"/>
  <c r="FK51" i="2"/>
  <c r="FK43" i="2"/>
  <c r="FK12" i="2"/>
  <c r="FK8" i="2"/>
  <c r="FK50" i="2"/>
  <c r="FK47" i="2"/>
  <c r="FK11" i="2"/>
  <c r="FK36" i="2"/>
  <c r="FK42" i="2"/>
  <c r="FK56" i="2"/>
  <c r="FK48" i="2"/>
  <c r="FK24" i="2"/>
  <c r="FK34" i="2"/>
  <c r="FK6" i="2"/>
  <c r="FK60" i="2"/>
  <c r="FK29" i="2"/>
  <c r="FK26" i="2"/>
  <c r="FK33" i="2"/>
  <c r="FK17" i="2"/>
  <c r="FK35" i="2"/>
  <c r="FK18" i="2"/>
  <c r="FK41" i="2"/>
  <c r="FK27" i="2"/>
  <c r="FK5" i="2"/>
  <c r="FK10" i="2"/>
  <c r="FK15" i="2"/>
  <c r="FK19" i="2"/>
  <c r="FK37" i="2"/>
  <c r="FH5" i="2"/>
  <c r="FH9" i="2"/>
  <c r="FH14" i="2"/>
  <c r="FH52" i="2"/>
  <c r="FH45" i="2"/>
  <c r="FH56" i="2"/>
  <c r="FH13" i="2"/>
  <c r="FH20" i="2"/>
  <c r="FH27" i="2"/>
  <c r="FH48" i="2"/>
  <c r="FH36" i="2"/>
  <c r="FH30" i="2"/>
  <c r="FH58" i="2"/>
  <c r="FH40" i="2"/>
  <c r="FH12" i="2"/>
  <c r="FH28" i="2"/>
  <c r="FH50" i="2"/>
  <c r="FH32" i="2"/>
  <c r="FH15" i="2"/>
  <c r="FH37" i="2"/>
  <c r="FH42" i="2"/>
  <c r="FH24" i="2"/>
  <c r="FH22" i="2"/>
  <c r="FH53" i="2"/>
  <c r="FH34" i="2"/>
  <c r="FH16" i="2"/>
  <c r="FH61" i="2"/>
  <c r="FH55" i="2"/>
  <c r="FH26" i="2"/>
  <c r="FH8" i="2"/>
  <c r="FH29" i="2"/>
  <c r="ET55" i="2"/>
  <c r="ET57" i="2"/>
  <c r="ET59" i="2"/>
  <c r="ET37" i="2"/>
  <c r="ET31" i="2"/>
  <c r="ET49" i="2"/>
  <c r="ET27" i="2"/>
  <c r="ET36" i="2"/>
  <c r="ET12" i="2"/>
  <c r="ET39" i="2"/>
  <c r="ET41" i="2"/>
  <c r="ET51" i="2"/>
  <c r="ET54" i="2"/>
  <c r="ET33" i="2"/>
  <c r="ET7" i="2"/>
  <c r="BN42" i="2"/>
  <c r="BN91" i="2"/>
  <c r="BN256" i="2"/>
  <c r="BN120" i="2"/>
  <c r="BN155" i="2"/>
  <c r="BN249" i="2"/>
  <c r="BN153" i="2"/>
  <c r="BN247" i="2"/>
  <c r="BN230" i="2"/>
  <c r="BN105" i="2"/>
  <c r="BN143" i="2"/>
  <c r="BN94" i="2"/>
  <c r="DH10" i="2"/>
  <c r="DH57" i="2"/>
  <c r="DH8" i="2"/>
  <c r="ET38" i="2"/>
  <c r="ET25" i="2"/>
  <c r="ET22" i="2"/>
  <c r="ET29" i="2"/>
  <c r="ET44" i="2"/>
  <c r="EN63" i="2"/>
  <c r="ET6" i="2"/>
  <c r="ET17" i="2"/>
  <c r="ET46" i="2"/>
  <c r="ET20" i="2"/>
  <c r="ET21" i="2"/>
  <c r="BN186" i="2"/>
  <c r="BN53" i="2"/>
  <c r="BN59" i="2"/>
  <c r="BN240" i="2"/>
  <c r="BN104" i="2"/>
  <c r="BN38" i="2"/>
  <c r="BN231" i="2"/>
  <c r="BN182" i="2"/>
  <c r="BN228" i="2"/>
  <c r="BN166" i="2"/>
  <c r="BN145" i="2"/>
  <c r="BN185" i="2"/>
  <c r="BN49" i="2"/>
  <c r="DH18" i="2"/>
  <c r="DH15" i="2"/>
  <c r="DH59" i="2"/>
  <c r="ET15" i="2"/>
  <c r="ET9" i="2"/>
  <c r="ET30" i="2"/>
  <c r="BN29" i="2"/>
  <c r="BN165" i="2"/>
  <c r="BN55" i="2"/>
  <c r="BN51" i="2"/>
  <c r="BN232" i="2"/>
  <c r="BN96" i="2"/>
  <c r="BN30" i="2"/>
  <c r="BN214" i="2"/>
  <c r="BN122" i="2"/>
  <c r="BN215" i="2"/>
  <c r="BN89" i="2"/>
  <c r="BN190" i="2"/>
  <c r="BN199" i="2"/>
  <c r="BT107" i="2"/>
  <c r="DH44" i="2"/>
  <c r="DH14" i="2"/>
  <c r="DH30" i="2"/>
  <c r="ET23" i="2"/>
  <c r="ET19" i="2"/>
  <c r="ET14" i="2"/>
  <c r="ET11" i="2"/>
  <c r="ET56" i="2"/>
  <c r="ET61" i="2"/>
  <c r="ET58" i="2"/>
  <c r="DH37" i="2"/>
  <c r="DH13" i="2"/>
  <c r="EH36" i="2"/>
  <c r="ET35" i="2"/>
  <c r="ET48" i="2"/>
  <c r="ET13" i="2"/>
  <c r="ET47" i="2"/>
  <c r="DH62" i="2"/>
  <c r="ET50" i="2"/>
  <c r="ET40" i="2"/>
  <c r="ET4" i="2"/>
  <c r="ET5" i="2"/>
  <c r="ET42" i="2"/>
  <c r="ET32" i="2"/>
  <c r="ET62" i="2"/>
  <c r="ET43" i="2"/>
  <c r="BN82" i="2"/>
  <c r="BN97" i="2"/>
  <c r="BN118" i="2"/>
  <c r="BN178" i="2"/>
  <c r="BN244" i="2"/>
  <c r="BN147" i="2"/>
  <c r="BN192" i="2"/>
  <c r="BN56" i="2"/>
  <c r="BN187" i="2"/>
  <c r="BN237" i="2"/>
  <c r="BN236" i="2"/>
  <c r="BN205" i="2"/>
  <c r="BN197" i="2"/>
  <c r="BN140" i="2"/>
  <c r="BN142" i="2"/>
  <c r="DH52" i="2"/>
  <c r="DH55" i="2"/>
  <c r="EH5" i="2"/>
  <c r="EH59" i="2"/>
  <c r="EH46" i="2"/>
  <c r="ET34" i="2"/>
  <c r="ET24" i="2"/>
  <c r="ET53" i="2"/>
  <c r="BN85" i="2"/>
  <c r="BN13" i="2"/>
  <c r="BN201" i="2"/>
  <c r="BN107" i="2"/>
  <c r="BN184" i="2"/>
  <c r="BN48" i="2"/>
  <c r="BN131" i="2"/>
  <c r="BN252" i="2"/>
  <c r="BN210" i="2"/>
  <c r="BN220" i="2"/>
  <c r="BN183" i="2"/>
  <c r="BN135" i="2"/>
  <c r="BN154" i="2"/>
  <c r="DH46" i="2"/>
  <c r="DH31" i="2"/>
  <c r="EH14" i="2"/>
  <c r="EH27" i="2"/>
  <c r="EH4" i="2"/>
  <c r="ET26" i="2"/>
  <c r="ET16" i="2"/>
  <c r="ET10" i="2"/>
  <c r="BN213" i="2"/>
  <c r="BN100" i="2"/>
  <c r="BN28" i="2"/>
  <c r="BN121" i="2"/>
  <c r="BN67" i="2"/>
  <c r="BN176" i="2"/>
  <c r="BN32" i="2"/>
  <c r="BN99" i="2"/>
  <c r="BN242" i="2"/>
  <c r="BN10" i="2"/>
  <c r="BN250" i="2"/>
  <c r="BN161" i="2"/>
  <c r="BN129" i="2"/>
  <c r="BN133" i="2"/>
  <c r="DH34" i="2"/>
  <c r="DH39" i="2"/>
  <c r="DH21" i="2"/>
  <c r="EH18" i="2"/>
  <c r="EH48" i="2"/>
  <c r="EH47" i="2"/>
  <c r="ET18" i="2"/>
  <c r="ET8" i="2"/>
  <c r="ET45" i="2"/>
  <c r="ET60" i="2"/>
  <c r="ET28" i="2"/>
  <c r="EZ64" i="2"/>
  <c r="EZ63" i="2"/>
  <c r="EW51" i="2"/>
  <c r="EW59" i="2"/>
  <c r="EW43" i="2"/>
  <c r="EW27" i="2"/>
  <c r="EW11" i="2"/>
  <c r="EW35" i="2"/>
  <c r="EW10" i="2"/>
  <c r="EW18" i="2"/>
  <c r="EW26" i="2"/>
  <c r="EW34" i="2"/>
  <c r="EW42" i="2"/>
  <c r="EW50" i="2"/>
  <c r="EW58" i="2"/>
  <c r="EW19" i="2"/>
  <c r="EW49" i="2"/>
  <c r="EW13" i="2"/>
  <c r="EW7" i="2"/>
  <c r="EW54" i="2"/>
  <c r="EW6" i="2"/>
  <c r="EW5" i="2"/>
  <c r="EW46" i="2"/>
  <c r="EW14" i="2"/>
  <c r="EW45" i="2"/>
  <c r="EW33" i="2"/>
  <c r="EW60" i="2"/>
  <c r="EW21" i="2"/>
  <c r="EW30" i="2"/>
  <c r="EW17" i="2"/>
  <c r="EW44" i="2"/>
  <c r="EW38" i="2"/>
  <c r="EW37" i="2"/>
  <c r="EW40" i="2"/>
  <c r="EW48" i="2"/>
  <c r="EW28" i="2"/>
  <c r="EW22" i="2"/>
  <c r="EW53" i="2"/>
  <c r="EW25" i="2"/>
  <c r="EW24" i="2"/>
  <c r="EW32" i="2"/>
  <c r="EW12" i="2"/>
  <c r="EW9" i="2"/>
  <c r="EW36" i="2"/>
  <c r="EW61" i="2"/>
  <c r="EW16" i="2"/>
  <c r="EW57" i="2"/>
  <c r="EW56" i="2"/>
  <c r="EW47" i="2"/>
  <c r="EW41" i="2"/>
  <c r="EW52" i="2"/>
  <c r="EW4" i="2"/>
  <c r="EW31" i="2"/>
  <c r="EW20" i="2"/>
  <c r="EW15" i="2"/>
  <c r="EW8" i="2"/>
  <c r="EW39" i="2"/>
  <c r="EW62" i="2"/>
  <c r="EW55" i="2"/>
  <c r="EW29" i="2"/>
  <c r="EW23" i="2"/>
  <c r="EN64" i="2"/>
  <c r="EH39" i="2"/>
  <c r="EH44" i="2"/>
  <c r="EH19" i="2"/>
  <c r="EH13" i="2"/>
  <c r="EH29" i="2"/>
  <c r="EH38" i="2"/>
  <c r="EH56" i="2"/>
  <c r="EH17" i="2"/>
  <c r="EE19" i="2"/>
  <c r="EE35" i="2"/>
  <c r="EE59" i="2"/>
  <c r="EE43" i="2"/>
  <c r="EE27" i="2"/>
  <c r="EE7" i="2"/>
  <c r="EE15" i="2"/>
  <c r="EE23" i="2"/>
  <c r="EE8" i="2"/>
  <c r="EE16" i="2"/>
  <c r="EE24" i="2"/>
  <c r="EE32" i="2"/>
  <c r="EE40" i="2"/>
  <c r="EE48" i="2"/>
  <c r="EE56" i="2"/>
  <c r="EE51" i="2"/>
  <c r="EE11" i="2"/>
  <c r="EE34" i="2"/>
  <c r="EE12" i="2"/>
  <c r="EE50" i="2"/>
  <c r="EE33" i="2"/>
  <c r="EE41" i="2"/>
  <c r="EE61" i="2"/>
  <c r="EE38" i="2"/>
  <c r="EE28" i="2"/>
  <c r="EE17" i="2"/>
  <c r="EE49" i="2"/>
  <c r="EE53" i="2"/>
  <c r="EE58" i="2"/>
  <c r="EE42" i="2"/>
  <c r="EE26" i="2"/>
  <c r="EE45" i="2"/>
  <c r="EE54" i="2"/>
  <c r="EE44" i="2"/>
  <c r="EE47" i="2"/>
  <c r="EE37" i="2"/>
  <c r="EE5" i="2"/>
  <c r="EE52" i="2"/>
  <c r="EE36" i="2"/>
  <c r="EE55" i="2"/>
  <c r="EE31" i="2"/>
  <c r="EE21" i="2"/>
  <c r="EE57" i="2"/>
  <c r="EE30" i="2"/>
  <c r="EE18" i="2"/>
  <c r="EE20" i="2"/>
  <c r="EE62" i="2"/>
  <c r="EE10" i="2"/>
  <c r="EE4" i="2"/>
  <c r="EE60" i="2"/>
  <c r="EE6" i="2"/>
  <c r="EE46" i="2"/>
  <c r="EE39" i="2"/>
  <c r="EE22" i="2"/>
  <c r="EE9" i="2"/>
  <c r="EE14" i="2"/>
  <c r="EE25" i="2"/>
  <c r="EE13" i="2"/>
  <c r="EE29" i="2"/>
  <c r="BK253" i="2"/>
  <c r="BN76" i="2"/>
  <c r="BN95" i="2"/>
  <c r="BH253" i="2"/>
  <c r="BN170" i="2"/>
  <c r="BN141" i="2"/>
  <c r="BN127" i="2"/>
  <c r="BN106" i="2"/>
  <c r="DH11" i="2"/>
  <c r="DH45" i="2"/>
  <c r="DH56" i="2"/>
  <c r="BN212" i="2"/>
  <c r="BN109" i="2"/>
  <c r="DH48" i="2"/>
  <c r="BN198" i="2"/>
  <c r="BN124" i="2"/>
  <c r="DH41" i="2"/>
  <c r="DH40" i="2"/>
  <c r="BW257" i="2"/>
  <c r="BN114" i="2"/>
  <c r="BN54" i="2"/>
  <c r="BN102" i="2"/>
  <c r="BN211" i="2"/>
  <c r="BN227" i="2"/>
  <c r="BN168" i="2"/>
  <c r="BN40" i="2"/>
  <c r="BN115" i="2"/>
  <c r="BN130" i="2"/>
  <c r="BN254" i="2"/>
  <c r="BN209" i="2"/>
  <c r="BN207" i="2"/>
  <c r="BN175" i="2"/>
  <c r="BN150" i="2"/>
  <c r="BN180" i="2"/>
  <c r="DH49" i="2"/>
  <c r="DH23" i="2"/>
  <c r="DH24" i="2"/>
  <c r="DZ63" i="2"/>
  <c r="DZ64" i="2"/>
  <c r="DQ43" i="2"/>
  <c r="DQ19" i="2"/>
  <c r="DQ59" i="2"/>
  <c r="DQ51" i="2"/>
  <c r="DQ27" i="2"/>
  <c r="DQ10" i="2"/>
  <c r="DQ18" i="2"/>
  <c r="DQ26" i="2"/>
  <c r="DQ34" i="2"/>
  <c r="DQ42" i="2"/>
  <c r="DQ50" i="2"/>
  <c r="DQ58" i="2"/>
  <c r="DQ35" i="2"/>
  <c r="DQ11" i="2"/>
  <c r="DQ49" i="2"/>
  <c r="DQ13" i="2"/>
  <c r="DQ7" i="2"/>
  <c r="DQ33" i="2"/>
  <c r="DQ60" i="2"/>
  <c r="DQ44" i="2"/>
  <c r="DQ48" i="2"/>
  <c r="DQ22" i="2"/>
  <c r="DQ12" i="2"/>
  <c r="DQ53" i="2"/>
  <c r="DQ37" i="2"/>
  <c r="DQ9" i="2"/>
  <c r="DQ55" i="2"/>
  <c r="DQ54" i="2"/>
  <c r="DQ6" i="2"/>
  <c r="DQ57" i="2"/>
  <c r="DQ41" i="2"/>
  <c r="DQ25" i="2"/>
  <c r="DQ5" i="2"/>
  <c r="DQ52" i="2"/>
  <c r="DQ36" i="2"/>
  <c r="DQ17" i="2"/>
  <c r="DQ38" i="2"/>
  <c r="DQ47" i="2"/>
  <c r="DQ56" i="2"/>
  <c r="DQ24" i="2"/>
  <c r="DQ61" i="2"/>
  <c r="DQ28" i="2"/>
  <c r="DQ21" i="2"/>
  <c r="DQ4" i="2"/>
  <c r="DQ32" i="2"/>
  <c r="DQ31" i="2"/>
  <c r="DQ62" i="2"/>
  <c r="DQ8" i="2"/>
  <c r="DQ39" i="2"/>
  <c r="DQ16" i="2"/>
  <c r="DQ15" i="2"/>
  <c r="DQ46" i="2"/>
  <c r="DQ14" i="2"/>
  <c r="DQ23" i="2"/>
  <c r="DQ40" i="2"/>
  <c r="DQ45" i="2"/>
  <c r="DQ30" i="2"/>
  <c r="DQ20" i="2"/>
  <c r="DQ29" i="2"/>
  <c r="DK59" i="2"/>
  <c r="DK19" i="2"/>
  <c r="DK11" i="2"/>
  <c r="DK35" i="2"/>
  <c r="DK51" i="2"/>
  <c r="DK43" i="2"/>
  <c r="DK8" i="2"/>
  <c r="DK16" i="2"/>
  <c r="DK24" i="2"/>
  <c r="DK32" i="2"/>
  <c r="DK40" i="2"/>
  <c r="DK48" i="2"/>
  <c r="DK56" i="2"/>
  <c r="DK27" i="2"/>
  <c r="DK49" i="2"/>
  <c r="DK28" i="2"/>
  <c r="DK54" i="2"/>
  <c r="DK22" i="2"/>
  <c r="DK42" i="2"/>
  <c r="DK53" i="2"/>
  <c r="DK37" i="2"/>
  <c r="DK21" i="2"/>
  <c r="DK18" i="2"/>
  <c r="DK13" i="2"/>
  <c r="DK33" i="2"/>
  <c r="DK12" i="2"/>
  <c r="DK38" i="2"/>
  <c r="DK6" i="2"/>
  <c r="DK15" i="2"/>
  <c r="DK25" i="2"/>
  <c r="DK36" i="2"/>
  <c r="DK55" i="2"/>
  <c r="DK17" i="2"/>
  <c r="DK58" i="2"/>
  <c r="DK30" i="2"/>
  <c r="DK61" i="2"/>
  <c r="DK47" i="2"/>
  <c r="DK41" i="2"/>
  <c r="DK52" i="2"/>
  <c r="DK45" i="2"/>
  <c r="DK31" i="2"/>
  <c r="DK26" i="2"/>
  <c r="DK5" i="2"/>
  <c r="DK14" i="2"/>
  <c r="DK50" i="2"/>
  <c r="DK23" i="2"/>
  <c r="DK10" i="2"/>
  <c r="DK4" i="2"/>
  <c r="DK7" i="2"/>
  <c r="DK62" i="2"/>
  <c r="DK57" i="2"/>
  <c r="DK9" i="2"/>
  <c r="DK20" i="2"/>
  <c r="DK46" i="2"/>
  <c r="DK29" i="2"/>
  <c r="DK34" i="2"/>
  <c r="DK39" i="2"/>
  <c r="DK44" i="2"/>
  <c r="DK60" i="2"/>
  <c r="DH17" i="2"/>
  <c r="DH27" i="2"/>
  <c r="DH29" i="2"/>
  <c r="DH36" i="2"/>
  <c r="DH58" i="2"/>
  <c r="DH19" i="2"/>
  <c r="DE63" i="2"/>
  <c r="CZ59" i="2"/>
  <c r="CZ83" i="2"/>
  <c r="CZ75" i="2"/>
  <c r="CZ67" i="2"/>
  <c r="CZ51" i="2"/>
  <c r="CZ43" i="2"/>
  <c r="CZ91" i="2"/>
  <c r="CZ107" i="2"/>
  <c r="CZ19" i="2"/>
  <c r="CZ8" i="2"/>
  <c r="CZ16" i="2"/>
  <c r="CZ24" i="2"/>
  <c r="CZ32" i="2"/>
  <c r="CZ40" i="2"/>
  <c r="CZ48" i="2"/>
  <c r="CZ56" i="2"/>
  <c r="CZ64" i="2"/>
  <c r="CZ72" i="2"/>
  <c r="CZ80" i="2"/>
  <c r="CZ88" i="2"/>
  <c r="CZ96" i="2"/>
  <c r="CZ104" i="2"/>
  <c r="CZ112" i="2"/>
  <c r="CZ120" i="2"/>
  <c r="CZ99" i="2"/>
  <c r="CZ27" i="2"/>
  <c r="CZ35" i="2"/>
  <c r="CZ11" i="2"/>
  <c r="CZ115" i="2"/>
  <c r="CZ113" i="2"/>
  <c r="CZ78" i="2"/>
  <c r="CZ108" i="2"/>
  <c r="CZ121" i="2"/>
  <c r="CZ118" i="2"/>
  <c r="CZ116" i="2"/>
  <c r="CZ46" i="2"/>
  <c r="CZ89" i="2"/>
  <c r="CZ86" i="2"/>
  <c r="CZ30" i="2"/>
  <c r="CZ70" i="2"/>
  <c r="CZ14" i="2"/>
  <c r="CZ57" i="2"/>
  <c r="CZ41" i="2"/>
  <c r="CZ95" i="2"/>
  <c r="CZ22" i="2"/>
  <c r="CZ4" i="2"/>
  <c r="CZ98" i="2"/>
  <c r="CZ87" i="2"/>
  <c r="CZ29" i="2"/>
  <c r="CZ66" i="2"/>
  <c r="CZ18" i="2"/>
  <c r="CZ62" i="2"/>
  <c r="CZ92" i="2"/>
  <c r="CZ105" i="2"/>
  <c r="CZ102" i="2"/>
  <c r="CZ100" i="2"/>
  <c r="CZ84" i="2"/>
  <c r="CZ60" i="2"/>
  <c r="CZ68" i="2"/>
  <c r="CZ44" i="2"/>
  <c r="CZ54" i="2"/>
  <c r="CZ38" i="2"/>
  <c r="CZ33" i="2"/>
  <c r="CZ93" i="2"/>
  <c r="CZ10" i="2"/>
  <c r="CZ15" i="2"/>
  <c r="CZ13" i="2"/>
  <c r="CZ26" i="2"/>
  <c r="CZ17" i="2"/>
  <c r="CZ76" i="2"/>
  <c r="CZ12" i="2"/>
  <c r="CZ9" i="2"/>
  <c r="CZ119" i="2"/>
  <c r="CZ101" i="2"/>
  <c r="CZ122" i="2"/>
  <c r="CZ69" i="2"/>
  <c r="CZ74" i="2"/>
  <c r="CZ5" i="2"/>
  <c r="CZ50" i="2"/>
  <c r="CZ73" i="2"/>
  <c r="CZ25" i="2"/>
  <c r="CZ97" i="2"/>
  <c r="CZ31" i="2"/>
  <c r="CZ55" i="2"/>
  <c r="CZ110" i="2"/>
  <c r="CZ49" i="2"/>
  <c r="CZ52" i="2"/>
  <c r="CZ109" i="2"/>
  <c r="CZ58" i="2"/>
  <c r="CZ103" i="2"/>
  <c r="CZ85" i="2"/>
  <c r="CZ71" i="2"/>
  <c r="CZ53" i="2"/>
  <c r="CZ42" i="2"/>
  <c r="CZ111" i="2"/>
  <c r="CZ114" i="2"/>
  <c r="CZ28" i="2"/>
  <c r="CZ36" i="2"/>
  <c r="CZ20" i="2"/>
  <c r="CZ6" i="2"/>
  <c r="CZ47" i="2"/>
  <c r="CZ45" i="2"/>
  <c r="CZ39" i="2"/>
  <c r="CZ81" i="2"/>
  <c r="CZ117" i="2"/>
  <c r="CZ61" i="2"/>
  <c r="CZ34" i="2"/>
  <c r="CZ23" i="2"/>
  <c r="CZ79" i="2"/>
  <c r="CZ82" i="2"/>
  <c r="CZ77" i="2"/>
  <c r="CZ90" i="2"/>
  <c r="CZ94" i="2"/>
  <c r="CZ63" i="2"/>
  <c r="CZ106" i="2"/>
  <c r="CZ65" i="2"/>
  <c r="CZ7" i="2"/>
  <c r="CZ21" i="2"/>
  <c r="CZ37" i="2"/>
  <c r="CW83" i="2"/>
  <c r="CW107" i="2"/>
  <c r="CW35" i="2"/>
  <c r="CW5" i="2"/>
  <c r="CW13" i="2"/>
  <c r="CW19" i="2"/>
  <c r="CW67" i="2"/>
  <c r="CW59" i="2"/>
  <c r="CW91" i="2"/>
  <c r="CW99" i="2"/>
  <c r="CW11" i="2"/>
  <c r="CW43" i="2"/>
  <c r="CW27" i="2"/>
  <c r="CW9" i="2"/>
  <c r="CW17" i="2"/>
  <c r="CW25" i="2"/>
  <c r="CW33" i="2"/>
  <c r="CW41" i="2"/>
  <c r="CW49" i="2"/>
  <c r="CW57" i="2"/>
  <c r="CW65" i="2"/>
  <c r="CW73" i="2"/>
  <c r="CW81" i="2"/>
  <c r="CW89" i="2"/>
  <c r="CW97" i="2"/>
  <c r="CW105" i="2"/>
  <c r="CW113" i="2"/>
  <c r="CW121" i="2"/>
  <c r="CW115" i="2"/>
  <c r="CW75" i="2"/>
  <c r="CW18" i="2"/>
  <c r="CW51" i="2"/>
  <c r="CW34" i="2"/>
  <c r="CW94" i="2"/>
  <c r="CW44" i="2"/>
  <c r="CW72" i="2"/>
  <c r="CW102" i="2"/>
  <c r="CW100" i="2"/>
  <c r="CW78" i="2"/>
  <c r="CW28" i="2"/>
  <c r="CW56" i="2"/>
  <c r="CW86" i="2"/>
  <c r="CW62" i="2"/>
  <c r="CW12" i="2"/>
  <c r="CW70" i="2"/>
  <c r="CW68" i="2"/>
  <c r="CW50" i="2"/>
  <c r="CW38" i="2"/>
  <c r="CW22" i="2"/>
  <c r="CW6" i="2"/>
  <c r="CW87" i="2"/>
  <c r="CW45" i="2"/>
  <c r="CW66" i="2"/>
  <c r="CW118" i="2"/>
  <c r="CW112" i="2"/>
  <c r="CW84" i="2"/>
  <c r="CW54" i="2"/>
  <c r="CW52" i="2"/>
  <c r="CW8" i="2"/>
  <c r="CW114" i="2"/>
  <c r="CW119" i="2"/>
  <c r="CW82" i="2"/>
  <c r="CW61" i="2"/>
  <c r="CW29" i="2"/>
  <c r="CW23" i="2"/>
  <c r="CW21" i="2"/>
  <c r="CW96" i="2"/>
  <c r="CW40" i="2"/>
  <c r="CW106" i="2"/>
  <c r="CW90" i="2"/>
  <c r="CW74" i="2"/>
  <c r="CW101" i="2"/>
  <c r="CW79" i="2"/>
  <c r="CW92" i="2"/>
  <c r="CW60" i="2"/>
  <c r="CW80" i="2"/>
  <c r="CW46" i="2"/>
  <c r="CW24" i="2"/>
  <c r="CW14" i="2"/>
  <c r="CW4" i="2"/>
  <c r="CW117" i="2"/>
  <c r="CW85" i="2"/>
  <c r="CW120" i="2"/>
  <c r="CW64" i="2"/>
  <c r="CW30" i="2"/>
  <c r="CW122" i="2"/>
  <c r="CW36" i="2"/>
  <c r="CW109" i="2"/>
  <c r="CW95" i="2"/>
  <c r="CW7" i="2"/>
  <c r="CW110" i="2"/>
  <c r="CW48" i="2"/>
  <c r="CW20" i="2"/>
  <c r="CW71" i="2"/>
  <c r="CW63" i="2"/>
  <c r="CW98" i="2"/>
  <c r="CW32" i="2"/>
  <c r="CW26" i="2"/>
  <c r="CW69" i="2"/>
  <c r="CW31" i="2"/>
  <c r="CW16" i="2"/>
  <c r="CW93" i="2"/>
  <c r="CW103" i="2"/>
  <c r="CW55" i="2"/>
  <c r="CW39" i="2"/>
  <c r="CW37" i="2"/>
  <c r="CW116" i="2"/>
  <c r="CW111" i="2"/>
  <c r="CW77" i="2"/>
  <c r="CW58" i="2"/>
  <c r="CW10" i="2"/>
  <c r="CW53" i="2"/>
  <c r="CW15" i="2"/>
  <c r="CW42" i="2"/>
  <c r="CW108" i="2"/>
  <c r="CW104" i="2"/>
  <c r="CW47" i="2"/>
  <c r="CW88" i="2"/>
  <c r="CW76" i="2"/>
  <c r="CT51" i="2"/>
  <c r="CT107" i="2"/>
  <c r="CT27" i="2"/>
  <c r="CT75" i="2"/>
  <c r="CT35" i="2"/>
  <c r="CT99" i="2"/>
  <c r="CT83" i="2"/>
  <c r="CT59" i="2"/>
  <c r="CT91" i="2"/>
  <c r="CT8" i="2"/>
  <c r="CT16" i="2"/>
  <c r="CT24" i="2"/>
  <c r="CT43" i="2"/>
  <c r="CT67" i="2"/>
  <c r="CT115" i="2"/>
  <c r="CT10" i="2"/>
  <c r="CT18" i="2"/>
  <c r="CT26" i="2"/>
  <c r="CT19" i="2"/>
  <c r="CT11" i="2"/>
  <c r="CT114" i="2"/>
  <c r="CT64" i="2"/>
  <c r="CT14" i="2"/>
  <c r="CT106" i="2"/>
  <c r="CT72" i="2"/>
  <c r="CT38" i="2"/>
  <c r="CT36" i="2"/>
  <c r="CT56" i="2"/>
  <c r="CT20" i="2"/>
  <c r="CT32" i="2"/>
  <c r="CT40" i="2"/>
  <c r="CT6" i="2"/>
  <c r="CT4" i="2"/>
  <c r="CT117" i="2"/>
  <c r="CT103" i="2"/>
  <c r="CT121" i="2"/>
  <c r="CT29" i="2"/>
  <c r="CT47" i="2"/>
  <c r="CT92" i="2"/>
  <c r="CT94" i="2"/>
  <c r="CT84" i="2"/>
  <c r="CT88" i="2"/>
  <c r="CT98" i="2"/>
  <c r="CT48" i="2"/>
  <c r="CT109" i="2"/>
  <c r="CT90" i="2"/>
  <c r="CT22" i="2"/>
  <c r="CT74" i="2"/>
  <c r="CT119" i="2"/>
  <c r="CT101" i="2"/>
  <c r="CT45" i="2"/>
  <c r="CT69" i="2"/>
  <c r="CT13" i="2"/>
  <c r="CT37" i="2"/>
  <c r="CT7" i="2"/>
  <c r="CT78" i="2"/>
  <c r="CT96" i="2"/>
  <c r="CT82" i="2"/>
  <c r="CT93" i="2"/>
  <c r="CT85" i="2"/>
  <c r="CT105" i="2"/>
  <c r="CT53" i="2"/>
  <c r="CT31" i="2"/>
  <c r="CT57" i="2"/>
  <c r="CT76" i="2"/>
  <c r="CT25" i="2"/>
  <c r="CT62" i="2"/>
  <c r="CT30" i="2"/>
  <c r="CT66" i="2"/>
  <c r="CT111" i="2"/>
  <c r="CT77" i="2"/>
  <c r="CT58" i="2"/>
  <c r="CT23" i="2"/>
  <c r="CT33" i="2"/>
  <c r="CT28" i="2"/>
  <c r="CT80" i="2"/>
  <c r="CT50" i="2"/>
  <c r="CT95" i="2"/>
  <c r="CT61" i="2"/>
  <c r="CT42" i="2"/>
  <c r="CT71" i="2"/>
  <c r="CT55" i="2"/>
  <c r="CT73" i="2"/>
  <c r="CT21" i="2"/>
  <c r="CT5" i="2"/>
  <c r="CT100" i="2"/>
  <c r="CT12" i="2"/>
  <c r="CT34" i="2"/>
  <c r="CT79" i="2"/>
  <c r="CT87" i="2"/>
  <c r="CT97" i="2"/>
  <c r="CT39" i="2"/>
  <c r="CT15" i="2"/>
  <c r="CT41" i="2"/>
  <c r="CT116" i="2"/>
  <c r="CT102" i="2"/>
  <c r="CT120" i="2"/>
  <c r="CT113" i="2"/>
  <c r="CT63" i="2"/>
  <c r="CT108" i="2"/>
  <c r="CT49" i="2"/>
  <c r="CT17" i="2"/>
  <c r="CT104" i="2"/>
  <c r="CT52" i="2"/>
  <c r="CT89" i="2"/>
  <c r="CT60" i="2"/>
  <c r="CT112" i="2"/>
  <c r="CT122" i="2"/>
  <c r="CT81" i="2"/>
  <c r="CT110" i="2"/>
  <c r="CT9" i="2"/>
  <c r="CT46" i="2"/>
  <c r="CT65" i="2"/>
  <c r="CT118" i="2"/>
  <c r="CT86" i="2"/>
  <c r="CT54" i="2"/>
  <c r="CT44" i="2"/>
  <c r="CT68" i="2"/>
  <c r="CT70" i="2"/>
  <c r="CQ59" i="2"/>
  <c r="CQ91" i="2"/>
  <c r="CQ27" i="2"/>
  <c r="CQ99" i="2"/>
  <c r="CQ75" i="2"/>
  <c r="CQ43" i="2"/>
  <c r="CQ67" i="2"/>
  <c r="CQ7" i="2"/>
  <c r="CQ15" i="2"/>
  <c r="CQ23" i="2"/>
  <c r="CQ31" i="2"/>
  <c r="CQ39" i="2"/>
  <c r="CQ107" i="2"/>
  <c r="CQ19" i="2"/>
  <c r="CQ8" i="2"/>
  <c r="CQ16" i="2"/>
  <c r="CQ24" i="2"/>
  <c r="CQ32" i="2"/>
  <c r="CQ40" i="2"/>
  <c r="CQ48" i="2"/>
  <c r="CQ56" i="2"/>
  <c r="CQ64" i="2"/>
  <c r="CQ72" i="2"/>
  <c r="CQ80" i="2"/>
  <c r="CQ88" i="2"/>
  <c r="CQ96" i="2"/>
  <c r="CQ104" i="2"/>
  <c r="CQ112" i="2"/>
  <c r="CQ120" i="2"/>
  <c r="CQ11" i="2"/>
  <c r="CQ115" i="2"/>
  <c r="CQ35" i="2"/>
  <c r="CQ51" i="2"/>
  <c r="CQ83" i="2"/>
  <c r="CQ114" i="2"/>
  <c r="CQ79" i="2"/>
  <c r="CQ13" i="2"/>
  <c r="CQ121" i="2"/>
  <c r="CQ70" i="2"/>
  <c r="CQ68" i="2"/>
  <c r="CQ63" i="2"/>
  <c r="CQ108" i="2"/>
  <c r="CQ105" i="2"/>
  <c r="CQ52" i="2"/>
  <c r="CQ47" i="2"/>
  <c r="CQ92" i="2"/>
  <c r="CQ38" i="2"/>
  <c r="CQ36" i="2"/>
  <c r="CQ76" i="2"/>
  <c r="CQ73" i="2"/>
  <c r="CQ94" i="2"/>
  <c r="CQ57" i="2"/>
  <c r="CQ101" i="2"/>
  <c r="CQ53" i="2"/>
  <c r="CQ71" i="2"/>
  <c r="CQ42" i="2"/>
  <c r="CQ95" i="2"/>
  <c r="CQ98" i="2"/>
  <c r="CQ54" i="2"/>
  <c r="CQ110" i="2"/>
  <c r="CQ22" i="2"/>
  <c r="CQ50" i="2"/>
  <c r="CQ25" i="2"/>
  <c r="CQ122" i="2"/>
  <c r="CQ21" i="2"/>
  <c r="CQ5" i="2"/>
  <c r="CQ45" i="2"/>
  <c r="CQ82" i="2"/>
  <c r="CQ89" i="2"/>
  <c r="CQ60" i="2"/>
  <c r="CQ6" i="2"/>
  <c r="CQ106" i="2"/>
  <c r="CQ49" i="2"/>
  <c r="CQ17" i="2"/>
  <c r="CQ10" i="2"/>
  <c r="CQ66" i="2"/>
  <c r="CQ20" i="2"/>
  <c r="CQ117" i="2"/>
  <c r="CQ9" i="2"/>
  <c r="CQ69" i="2"/>
  <c r="CQ87" i="2"/>
  <c r="CQ58" i="2"/>
  <c r="CQ4" i="2"/>
  <c r="CQ30" i="2"/>
  <c r="CQ109" i="2"/>
  <c r="CQ55" i="2"/>
  <c r="CQ102" i="2"/>
  <c r="CQ34" i="2"/>
  <c r="CQ78" i="2"/>
  <c r="CQ44" i="2"/>
  <c r="CQ41" i="2"/>
  <c r="CQ85" i="2"/>
  <c r="CQ103" i="2"/>
  <c r="CQ37" i="2"/>
  <c r="CQ77" i="2"/>
  <c r="CQ111" i="2"/>
  <c r="CQ18" i="2"/>
  <c r="CQ62" i="2"/>
  <c r="CQ28" i="2"/>
  <c r="CQ119" i="2"/>
  <c r="CQ90" i="2"/>
  <c r="CQ33" i="2"/>
  <c r="CQ100" i="2"/>
  <c r="CQ113" i="2"/>
  <c r="CQ46" i="2"/>
  <c r="CQ12" i="2"/>
  <c r="CQ14" i="2"/>
  <c r="CQ74" i="2"/>
  <c r="CQ118" i="2"/>
  <c r="CQ29" i="2"/>
  <c r="CQ97" i="2"/>
  <c r="CQ116" i="2"/>
  <c r="CQ84" i="2"/>
  <c r="CQ81" i="2"/>
  <c r="CQ93" i="2"/>
  <c r="CQ61" i="2"/>
  <c r="CQ86" i="2"/>
  <c r="CQ65" i="2"/>
  <c r="CQ26" i="2"/>
  <c r="CN27" i="2"/>
  <c r="CN4" i="2"/>
  <c r="CN12" i="2"/>
  <c r="CN20" i="2"/>
  <c r="CN28" i="2"/>
  <c r="CN36" i="2"/>
  <c r="CN44" i="2"/>
  <c r="CN52" i="2"/>
  <c r="CN60" i="2"/>
  <c r="CN68" i="2"/>
  <c r="CN76" i="2"/>
  <c r="CN84" i="2"/>
  <c r="CN92" i="2"/>
  <c r="CN100" i="2"/>
  <c r="CN108" i="2"/>
  <c r="CN116" i="2"/>
  <c r="CN91" i="2"/>
  <c r="CN99" i="2"/>
  <c r="CN35" i="2"/>
  <c r="CN75" i="2"/>
  <c r="CN83" i="2"/>
  <c r="CN59" i="2"/>
  <c r="CN31" i="2"/>
  <c r="CN39" i="2"/>
  <c r="CN47" i="2"/>
  <c r="CN55" i="2"/>
  <c r="CN63" i="2"/>
  <c r="CN71" i="2"/>
  <c r="CN79" i="2"/>
  <c r="CN87" i="2"/>
  <c r="CN95" i="2"/>
  <c r="CN103" i="2"/>
  <c r="CN111" i="2"/>
  <c r="CN119" i="2"/>
  <c r="CN51" i="2"/>
  <c r="CN67" i="2"/>
  <c r="CN107" i="2"/>
  <c r="CN115" i="2"/>
  <c r="CN9" i="2"/>
  <c r="CN43" i="2"/>
  <c r="CN10" i="2"/>
  <c r="CN18" i="2"/>
  <c r="CN26" i="2"/>
  <c r="CN34" i="2"/>
  <c r="CN42" i="2"/>
  <c r="CN50" i="2"/>
  <c r="CN58" i="2"/>
  <c r="CN66" i="2"/>
  <c r="CN74" i="2"/>
  <c r="CN82" i="2"/>
  <c r="CN19" i="2"/>
  <c r="CN11" i="2"/>
  <c r="CN114" i="2"/>
  <c r="CN15" i="2"/>
  <c r="CN106" i="2"/>
  <c r="CN8" i="2"/>
  <c r="CN37" i="2"/>
  <c r="CN78" i="2"/>
  <c r="CN85" i="2"/>
  <c r="CN98" i="2"/>
  <c r="CN110" i="2"/>
  <c r="CN90" i="2"/>
  <c r="CN23" i="2"/>
  <c r="CN21" i="2"/>
  <c r="CN105" i="2"/>
  <c r="CN62" i="2"/>
  <c r="CN65" i="2"/>
  <c r="CN86" i="2"/>
  <c r="CN57" i="2"/>
  <c r="CN14" i="2"/>
  <c r="CN25" i="2"/>
  <c r="CN22" i="2"/>
  <c r="CN104" i="2"/>
  <c r="CN45" i="2"/>
  <c r="CN53" i="2"/>
  <c r="CN113" i="2"/>
  <c r="CN94" i="2"/>
  <c r="CN121" i="2"/>
  <c r="CN7" i="2"/>
  <c r="CN5" i="2"/>
  <c r="CN118" i="2"/>
  <c r="CN102" i="2"/>
  <c r="CN73" i="2"/>
  <c r="CN30" i="2"/>
  <c r="CN38" i="2"/>
  <c r="CN6" i="2"/>
  <c r="CN72" i="2"/>
  <c r="CN13" i="2"/>
  <c r="CN97" i="2"/>
  <c r="CN33" i="2"/>
  <c r="CN112" i="2"/>
  <c r="CN117" i="2"/>
  <c r="CN48" i="2"/>
  <c r="CN81" i="2"/>
  <c r="CN89" i="2"/>
  <c r="CN41" i="2"/>
  <c r="CN109" i="2"/>
  <c r="CN77" i="2"/>
  <c r="CN101" i="2"/>
  <c r="CN40" i="2"/>
  <c r="CN46" i="2"/>
  <c r="CN120" i="2"/>
  <c r="CN80" i="2"/>
  <c r="CN49" i="2"/>
  <c r="CN70" i="2"/>
  <c r="CN93" i="2"/>
  <c r="CN61" i="2"/>
  <c r="CN56" i="2"/>
  <c r="CN24" i="2"/>
  <c r="CN54" i="2"/>
  <c r="CN96" i="2"/>
  <c r="CN64" i="2"/>
  <c r="CN32" i="2"/>
  <c r="CN17" i="2"/>
  <c r="CN88" i="2"/>
  <c r="CN29" i="2"/>
  <c r="CN16" i="2"/>
  <c r="CN69" i="2"/>
  <c r="CK27" i="2"/>
  <c r="CK59" i="2"/>
  <c r="CK35" i="2"/>
  <c r="CK51" i="2"/>
  <c r="CK67" i="2"/>
  <c r="CK75" i="2"/>
  <c r="CK19" i="2"/>
  <c r="CK43" i="2"/>
  <c r="CK91" i="2"/>
  <c r="CK83" i="2"/>
  <c r="CK99" i="2"/>
  <c r="CK11" i="2"/>
  <c r="CK107" i="2"/>
  <c r="CK115" i="2"/>
  <c r="CK34" i="2"/>
  <c r="CK110" i="2"/>
  <c r="CK108" i="2"/>
  <c r="CK17" i="2"/>
  <c r="CK24" i="2"/>
  <c r="CK54" i="2"/>
  <c r="CK100" i="2"/>
  <c r="CK92" i="2"/>
  <c r="CK8" i="2"/>
  <c r="CK38" i="2"/>
  <c r="CK84" i="2"/>
  <c r="CK105" i="2"/>
  <c r="CK22" i="2"/>
  <c r="CK68" i="2"/>
  <c r="CK52" i="2"/>
  <c r="CK36" i="2"/>
  <c r="CK101" i="2"/>
  <c r="CK85" i="2"/>
  <c r="CK69" i="2"/>
  <c r="CK23" i="2"/>
  <c r="CK88" i="2"/>
  <c r="CK31" i="2"/>
  <c r="CK112" i="2"/>
  <c r="CK94" i="2"/>
  <c r="CK121" i="2"/>
  <c r="CK44" i="2"/>
  <c r="CK87" i="2"/>
  <c r="CK25" i="2"/>
  <c r="CK113" i="2"/>
  <c r="CK21" i="2"/>
  <c r="CK47" i="2"/>
  <c r="CK13" i="2"/>
  <c r="CK96" i="2"/>
  <c r="CK78" i="2"/>
  <c r="CK76" i="2"/>
  <c r="CK33" i="2"/>
  <c r="CK73" i="2"/>
  <c r="CK28" i="2"/>
  <c r="CK55" i="2"/>
  <c r="CK97" i="2"/>
  <c r="CK77" i="2"/>
  <c r="CK45" i="2"/>
  <c r="CK15" i="2"/>
  <c r="CK80" i="2"/>
  <c r="CK62" i="2"/>
  <c r="CK60" i="2"/>
  <c r="CK89" i="2"/>
  <c r="CK119" i="2"/>
  <c r="CK6" i="2"/>
  <c r="CK18" i="2"/>
  <c r="CK57" i="2"/>
  <c r="CK20" i="2"/>
  <c r="CK4" i="2"/>
  <c r="CK98" i="2"/>
  <c r="CK122" i="2"/>
  <c r="CK5" i="2"/>
  <c r="CK42" i="2"/>
  <c r="CK64" i="2"/>
  <c r="CK46" i="2"/>
  <c r="CK103" i="2"/>
  <c r="CK71" i="2"/>
  <c r="CK58" i="2"/>
  <c r="CK39" i="2"/>
  <c r="CK7" i="2"/>
  <c r="CK61" i="2"/>
  <c r="CK86" i="2"/>
  <c r="CK48" i="2"/>
  <c r="CK30" i="2"/>
  <c r="CK117" i="2"/>
  <c r="CK10" i="2"/>
  <c r="CK93" i="2"/>
  <c r="CK90" i="2"/>
  <c r="CK29" i="2"/>
  <c r="CK32" i="2"/>
  <c r="CK14" i="2"/>
  <c r="CK12" i="2"/>
  <c r="CK41" i="2"/>
  <c r="CK53" i="2"/>
  <c r="CK37" i="2"/>
  <c r="CK63" i="2"/>
  <c r="CK65" i="2"/>
  <c r="CK16" i="2"/>
  <c r="CK82" i="2"/>
  <c r="CK66" i="2"/>
  <c r="CK109" i="2"/>
  <c r="CK106" i="2"/>
  <c r="CK72" i="2"/>
  <c r="CK40" i="2"/>
  <c r="CK114" i="2"/>
  <c r="CK49" i="2"/>
  <c r="CK9" i="2"/>
  <c r="CK81" i="2"/>
  <c r="CK74" i="2"/>
  <c r="CK116" i="2"/>
  <c r="CK111" i="2"/>
  <c r="CK104" i="2"/>
  <c r="CK102" i="2"/>
  <c r="CK95" i="2"/>
  <c r="CK120" i="2"/>
  <c r="CK118" i="2"/>
  <c r="CK56" i="2"/>
  <c r="CK79" i="2"/>
  <c r="CK50" i="2"/>
  <c r="CK26" i="2"/>
  <c r="CK70" i="2"/>
  <c r="CH11" i="2"/>
  <c r="CH83" i="2"/>
  <c r="CH27" i="2"/>
  <c r="CH43" i="2"/>
  <c r="CH35" i="2"/>
  <c r="CH51" i="2"/>
  <c r="CH99" i="2"/>
  <c r="CH115" i="2"/>
  <c r="CH91" i="2"/>
  <c r="CH107" i="2"/>
  <c r="CH59" i="2"/>
  <c r="CH19" i="2"/>
  <c r="CH67" i="2"/>
  <c r="CH75" i="2"/>
  <c r="CH114" i="2"/>
  <c r="CH80" i="2"/>
  <c r="CH46" i="2"/>
  <c r="CH12" i="2"/>
  <c r="CH120" i="2"/>
  <c r="CH118" i="2"/>
  <c r="CH116" i="2"/>
  <c r="CH64" i="2"/>
  <c r="CH30" i="2"/>
  <c r="CH122" i="2"/>
  <c r="CH102" i="2"/>
  <c r="CH100" i="2"/>
  <c r="CH14" i="2"/>
  <c r="CH88" i="2"/>
  <c r="CH86" i="2"/>
  <c r="CH70" i="2"/>
  <c r="CH34" i="2"/>
  <c r="CH121" i="2"/>
  <c r="CH90" i="2"/>
  <c r="CH31" i="2"/>
  <c r="CH110" i="2"/>
  <c r="CH44" i="2"/>
  <c r="CH5" i="2"/>
  <c r="CH98" i="2"/>
  <c r="CH104" i="2"/>
  <c r="CH58" i="2"/>
  <c r="CH111" i="2"/>
  <c r="CH24" i="2"/>
  <c r="CH6" i="2"/>
  <c r="CH117" i="2"/>
  <c r="CH13" i="2"/>
  <c r="CH15" i="2"/>
  <c r="CH60" i="2"/>
  <c r="CH28" i="2"/>
  <c r="CH82" i="2"/>
  <c r="CH48" i="2"/>
  <c r="CH106" i="2"/>
  <c r="CH84" i="2"/>
  <c r="CH56" i="2"/>
  <c r="CH42" i="2"/>
  <c r="CH40" i="2"/>
  <c r="CH95" i="2"/>
  <c r="CH20" i="2"/>
  <c r="CH45" i="2"/>
  <c r="CH29" i="2"/>
  <c r="CH62" i="2"/>
  <c r="CH66" i="2"/>
  <c r="CH32" i="2"/>
  <c r="CH109" i="2"/>
  <c r="CH74" i="2"/>
  <c r="CH72" i="2"/>
  <c r="CH68" i="2"/>
  <c r="CH52" i="2"/>
  <c r="CH77" i="2"/>
  <c r="CH38" i="2"/>
  <c r="CH26" i="2"/>
  <c r="CH8" i="2"/>
  <c r="CH119" i="2"/>
  <c r="CH81" i="2"/>
  <c r="CH85" i="2"/>
  <c r="CH69" i="2"/>
  <c r="CH41" i="2"/>
  <c r="CH50" i="2"/>
  <c r="CH16" i="2"/>
  <c r="CH93" i="2"/>
  <c r="CH54" i="2"/>
  <c r="CH36" i="2"/>
  <c r="CH61" i="2"/>
  <c r="CH22" i="2"/>
  <c r="CH10" i="2"/>
  <c r="CH63" i="2"/>
  <c r="CH103" i="2"/>
  <c r="CH87" i="2"/>
  <c r="CH73" i="2"/>
  <c r="CH17" i="2"/>
  <c r="CH9" i="2"/>
  <c r="CH33" i="2"/>
  <c r="CH18" i="2"/>
  <c r="CH47" i="2"/>
  <c r="CH49" i="2"/>
  <c r="CH53" i="2"/>
  <c r="CH37" i="2"/>
  <c r="CH23" i="2"/>
  <c r="CH113" i="2"/>
  <c r="CH79" i="2"/>
  <c r="CH4" i="2"/>
  <c r="CH105" i="2"/>
  <c r="CH108" i="2"/>
  <c r="CH71" i="2"/>
  <c r="CH55" i="2"/>
  <c r="CH78" i="2"/>
  <c r="CH97" i="2"/>
  <c r="CH92" i="2"/>
  <c r="CH94" i="2"/>
  <c r="CH96" i="2"/>
  <c r="CH101" i="2"/>
  <c r="CH57" i="2"/>
  <c r="CH25" i="2"/>
  <c r="CH65" i="2"/>
  <c r="CH89" i="2"/>
  <c r="CH76" i="2"/>
  <c r="CH112" i="2"/>
  <c r="CH39" i="2"/>
  <c r="CH7" i="2"/>
  <c r="CH21" i="2"/>
  <c r="CE91" i="2"/>
  <c r="CE99" i="2"/>
  <c r="CE75" i="2"/>
  <c r="CE35" i="2"/>
  <c r="CE27" i="2"/>
  <c r="CE115" i="2"/>
  <c r="CE43" i="2"/>
  <c r="CE107" i="2"/>
  <c r="CE11" i="2"/>
  <c r="CE8" i="2"/>
  <c r="CE16" i="2"/>
  <c r="CE24" i="2"/>
  <c r="CE32" i="2"/>
  <c r="CE40" i="2"/>
  <c r="CE48" i="2"/>
  <c r="CE56" i="2"/>
  <c r="CE64" i="2"/>
  <c r="CE72" i="2"/>
  <c r="CE80" i="2"/>
  <c r="CE88" i="2"/>
  <c r="CE96" i="2"/>
  <c r="CE104" i="2"/>
  <c r="CE112" i="2"/>
  <c r="CE67" i="2"/>
  <c r="CE83" i="2"/>
  <c r="CE59" i="2"/>
  <c r="CE51" i="2"/>
  <c r="CE19" i="2"/>
  <c r="CE114" i="2"/>
  <c r="CE79" i="2"/>
  <c r="CE45" i="2"/>
  <c r="CE26" i="2"/>
  <c r="CE39" i="2"/>
  <c r="CE37" i="2"/>
  <c r="CE23" i="2"/>
  <c r="CE47" i="2"/>
  <c r="CE121" i="2"/>
  <c r="CE5" i="2"/>
  <c r="CE31" i="2"/>
  <c r="CE105" i="2"/>
  <c r="CE116" i="2"/>
  <c r="CE15" i="2"/>
  <c r="CE102" i="2"/>
  <c r="CE100" i="2"/>
  <c r="CE76" i="2"/>
  <c r="CE84" i="2"/>
  <c r="CE70" i="2"/>
  <c r="CE44" i="2"/>
  <c r="CE36" i="2"/>
  <c r="CE65" i="2"/>
  <c r="CE109" i="2"/>
  <c r="CE77" i="2"/>
  <c r="CE98" i="2"/>
  <c r="CE63" i="2"/>
  <c r="CE29" i="2"/>
  <c r="CE10" i="2"/>
  <c r="CE21" i="2"/>
  <c r="CE7" i="2"/>
  <c r="CE108" i="2"/>
  <c r="CE50" i="2"/>
  <c r="CE89" i="2"/>
  <c r="CE110" i="2"/>
  <c r="CE86" i="2"/>
  <c r="CE94" i="2"/>
  <c r="CE57" i="2"/>
  <c r="CE68" i="2"/>
  <c r="CE52" i="2"/>
  <c r="CE62" i="2"/>
  <c r="CE9" i="2"/>
  <c r="CE122" i="2"/>
  <c r="CE117" i="2"/>
  <c r="CE74" i="2"/>
  <c r="CE95" i="2"/>
  <c r="CE82" i="2"/>
  <c r="CE13" i="2"/>
  <c r="CE54" i="2"/>
  <c r="CE25" i="2"/>
  <c r="CE12" i="2"/>
  <c r="CE14" i="2"/>
  <c r="CE17" i="2"/>
  <c r="CE53" i="2"/>
  <c r="CE66" i="2"/>
  <c r="CE118" i="2"/>
  <c r="CE78" i="2"/>
  <c r="CE81" i="2"/>
  <c r="CE4" i="2"/>
  <c r="CE119" i="2"/>
  <c r="CE111" i="2"/>
  <c r="CE92" i="2"/>
  <c r="CE41" i="2"/>
  <c r="CE38" i="2"/>
  <c r="CE46" i="2"/>
  <c r="CE49" i="2"/>
  <c r="CE103" i="2"/>
  <c r="CE69" i="2"/>
  <c r="CE34" i="2"/>
  <c r="CE73" i="2"/>
  <c r="CE28" i="2"/>
  <c r="CE20" i="2"/>
  <c r="CE6" i="2"/>
  <c r="CE33" i="2"/>
  <c r="CE55" i="2"/>
  <c r="CE18" i="2"/>
  <c r="CE60" i="2"/>
  <c r="CE22" i="2"/>
  <c r="CE120" i="2"/>
  <c r="CE90" i="2"/>
  <c r="CE58" i="2"/>
  <c r="CE113" i="2"/>
  <c r="CE106" i="2"/>
  <c r="CE87" i="2"/>
  <c r="CE61" i="2"/>
  <c r="CE97" i="2"/>
  <c r="CE30" i="2"/>
  <c r="CE85" i="2"/>
  <c r="CE93" i="2"/>
  <c r="CE42" i="2"/>
  <c r="CE101" i="2"/>
  <c r="CE71" i="2"/>
  <c r="BZ243" i="2"/>
  <c r="BZ257" i="2"/>
  <c r="BQ9" i="2"/>
  <c r="BQ25" i="2"/>
  <c r="BQ41" i="2"/>
  <c r="BQ57" i="2"/>
  <c r="BQ73" i="2"/>
  <c r="BQ89" i="2"/>
  <c r="BQ105" i="2"/>
  <c r="BQ121" i="2"/>
  <c r="BQ137" i="2"/>
  <c r="BQ153" i="2"/>
  <c r="BQ169" i="2"/>
  <c r="BQ185" i="2"/>
  <c r="BQ201" i="2"/>
  <c r="BQ217" i="2"/>
  <c r="BQ233" i="2"/>
  <c r="BQ249" i="2"/>
  <c r="BQ199" i="2"/>
  <c r="BQ184" i="2"/>
  <c r="BQ10" i="2"/>
  <c r="BQ26" i="2"/>
  <c r="BQ42" i="2"/>
  <c r="BQ58" i="2"/>
  <c r="BQ74" i="2"/>
  <c r="BQ90" i="2"/>
  <c r="BQ106" i="2"/>
  <c r="BQ122" i="2"/>
  <c r="BQ138" i="2"/>
  <c r="BQ154" i="2"/>
  <c r="BQ170" i="2"/>
  <c r="BQ186" i="2"/>
  <c r="BQ202" i="2"/>
  <c r="BQ218" i="2"/>
  <c r="BQ234" i="2"/>
  <c r="BQ250" i="2"/>
  <c r="BQ167" i="2"/>
  <c r="BQ136" i="2"/>
  <c r="BQ11" i="2"/>
  <c r="BQ27" i="2"/>
  <c r="BQ43" i="2"/>
  <c r="BQ59" i="2"/>
  <c r="BQ75" i="2"/>
  <c r="BQ91" i="2"/>
  <c r="BQ107" i="2"/>
  <c r="BQ123" i="2"/>
  <c r="BQ139" i="2"/>
  <c r="BQ155" i="2"/>
  <c r="BQ171" i="2"/>
  <c r="BQ187" i="2"/>
  <c r="BQ203" i="2"/>
  <c r="BQ219" i="2"/>
  <c r="BQ235" i="2"/>
  <c r="BQ251" i="2"/>
  <c r="BQ151" i="2"/>
  <c r="BQ120" i="2"/>
  <c r="BQ12" i="2"/>
  <c r="BQ28" i="2"/>
  <c r="BQ44" i="2"/>
  <c r="BQ60" i="2"/>
  <c r="BQ76" i="2"/>
  <c r="BQ92" i="2"/>
  <c r="BQ108" i="2"/>
  <c r="BQ124" i="2"/>
  <c r="BQ140" i="2"/>
  <c r="BQ156" i="2"/>
  <c r="BQ172" i="2"/>
  <c r="BQ188" i="2"/>
  <c r="BQ204" i="2"/>
  <c r="BQ220" i="2"/>
  <c r="BQ236" i="2"/>
  <c r="BQ252" i="2"/>
  <c r="BQ183" i="2"/>
  <c r="BQ152" i="2"/>
  <c r="BQ13" i="2"/>
  <c r="BQ29" i="2"/>
  <c r="BQ45" i="2"/>
  <c r="BQ61" i="2"/>
  <c r="BQ77" i="2"/>
  <c r="BQ93" i="2"/>
  <c r="BQ109" i="2"/>
  <c r="BQ125" i="2"/>
  <c r="BQ141" i="2"/>
  <c r="BQ157" i="2"/>
  <c r="BQ173" i="2"/>
  <c r="BQ189" i="2"/>
  <c r="BQ205" i="2"/>
  <c r="BQ221" i="2"/>
  <c r="BQ237" i="2"/>
  <c r="BQ253" i="2"/>
  <c r="BQ135" i="2"/>
  <c r="BQ104" i="2"/>
  <c r="BQ14" i="2"/>
  <c r="BQ30" i="2"/>
  <c r="BQ46" i="2"/>
  <c r="BQ62" i="2"/>
  <c r="BQ78" i="2"/>
  <c r="BQ94" i="2"/>
  <c r="BQ110" i="2"/>
  <c r="BQ126" i="2"/>
  <c r="BQ142" i="2"/>
  <c r="BQ158" i="2"/>
  <c r="BQ174" i="2"/>
  <c r="BQ190" i="2"/>
  <c r="BQ206" i="2"/>
  <c r="BQ222" i="2"/>
  <c r="BQ238" i="2"/>
  <c r="BQ254" i="2"/>
  <c r="BQ55" i="2"/>
  <c r="BQ215" i="2"/>
  <c r="BQ72" i="2"/>
  <c r="BQ15" i="2"/>
  <c r="BQ31" i="2"/>
  <c r="BQ47" i="2"/>
  <c r="BQ63" i="2"/>
  <c r="BQ79" i="2"/>
  <c r="BQ95" i="2"/>
  <c r="BQ111" i="2"/>
  <c r="BQ127" i="2"/>
  <c r="BQ143" i="2"/>
  <c r="BQ159" i="2"/>
  <c r="BQ175" i="2"/>
  <c r="BQ191" i="2"/>
  <c r="BQ207" i="2"/>
  <c r="BQ223" i="2"/>
  <c r="BQ239" i="2"/>
  <c r="BQ255" i="2"/>
  <c r="BQ103" i="2"/>
  <c r="BQ24" i="2"/>
  <c r="BQ16" i="2"/>
  <c r="BQ32" i="2"/>
  <c r="BQ48" i="2"/>
  <c r="BQ64" i="2"/>
  <c r="BQ80" i="2"/>
  <c r="BQ96" i="2"/>
  <c r="BQ112" i="2"/>
  <c r="BQ128" i="2"/>
  <c r="BQ144" i="2"/>
  <c r="BQ160" i="2"/>
  <c r="BQ176" i="2"/>
  <c r="BQ192" i="2"/>
  <c r="BQ208" i="2"/>
  <c r="BQ224" i="2"/>
  <c r="BQ240" i="2"/>
  <c r="BQ256" i="2"/>
  <c r="BQ39" i="2"/>
  <c r="BQ88" i="2"/>
  <c r="BQ17" i="2"/>
  <c r="BQ33" i="2"/>
  <c r="BQ49" i="2"/>
  <c r="BQ65" i="2"/>
  <c r="BQ81" i="2"/>
  <c r="BQ97" i="2"/>
  <c r="BQ113" i="2"/>
  <c r="BQ129" i="2"/>
  <c r="BQ145" i="2"/>
  <c r="BQ161" i="2"/>
  <c r="BQ177" i="2"/>
  <c r="BQ193" i="2"/>
  <c r="BQ209" i="2"/>
  <c r="BQ225" i="2"/>
  <c r="BQ241" i="2"/>
  <c r="BQ257" i="2"/>
  <c r="BQ119" i="2"/>
  <c r="BQ18" i="2"/>
  <c r="BQ34" i="2"/>
  <c r="BQ50" i="2"/>
  <c r="BQ66" i="2"/>
  <c r="BQ82" i="2"/>
  <c r="BQ98" i="2"/>
  <c r="BQ114" i="2"/>
  <c r="BQ130" i="2"/>
  <c r="BQ146" i="2"/>
  <c r="BQ162" i="2"/>
  <c r="BQ178" i="2"/>
  <c r="BQ194" i="2"/>
  <c r="BQ210" i="2"/>
  <c r="BQ226" i="2"/>
  <c r="BQ242" i="2"/>
  <c r="BQ7" i="2"/>
  <c r="BQ247" i="2"/>
  <c r="BQ8" i="2"/>
  <c r="BQ232" i="2"/>
  <c r="BQ19" i="2"/>
  <c r="BQ35" i="2"/>
  <c r="BQ51" i="2"/>
  <c r="BQ67" i="2"/>
  <c r="BQ83" i="2"/>
  <c r="BQ99" i="2"/>
  <c r="BQ115" i="2"/>
  <c r="BQ131" i="2"/>
  <c r="BQ147" i="2"/>
  <c r="BQ163" i="2"/>
  <c r="BQ179" i="2"/>
  <c r="BQ195" i="2"/>
  <c r="BQ211" i="2"/>
  <c r="BQ227" i="2"/>
  <c r="BQ243" i="2"/>
  <c r="BQ23" i="2"/>
  <c r="BQ231" i="2"/>
  <c r="BQ248" i="2"/>
  <c r="BQ4" i="2"/>
  <c r="BQ20" i="2"/>
  <c r="BQ36" i="2"/>
  <c r="BQ52" i="2"/>
  <c r="BQ68" i="2"/>
  <c r="BQ84" i="2"/>
  <c r="BQ100" i="2"/>
  <c r="BQ116" i="2"/>
  <c r="BQ132" i="2"/>
  <c r="BQ148" i="2"/>
  <c r="BQ164" i="2"/>
  <c r="BQ180" i="2"/>
  <c r="BQ196" i="2"/>
  <c r="BQ212" i="2"/>
  <c r="BQ228" i="2"/>
  <c r="BQ244" i="2"/>
  <c r="BQ71" i="2"/>
  <c r="BQ40" i="2"/>
  <c r="BQ216" i="2"/>
  <c r="BQ5" i="2"/>
  <c r="BQ21" i="2"/>
  <c r="BQ37" i="2"/>
  <c r="BQ53" i="2"/>
  <c r="BQ69" i="2"/>
  <c r="BQ85" i="2"/>
  <c r="BQ101" i="2"/>
  <c r="BQ117" i="2"/>
  <c r="BQ133" i="2"/>
  <c r="BQ149" i="2"/>
  <c r="BQ165" i="2"/>
  <c r="BQ181" i="2"/>
  <c r="BQ197" i="2"/>
  <c r="BQ213" i="2"/>
  <c r="BQ229" i="2"/>
  <c r="BQ245" i="2"/>
  <c r="BQ87" i="2"/>
  <c r="BQ56" i="2"/>
  <c r="BQ200" i="2"/>
  <c r="BQ6" i="2"/>
  <c r="BQ22" i="2"/>
  <c r="BQ38" i="2"/>
  <c r="BQ54" i="2"/>
  <c r="BQ70" i="2"/>
  <c r="BQ86" i="2"/>
  <c r="BQ102" i="2"/>
  <c r="BQ118" i="2"/>
  <c r="BQ134" i="2"/>
  <c r="BQ150" i="2"/>
  <c r="BQ166" i="2"/>
  <c r="BQ182" i="2"/>
  <c r="BQ198" i="2"/>
  <c r="BQ214" i="2"/>
  <c r="BQ230" i="2"/>
  <c r="BQ246" i="2"/>
  <c r="BQ168" i="2"/>
  <c r="BT241" i="2"/>
  <c r="BT257" i="2"/>
  <c r="BN257" i="2"/>
  <c r="BN134" i="2"/>
  <c r="BN101" i="2"/>
  <c r="BN33" i="2"/>
  <c r="BN63" i="2"/>
  <c r="BN90" i="2"/>
  <c r="BN78" i="2"/>
  <c r="BN45" i="2"/>
  <c r="BN60" i="2"/>
  <c r="BN73" i="2"/>
  <c r="BN119" i="2"/>
  <c r="BN116" i="2"/>
  <c r="AW32" i="2"/>
  <c r="AH63" i="2"/>
  <c r="AT5" i="2"/>
  <c r="BE145" i="2"/>
  <c r="BE209" i="2"/>
  <c r="BE4" i="2"/>
  <c r="BE20" i="2"/>
  <c r="BE36" i="2"/>
  <c r="BE52" i="2"/>
  <c r="BE68" i="2"/>
  <c r="BE84" i="2"/>
  <c r="BE100" i="2"/>
  <c r="BE116" i="2"/>
  <c r="BE132" i="2"/>
  <c r="BE148" i="2"/>
  <c r="BE164" i="2"/>
  <c r="BE180" i="2"/>
  <c r="BE196" i="2"/>
  <c r="BE212" i="2"/>
  <c r="BE228" i="2"/>
  <c r="BE244" i="2"/>
  <c r="BE129" i="2"/>
  <c r="BE49" i="2"/>
  <c r="BE113" i="2"/>
  <c r="BE241" i="2"/>
  <c r="BE161" i="2"/>
  <c r="BE97" i="2"/>
  <c r="BE257" i="2"/>
  <c r="BE193" i="2"/>
  <c r="BE11" i="2"/>
  <c r="BE27" i="2"/>
  <c r="BE43" i="2"/>
  <c r="BE59" i="2"/>
  <c r="BE75" i="2"/>
  <c r="BE91" i="2"/>
  <c r="BE107" i="2"/>
  <c r="BE123" i="2"/>
  <c r="BE139" i="2"/>
  <c r="BE155" i="2"/>
  <c r="BE171" i="2"/>
  <c r="BE187" i="2"/>
  <c r="BE203" i="2"/>
  <c r="BE219" i="2"/>
  <c r="BE235" i="2"/>
  <c r="BE251" i="2"/>
  <c r="BE81" i="2"/>
  <c r="BE12" i="2"/>
  <c r="BE28" i="2"/>
  <c r="BE44" i="2"/>
  <c r="BE60" i="2"/>
  <c r="BE76" i="2"/>
  <c r="BE92" i="2"/>
  <c r="BE108" i="2"/>
  <c r="BE124" i="2"/>
  <c r="BE140" i="2"/>
  <c r="BE156" i="2"/>
  <c r="BE172" i="2"/>
  <c r="BE188" i="2"/>
  <c r="BE204" i="2"/>
  <c r="BE220" i="2"/>
  <c r="BE236" i="2"/>
  <c r="BE252" i="2"/>
  <c r="BE17" i="2"/>
  <c r="BE33" i="2"/>
  <c r="BE177" i="2"/>
  <c r="BE16" i="2"/>
  <c r="BE32" i="2"/>
  <c r="BE48" i="2"/>
  <c r="BE64" i="2"/>
  <c r="BE80" i="2"/>
  <c r="BE96" i="2"/>
  <c r="BE112" i="2"/>
  <c r="BE128" i="2"/>
  <c r="BE144" i="2"/>
  <c r="BE160" i="2"/>
  <c r="BE176" i="2"/>
  <c r="BE192" i="2"/>
  <c r="BE208" i="2"/>
  <c r="BE224" i="2"/>
  <c r="BE240" i="2"/>
  <c r="BE256" i="2"/>
  <c r="BE65" i="2"/>
  <c r="BE225" i="2"/>
  <c r="BE255" i="2"/>
  <c r="BE254" i="2"/>
  <c r="BE250" i="2"/>
  <c r="BE249" i="2"/>
  <c r="BE248" i="2"/>
  <c r="BE247" i="2"/>
  <c r="BE246" i="2"/>
  <c r="BE245" i="2"/>
  <c r="BE243" i="2"/>
  <c r="BE226" i="2"/>
  <c r="BE239" i="2"/>
  <c r="BE238" i="2"/>
  <c r="BE237" i="2"/>
  <c r="BE234" i="2"/>
  <c r="BE233" i="2"/>
  <c r="BE232" i="2"/>
  <c r="BE231" i="2"/>
  <c r="BE230" i="2"/>
  <c r="BE229" i="2"/>
  <c r="BE227" i="2"/>
  <c r="BE210" i="2"/>
  <c r="BE15" i="2"/>
  <c r="BE223" i="2"/>
  <c r="BE222" i="2"/>
  <c r="BE221" i="2"/>
  <c r="BE218" i="2"/>
  <c r="BE217" i="2"/>
  <c r="BE216" i="2"/>
  <c r="BE215" i="2"/>
  <c r="BE214" i="2"/>
  <c r="BE213" i="2"/>
  <c r="BE211" i="2"/>
  <c r="BE194" i="2"/>
  <c r="BE5" i="2"/>
  <c r="BE207" i="2"/>
  <c r="BE206" i="2"/>
  <c r="BE205" i="2"/>
  <c r="BE202" i="2"/>
  <c r="BE201" i="2"/>
  <c r="BE200" i="2"/>
  <c r="BE199" i="2"/>
  <c r="BE198" i="2"/>
  <c r="BE197" i="2"/>
  <c r="BE195" i="2"/>
  <c r="BE178" i="2"/>
  <c r="BE191" i="2"/>
  <c r="BE190" i="2"/>
  <c r="BE189" i="2"/>
  <c r="BE186" i="2"/>
  <c r="BE185" i="2"/>
  <c r="BE184" i="2"/>
  <c r="BE183" i="2"/>
  <c r="BE182" i="2"/>
  <c r="BE181" i="2"/>
  <c r="BE179" i="2"/>
  <c r="BE162" i="2"/>
  <c r="BE6" i="2"/>
  <c r="BE175" i="2"/>
  <c r="BE174" i="2"/>
  <c r="BE173" i="2"/>
  <c r="BE170" i="2"/>
  <c r="BE169" i="2"/>
  <c r="BE168" i="2"/>
  <c r="BE167" i="2"/>
  <c r="BE166" i="2"/>
  <c r="BE165" i="2"/>
  <c r="BE163" i="2"/>
  <c r="BE146" i="2"/>
  <c r="BE159" i="2"/>
  <c r="BE158" i="2"/>
  <c r="BE157" i="2"/>
  <c r="BE154" i="2"/>
  <c r="BE153" i="2"/>
  <c r="BE152" i="2"/>
  <c r="BE151" i="2"/>
  <c r="BE150" i="2"/>
  <c r="BE149" i="2"/>
  <c r="BE147" i="2"/>
  <c r="BE130" i="2"/>
  <c r="BE14" i="2"/>
  <c r="BE18" i="2"/>
  <c r="BE143" i="2"/>
  <c r="BE142" i="2"/>
  <c r="BE141" i="2"/>
  <c r="BE138" i="2"/>
  <c r="BE137" i="2"/>
  <c r="BE136" i="2"/>
  <c r="BE135" i="2"/>
  <c r="BE134" i="2"/>
  <c r="BE133" i="2"/>
  <c r="BE131" i="2"/>
  <c r="BE114" i="2"/>
  <c r="BE8" i="2"/>
  <c r="BE127" i="2"/>
  <c r="BE126" i="2"/>
  <c r="BE125" i="2"/>
  <c r="BE122" i="2"/>
  <c r="BE121" i="2"/>
  <c r="BE120" i="2"/>
  <c r="BE119" i="2"/>
  <c r="BE118" i="2"/>
  <c r="BE117" i="2"/>
  <c r="BE115" i="2"/>
  <c r="BE98" i="2"/>
  <c r="BE7" i="2"/>
  <c r="BE111" i="2"/>
  <c r="BE110" i="2"/>
  <c r="BE109" i="2"/>
  <c r="BE106" i="2"/>
  <c r="BE105" i="2"/>
  <c r="BE104" i="2"/>
  <c r="BE103" i="2"/>
  <c r="BE102" i="2"/>
  <c r="BE101" i="2"/>
  <c r="BE99" i="2"/>
  <c r="BE82" i="2"/>
  <c r="BE10" i="2"/>
  <c r="BE95" i="2"/>
  <c r="BE94" i="2"/>
  <c r="BE93" i="2"/>
  <c r="BE90" i="2"/>
  <c r="BE89" i="2"/>
  <c r="BE88" i="2"/>
  <c r="BE87" i="2"/>
  <c r="BE86" i="2"/>
  <c r="BE85" i="2"/>
  <c r="BE83" i="2"/>
  <c r="BE66" i="2"/>
  <c r="BE79" i="2"/>
  <c r="BE78" i="2"/>
  <c r="BE77" i="2"/>
  <c r="BE74" i="2"/>
  <c r="BE73" i="2"/>
  <c r="BE72" i="2"/>
  <c r="BE71" i="2"/>
  <c r="BE70" i="2"/>
  <c r="BE69" i="2"/>
  <c r="BE67" i="2"/>
  <c r="BE50" i="2"/>
  <c r="BE13" i="2"/>
  <c r="BE63" i="2"/>
  <c r="BE62" i="2"/>
  <c r="BE61" i="2"/>
  <c r="BE58" i="2"/>
  <c r="BE57" i="2"/>
  <c r="BE56" i="2"/>
  <c r="BE55" i="2"/>
  <c r="BE54" i="2"/>
  <c r="BE53" i="2"/>
  <c r="BE51" i="2"/>
  <c r="BE34" i="2"/>
  <c r="BE9" i="2"/>
  <c r="BE47" i="2"/>
  <c r="BE46" i="2"/>
  <c r="BE45" i="2"/>
  <c r="BE42" i="2"/>
  <c r="BE41" i="2"/>
  <c r="BE40" i="2"/>
  <c r="BE39" i="2"/>
  <c r="BE38" i="2"/>
  <c r="BE37" i="2"/>
  <c r="BE35" i="2"/>
  <c r="BE242" i="2"/>
  <c r="BE31" i="2"/>
  <c r="BE30" i="2"/>
  <c r="BE29" i="2"/>
  <c r="BE26" i="2"/>
  <c r="BE25" i="2"/>
  <c r="BE24" i="2"/>
  <c r="BE23" i="2"/>
  <c r="BE22" i="2"/>
  <c r="BE21" i="2"/>
  <c r="BE19" i="2"/>
  <c r="BN169" i="2"/>
  <c r="BN77" i="2"/>
  <c r="BN217" i="2"/>
  <c r="BN125" i="2"/>
  <c r="BN81" i="2"/>
  <c r="AZ27" i="2"/>
  <c r="BZ210" i="2"/>
  <c r="BZ186" i="2"/>
  <c r="BZ178" i="2"/>
  <c r="BZ114" i="2"/>
  <c r="BZ98" i="2"/>
  <c r="BZ82" i="2"/>
  <c r="BZ146" i="2"/>
  <c r="BZ90" i="2"/>
  <c r="BZ74" i="2"/>
  <c r="BZ8" i="2"/>
  <c r="BZ16" i="2"/>
  <c r="BZ24" i="2"/>
  <c r="BZ32" i="2"/>
  <c r="BZ40" i="2"/>
  <c r="BZ48" i="2"/>
  <c r="BZ66" i="2"/>
  <c r="BZ58" i="2"/>
  <c r="BZ18" i="2"/>
  <c r="BZ10" i="2"/>
  <c r="BZ26" i="2"/>
  <c r="BZ34" i="2"/>
  <c r="BZ42" i="2"/>
  <c r="BZ50" i="2"/>
  <c r="BZ106" i="2"/>
  <c r="BZ122" i="2"/>
  <c r="BZ130" i="2"/>
  <c r="BZ138" i="2"/>
  <c r="BZ154" i="2"/>
  <c r="BZ162" i="2"/>
  <c r="BZ170" i="2"/>
  <c r="BZ202" i="2"/>
  <c r="BZ218" i="2"/>
  <c r="BZ226" i="2"/>
  <c r="BZ234" i="2"/>
  <c r="BZ242" i="2"/>
  <c r="BZ250" i="2"/>
  <c r="BZ194" i="2"/>
  <c r="BZ19" i="2"/>
  <c r="BZ33" i="2"/>
  <c r="BZ115" i="2"/>
  <c r="BZ15" i="2"/>
  <c r="BZ30" i="2"/>
  <c r="BZ45" i="2"/>
  <c r="BZ60" i="2"/>
  <c r="BZ75" i="2"/>
  <c r="BZ89" i="2"/>
  <c r="BZ104" i="2"/>
  <c r="BZ71" i="2"/>
  <c r="BZ86" i="2"/>
  <c r="BZ101" i="2"/>
  <c r="BZ116" i="2"/>
  <c r="BZ88" i="2"/>
  <c r="BZ100" i="2"/>
  <c r="BZ13" i="2"/>
  <c r="BZ72" i="2"/>
  <c r="BZ69" i="2"/>
  <c r="BZ68" i="2"/>
  <c r="BZ214" i="2"/>
  <c r="BZ212" i="2"/>
  <c r="BZ119" i="2"/>
  <c r="BZ118" i="2"/>
  <c r="BZ51" i="2"/>
  <c r="BZ17" i="2"/>
  <c r="BZ255" i="2"/>
  <c r="BZ83" i="2"/>
  <c r="BZ14" i="2"/>
  <c r="BZ29" i="2"/>
  <c r="BZ44" i="2"/>
  <c r="BZ59" i="2"/>
  <c r="BZ73" i="2"/>
  <c r="BZ55" i="2"/>
  <c r="BZ70" i="2"/>
  <c r="BZ85" i="2"/>
  <c r="BZ43" i="2"/>
  <c r="BZ39" i="2"/>
  <c r="BZ84" i="2"/>
  <c r="BZ38" i="2"/>
  <c r="BZ232" i="2"/>
  <c r="BZ182" i="2"/>
  <c r="BZ107" i="2"/>
  <c r="BZ35" i="2"/>
  <c r="BZ239" i="2"/>
  <c r="BZ254" i="2"/>
  <c r="BZ67" i="2"/>
  <c r="BZ28" i="2"/>
  <c r="BZ57" i="2"/>
  <c r="BZ54" i="2"/>
  <c r="BZ228" i="2"/>
  <c r="BZ180" i="2"/>
  <c r="BZ47" i="2"/>
  <c r="BZ241" i="2"/>
  <c r="BZ256" i="2"/>
  <c r="BZ223" i="2"/>
  <c r="BZ238" i="2"/>
  <c r="BZ253" i="2"/>
  <c r="BZ99" i="2"/>
  <c r="BZ12" i="2"/>
  <c r="BZ27" i="2"/>
  <c r="BZ41" i="2"/>
  <c r="BZ56" i="2"/>
  <c r="BZ23" i="2"/>
  <c r="BZ53" i="2"/>
  <c r="BZ20" i="2"/>
  <c r="BZ199" i="2"/>
  <c r="BZ185" i="2"/>
  <c r="BZ150" i="2"/>
  <c r="BZ65" i="2"/>
  <c r="BZ225" i="2"/>
  <c r="BZ240" i="2"/>
  <c r="BZ207" i="2"/>
  <c r="BZ222" i="2"/>
  <c r="BZ237" i="2"/>
  <c r="BZ252" i="2"/>
  <c r="BZ131" i="2"/>
  <c r="BZ25" i="2"/>
  <c r="BZ163" i="2"/>
  <c r="BZ7" i="2"/>
  <c r="BZ22" i="2"/>
  <c r="BZ37" i="2"/>
  <c r="BZ52" i="2"/>
  <c r="BZ5" i="2"/>
  <c r="BZ217" i="2"/>
  <c r="BZ200" i="2"/>
  <c r="BZ152" i="2"/>
  <c r="BZ148" i="2"/>
  <c r="BZ209" i="2"/>
  <c r="BZ224" i="2"/>
  <c r="BZ191" i="2"/>
  <c r="BZ206" i="2"/>
  <c r="BZ221" i="2"/>
  <c r="BZ236" i="2"/>
  <c r="BZ251" i="2"/>
  <c r="BZ179" i="2"/>
  <c r="BZ9" i="2"/>
  <c r="BZ247" i="2"/>
  <c r="BZ147" i="2"/>
  <c r="BZ6" i="2"/>
  <c r="BZ21" i="2"/>
  <c r="BZ36" i="2"/>
  <c r="BZ11" i="2"/>
  <c r="BZ213" i="2"/>
  <c r="BZ181" i="2"/>
  <c r="BZ80" i="2"/>
  <c r="BZ193" i="2"/>
  <c r="BZ208" i="2"/>
  <c r="BZ175" i="2"/>
  <c r="BZ190" i="2"/>
  <c r="BZ205" i="2"/>
  <c r="BZ220" i="2"/>
  <c r="BZ235" i="2"/>
  <c r="BZ249" i="2"/>
  <c r="BZ211" i="2"/>
  <c r="BZ231" i="2"/>
  <c r="BZ246" i="2"/>
  <c r="BZ195" i="2"/>
  <c r="BZ244" i="2"/>
  <c r="BZ177" i="2"/>
  <c r="BZ192" i="2"/>
  <c r="BZ159" i="2"/>
  <c r="BZ174" i="2"/>
  <c r="BZ189" i="2"/>
  <c r="BZ204" i="2"/>
  <c r="BZ219" i="2"/>
  <c r="BZ233" i="2"/>
  <c r="BZ248" i="2"/>
  <c r="BZ215" i="2"/>
  <c r="BZ230" i="2"/>
  <c r="BZ245" i="2"/>
  <c r="BZ227" i="2"/>
  <c r="BZ4" i="2"/>
  <c r="BZ229" i="2"/>
  <c r="BZ197" i="2"/>
  <c r="BZ164" i="2"/>
  <c r="BZ103" i="2"/>
  <c r="BZ161" i="2"/>
  <c r="BZ176" i="2"/>
  <c r="BZ143" i="2"/>
  <c r="BZ158" i="2"/>
  <c r="BZ173" i="2"/>
  <c r="BZ188" i="2"/>
  <c r="BZ203" i="2"/>
  <c r="BZ167" i="2"/>
  <c r="BZ165" i="2"/>
  <c r="BZ62" i="2"/>
  <c r="BZ145" i="2"/>
  <c r="BZ160" i="2"/>
  <c r="BZ127" i="2"/>
  <c r="BZ142" i="2"/>
  <c r="BZ157" i="2"/>
  <c r="BZ172" i="2"/>
  <c r="BZ187" i="2"/>
  <c r="BZ201" i="2"/>
  <c r="BZ216" i="2"/>
  <c r="BZ183" i="2"/>
  <c r="BZ198" i="2"/>
  <c r="BZ134" i="2"/>
  <c r="BZ121" i="2"/>
  <c r="BZ129" i="2"/>
  <c r="BZ144" i="2"/>
  <c r="BZ111" i="2"/>
  <c r="BZ126" i="2"/>
  <c r="BZ141" i="2"/>
  <c r="BZ156" i="2"/>
  <c r="BZ171" i="2"/>
  <c r="BZ77" i="2"/>
  <c r="BZ113" i="2"/>
  <c r="BZ128" i="2"/>
  <c r="BZ95" i="2"/>
  <c r="BZ110" i="2"/>
  <c r="BZ125" i="2"/>
  <c r="BZ140" i="2"/>
  <c r="BZ155" i="2"/>
  <c r="BZ169" i="2"/>
  <c r="BZ184" i="2"/>
  <c r="BZ151" i="2"/>
  <c r="BZ166" i="2"/>
  <c r="BZ196" i="2"/>
  <c r="BZ149" i="2"/>
  <c r="BZ136" i="2"/>
  <c r="BZ97" i="2"/>
  <c r="BZ112" i="2"/>
  <c r="BZ79" i="2"/>
  <c r="BZ94" i="2"/>
  <c r="BZ109" i="2"/>
  <c r="BZ124" i="2"/>
  <c r="BZ139" i="2"/>
  <c r="BZ153" i="2"/>
  <c r="BZ168" i="2"/>
  <c r="BZ135" i="2"/>
  <c r="BZ92" i="2"/>
  <c r="BZ81" i="2"/>
  <c r="BZ96" i="2"/>
  <c r="BZ63" i="2"/>
  <c r="BZ78" i="2"/>
  <c r="BZ93" i="2"/>
  <c r="BZ108" i="2"/>
  <c r="BZ123" i="2"/>
  <c r="BZ137" i="2"/>
  <c r="BZ133" i="2"/>
  <c r="BZ49" i="2"/>
  <c r="BZ64" i="2"/>
  <c r="BZ31" i="2"/>
  <c r="BZ46" i="2"/>
  <c r="BZ61" i="2"/>
  <c r="BZ76" i="2"/>
  <c r="BZ91" i="2"/>
  <c r="BZ105" i="2"/>
  <c r="BZ120" i="2"/>
  <c r="BZ87" i="2"/>
  <c r="BZ102" i="2"/>
  <c r="BZ117" i="2"/>
  <c r="BZ132" i="2"/>
  <c r="BW83" i="2"/>
  <c r="BW51" i="2"/>
  <c r="BW35" i="2"/>
  <c r="BW147" i="2"/>
  <c r="BW123" i="2"/>
  <c r="BW75" i="2"/>
  <c r="BW91" i="2"/>
  <c r="BW43" i="2"/>
  <c r="BW107" i="2"/>
  <c r="BW8" i="2"/>
  <c r="BW16" i="2"/>
  <c r="BW24" i="2"/>
  <c r="BW32" i="2"/>
  <c r="BW40" i="2"/>
  <c r="BW48" i="2"/>
  <c r="BW56" i="2"/>
  <c r="BW64" i="2"/>
  <c r="BW72" i="2"/>
  <c r="BW80" i="2"/>
  <c r="BW88" i="2"/>
  <c r="BW96" i="2"/>
  <c r="BW104" i="2"/>
  <c r="BW112" i="2"/>
  <c r="BW120" i="2"/>
  <c r="BW128" i="2"/>
  <c r="BW136" i="2"/>
  <c r="BW144" i="2"/>
  <c r="BW152" i="2"/>
  <c r="BW160" i="2"/>
  <c r="BW168" i="2"/>
  <c r="BW176" i="2"/>
  <c r="BW184" i="2"/>
  <c r="BW192" i="2"/>
  <c r="BW200" i="2"/>
  <c r="BW208" i="2"/>
  <c r="BW216" i="2"/>
  <c r="BW224" i="2"/>
  <c r="BW232" i="2"/>
  <c r="BW240" i="2"/>
  <c r="BW248" i="2"/>
  <c r="BW256" i="2"/>
  <c r="BW99" i="2"/>
  <c r="BW67" i="2"/>
  <c r="BW131" i="2"/>
  <c r="BW27" i="2"/>
  <c r="BW19" i="2"/>
  <c r="BW59" i="2"/>
  <c r="BW115" i="2"/>
  <c r="BW155" i="2"/>
  <c r="BW163" i="2"/>
  <c r="BW179" i="2"/>
  <c r="BW195" i="2"/>
  <c r="BW211" i="2"/>
  <c r="BW227" i="2"/>
  <c r="BW243" i="2"/>
  <c r="BW11" i="2"/>
  <c r="BW139" i="2"/>
  <c r="BW171" i="2"/>
  <c r="BW187" i="2"/>
  <c r="BW203" i="2"/>
  <c r="BW219" i="2"/>
  <c r="BW235" i="2"/>
  <c r="BW251" i="2"/>
  <c r="BW242" i="2"/>
  <c r="BW241" i="2"/>
  <c r="BW127" i="2"/>
  <c r="BW142" i="2"/>
  <c r="BW157" i="2"/>
  <c r="BW156" i="2"/>
  <c r="BW170" i="2"/>
  <c r="BW185" i="2"/>
  <c r="BW199" i="2"/>
  <c r="BW198" i="2"/>
  <c r="BW213" i="2"/>
  <c r="BW228" i="2"/>
  <c r="BW212" i="2"/>
  <c r="BW124" i="2"/>
  <c r="BW138" i="2"/>
  <c r="BW166" i="2"/>
  <c r="BW181" i="2"/>
  <c r="BW196" i="2"/>
  <c r="BW150" i="2"/>
  <c r="BW73" i="2"/>
  <c r="BW84" i="2"/>
  <c r="BW52" i="2"/>
  <c r="BW202" i="2"/>
  <c r="BW226" i="2"/>
  <c r="BW225" i="2"/>
  <c r="BW111" i="2"/>
  <c r="BW126" i="2"/>
  <c r="BW141" i="2"/>
  <c r="BW140" i="2"/>
  <c r="BW154" i="2"/>
  <c r="BW169" i="2"/>
  <c r="BW183" i="2"/>
  <c r="BW182" i="2"/>
  <c r="BW197" i="2"/>
  <c r="BW153" i="2"/>
  <c r="BW165" i="2"/>
  <c r="BW121" i="2"/>
  <c r="BW134" i="2"/>
  <c r="BW164" i="2"/>
  <c r="BW230" i="2"/>
  <c r="BW210" i="2"/>
  <c r="BW209" i="2"/>
  <c r="BW95" i="2"/>
  <c r="BW110" i="2"/>
  <c r="BW125" i="2"/>
  <c r="BW167" i="2"/>
  <c r="BW117" i="2"/>
  <c r="BW86" i="2"/>
  <c r="BW100" i="2"/>
  <c r="BW53" i="2"/>
  <c r="BW36" i="2"/>
  <c r="BW4" i="2"/>
  <c r="BW215" i="2"/>
  <c r="BW194" i="2"/>
  <c r="BW193" i="2"/>
  <c r="BW79" i="2"/>
  <c r="BW94" i="2"/>
  <c r="BW109" i="2"/>
  <c r="BW108" i="2"/>
  <c r="BW122" i="2"/>
  <c r="BW137" i="2"/>
  <c r="BW151" i="2"/>
  <c r="BW180" i="2"/>
  <c r="BW102" i="2"/>
  <c r="BW116" i="2"/>
  <c r="BW191" i="2"/>
  <c r="BW189" i="2"/>
  <c r="BW178" i="2"/>
  <c r="BW177" i="2"/>
  <c r="BW63" i="2"/>
  <c r="BW78" i="2"/>
  <c r="BW93" i="2"/>
  <c r="BW92" i="2"/>
  <c r="BW106" i="2"/>
  <c r="BW135" i="2"/>
  <c r="BW149" i="2"/>
  <c r="BW58" i="2"/>
  <c r="BW22" i="2"/>
  <c r="BW186" i="2"/>
  <c r="BW162" i="2"/>
  <c r="BW161" i="2"/>
  <c r="BW47" i="2"/>
  <c r="BW62" i="2"/>
  <c r="BW77" i="2"/>
  <c r="BW76" i="2"/>
  <c r="BW90" i="2"/>
  <c r="BW105" i="2"/>
  <c r="BW119" i="2"/>
  <c r="BW118" i="2"/>
  <c r="BW133" i="2"/>
  <c r="BW148" i="2"/>
  <c r="BW44" i="2"/>
  <c r="BW101" i="2"/>
  <c r="BW54" i="2"/>
  <c r="BW37" i="2"/>
  <c r="BW214" i="2"/>
  <c r="BW146" i="2"/>
  <c r="BW145" i="2"/>
  <c r="BW31" i="2"/>
  <c r="BW46" i="2"/>
  <c r="BW61" i="2"/>
  <c r="BW60" i="2"/>
  <c r="BW74" i="2"/>
  <c r="BW89" i="2"/>
  <c r="BW103" i="2"/>
  <c r="BW132" i="2"/>
  <c r="BW85" i="2"/>
  <c r="BW68" i="2"/>
  <c r="BW6" i="2"/>
  <c r="BW239" i="2"/>
  <c r="BW130" i="2"/>
  <c r="BW129" i="2"/>
  <c r="BW15" i="2"/>
  <c r="BW30" i="2"/>
  <c r="BW45" i="2"/>
  <c r="BW87" i="2"/>
  <c r="BW188" i="2"/>
  <c r="BW114" i="2"/>
  <c r="BW113" i="2"/>
  <c r="BW143" i="2"/>
  <c r="BW14" i="2"/>
  <c r="BW29" i="2"/>
  <c r="BW28" i="2"/>
  <c r="BW42" i="2"/>
  <c r="BW57" i="2"/>
  <c r="BW71" i="2"/>
  <c r="BW70" i="2"/>
  <c r="BW23" i="2"/>
  <c r="BW231" i="2"/>
  <c r="BW244" i="2"/>
  <c r="BW98" i="2"/>
  <c r="BW97" i="2"/>
  <c r="BW254" i="2"/>
  <c r="BW175" i="2"/>
  <c r="BW13" i="2"/>
  <c r="BW12" i="2"/>
  <c r="BW26" i="2"/>
  <c r="BW41" i="2"/>
  <c r="BW55" i="2"/>
  <c r="BW69" i="2"/>
  <c r="BW9" i="2"/>
  <c r="BW172" i="2"/>
  <c r="BW82" i="2"/>
  <c r="BW81" i="2"/>
  <c r="BW238" i="2"/>
  <c r="BW253" i="2"/>
  <c r="BW252" i="2"/>
  <c r="BW159" i="2"/>
  <c r="BW10" i="2"/>
  <c r="BW25" i="2"/>
  <c r="BW39" i="2"/>
  <c r="BW38" i="2"/>
  <c r="BW217" i="2"/>
  <c r="BW66" i="2"/>
  <c r="BW65" i="2"/>
  <c r="BW222" i="2"/>
  <c r="BW237" i="2"/>
  <c r="BW236" i="2"/>
  <c r="BW250" i="2"/>
  <c r="BW20" i="2"/>
  <c r="BW201" i="2"/>
  <c r="BW50" i="2"/>
  <c r="BW49" i="2"/>
  <c r="BW206" i="2"/>
  <c r="BW221" i="2"/>
  <c r="BW220" i="2"/>
  <c r="BW234" i="2"/>
  <c r="BW249" i="2"/>
  <c r="BW255" i="2"/>
  <c r="BW7" i="2"/>
  <c r="BW21" i="2"/>
  <c r="BW245" i="2"/>
  <c r="BW34" i="2"/>
  <c r="BW33" i="2"/>
  <c r="BW190" i="2"/>
  <c r="BW205" i="2"/>
  <c r="BW204" i="2"/>
  <c r="BW218" i="2"/>
  <c r="BW233" i="2"/>
  <c r="BW247" i="2"/>
  <c r="BW246" i="2"/>
  <c r="BW207" i="2"/>
  <c r="BW5" i="2"/>
  <c r="BW173" i="2"/>
  <c r="BW18" i="2"/>
  <c r="BW17" i="2"/>
  <c r="BW174" i="2"/>
  <c r="BW223" i="2"/>
  <c r="BW158" i="2"/>
  <c r="BW229" i="2"/>
  <c r="BT173" i="2"/>
  <c r="BT158" i="2"/>
  <c r="BT200" i="2"/>
  <c r="BT72" i="2"/>
  <c r="BT251" i="2"/>
  <c r="BT80" i="2"/>
  <c r="BT217" i="2"/>
  <c r="BT140" i="2"/>
  <c r="BT218" i="2"/>
  <c r="BT143" i="2"/>
  <c r="BT4" i="2"/>
  <c r="BT25" i="2"/>
  <c r="BT98" i="2"/>
  <c r="BT253" i="2"/>
  <c r="BT28" i="2"/>
  <c r="BT14" i="2"/>
  <c r="BT108" i="2"/>
  <c r="BT226" i="2"/>
  <c r="BT212" i="2"/>
  <c r="BT203" i="2"/>
  <c r="BT192" i="2"/>
  <c r="BT64" i="2"/>
  <c r="BT139" i="2"/>
  <c r="BT196" i="2"/>
  <c r="BT70" i="2"/>
  <c r="BT125" i="2"/>
  <c r="BT172" i="2"/>
  <c r="BT113" i="2"/>
  <c r="BT162" i="2"/>
  <c r="BT26" i="2"/>
  <c r="BT252" i="2"/>
  <c r="BT238" i="2"/>
  <c r="BT13" i="2"/>
  <c r="BT242" i="2"/>
  <c r="BT214" i="2"/>
  <c r="BT197" i="2"/>
  <c r="BT75" i="2"/>
  <c r="BT184" i="2"/>
  <c r="BT56" i="2"/>
  <c r="BT51" i="2"/>
  <c r="BT22" i="2"/>
  <c r="BT166" i="2"/>
  <c r="BT54" i="2"/>
  <c r="BT223" i="2"/>
  <c r="BT178" i="2"/>
  <c r="BT255" i="2"/>
  <c r="BT66" i="2"/>
  <c r="BT154" i="2"/>
  <c r="BT182" i="2"/>
  <c r="BT195" i="2"/>
  <c r="BT176" i="2"/>
  <c r="BT48" i="2"/>
  <c r="BT171" i="2"/>
  <c r="BT44" i="2"/>
  <c r="BT142" i="2"/>
  <c r="BT229" i="2"/>
  <c r="BT39" i="2"/>
  <c r="BT221" i="2"/>
  <c r="BT222" i="2"/>
  <c r="BT193" i="2"/>
  <c r="BT254" i="2"/>
  <c r="BT225" i="2"/>
  <c r="BT21" i="2"/>
  <c r="BT199" i="2"/>
  <c r="BT167" i="2"/>
  <c r="BT67" i="2"/>
  <c r="BT168" i="2"/>
  <c r="BT40" i="2"/>
  <c r="BT43" i="2"/>
  <c r="BT194" i="2"/>
  <c r="BT127" i="2"/>
  <c r="BT206" i="2"/>
  <c r="BT207" i="2"/>
  <c r="BT198" i="2"/>
  <c r="BT239" i="2"/>
  <c r="BT49" i="2"/>
  <c r="BT69" i="2"/>
  <c r="BT245" i="2"/>
  <c r="BT137" i="2"/>
  <c r="BT235" i="2"/>
  <c r="BT160" i="2"/>
  <c r="BT32" i="2"/>
  <c r="BT147" i="2"/>
  <c r="BT208" i="2"/>
  <c r="BT33" i="2"/>
  <c r="BT110" i="2"/>
  <c r="BT93" i="2"/>
  <c r="BT97" i="2"/>
  <c r="BT36" i="2"/>
  <c r="BT34" i="2"/>
  <c r="BT191" i="2"/>
  <c r="BT177" i="2"/>
  <c r="BT109" i="2"/>
  <c r="BT209" i="2"/>
  <c r="BT231" i="2"/>
  <c r="BT132" i="2"/>
  <c r="BT6" i="2"/>
  <c r="BT138" i="2"/>
  <c r="BT91" i="2"/>
  <c r="BT152" i="2"/>
  <c r="BT24" i="2"/>
  <c r="BT59" i="2"/>
  <c r="BT186" i="2"/>
  <c r="BT10" i="2"/>
  <c r="BT237" i="2"/>
  <c r="BT230" i="2"/>
  <c r="BT170" i="2"/>
  <c r="BT78" i="2"/>
  <c r="BT38" i="2"/>
  <c r="BT114" i="2"/>
  <c r="BT161" i="2"/>
  <c r="BT228" i="2"/>
  <c r="BT5" i="2"/>
  <c r="BT183" i="2"/>
  <c r="BT130" i="2"/>
  <c r="BT164" i="2"/>
  <c r="BT68" i="2"/>
  <c r="BT92" i="2"/>
  <c r="BT187" i="2"/>
  <c r="BT144" i="2"/>
  <c r="BT16" i="2"/>
  <c r="BT155" i="2"/>
  <c r="BT19" i="2"/>
  <c r="BT65" i="2"/>
  <c r="BT201" i="2"/>
  <c r="BT244" i="2"/>
  <c r="BT249" i="2"/>
  <c r="BT220" i="2"/>
  <c r="BT63" i="2"/>
  <c r="BT94" i="2"/>
  <c r="BT52" i="2"/>
  <c r="BT124" i="2"/>
  <c r="BT85" i="2"/>
  <c r="BT105" i="2"/>
  <c r="BT55" i="2"/>
  <c r="BT77" i="2"/>
  <c r="BT99" i="2"/>
  <c r="BT136" i="2"/>
  <c r="BT8" i="2"/>
  <c r="BT35" i="2"/>
  <c r="BT18" i="2"/>
  <c r="BT210" i="2"/>
  <c r="BT236" i="2"/>
  <c r="BT9" i="2"/>
  <c r="BT202" i="2"/>
  <c r="BT185" i="2"/>
  <c r="BT250" i="2"/>
  <c r="BT205" i="2"/>
  <c r="BT215" i="2"/>
  <c r="BT50" i="2"/>
  <c r="BT84" i="2"/>
  <c r="BT20" i="2"/>
  <c r="BT117" i="2"/>
  <c r="BT181" i="2"/>
  <c r="BT102" i="2"/>
  <c r="BT62" i="2"/>
  <c r="BT256" i="2"/>
  <c r="BT128" i="2"/>
  <c r="BT243" i="2"/>
  <c r="BT153" i="2"/>
  <c r="BT42" i="2"/>
  <c r="BT156" i="2"/>
  <c r="BT7" i="2"/>
  <c r="BT204" i="2"/>
  <c r="BT190" i="2"/>
  <c r="BT247" i="2"/>
  <c r="BT37" i="2"/>
  <c r="BT116" i="2"/>
  <c r="BT23" i="2"/>
  <c r="BT180" i="2"/>
  <c r="BT151" i="2"/>
  <c r="BT134" i="2"/>
  <c r="BT47" i="2"/>
  <c r="BT248" i="2"/>
  <c r="BT120" i="2"/>
  <c r="BT131" i="2"/>
  <c r="BT219" i="2"/>
  <c r="BT41" i="2"/>
  <c r="BT31" i="2"/>
  <c r="BT95" i="2"/>
  <c r="BT141" i="2"/>
  <c r="BT146" i="2"/>
  <c r="BT189" i="2"/>
  <c r="BT175" i="2"/>
  <c r="BT53" i="2"/>
  <c r="BT100" i="2"/>
  <c r="BT148" i="2"/>
  <c r="BT149" i="2"/>
  <c r="BT135" i="2"/>
  <c r="BT121" i="2"/>
  <c r="BT165" i="2"/>
  <c r="BT17" i="2"/>
  <c r="BT240" i="2"/>
  <c r="BT112" i="2"/>
  <c r="BT11" i="2"/>
  <c r="BT83" i="2"/>
  <c r="BT46" i="2"/>
  <c r="BT169" i="2"/>
  <c r="BT233" i="2"/>
  <c r="BT101" i="2"/>
  <c r="BT87" i="2"/>
  <c r="BT133" i="2"/>
  <c r="BT119" i="2"/>
  <c r="BT60" i="2"/>
  <c r="BT122" i="2"/>
  <c r="BT150" i="2"/>
  <c r="BT82" i="2"/>
  <c r="BT232" i="2"/>
  <c r="BT104" i="2"/>
  <c r="BT115" i="2"/>
  <c r="BT227" i="2"/>
  <c r="BT12" i="2"/>
  <c r="BT74" i="2"/>
  <c r="BT157" i="2"/>
  <c r="BT174" i="2"/>
  <c r="BT234" i="2"/>
  <c r="BT159" i="2"/>
  <c r="BT79" i="2"/>
  <c r="BT86" i="2"/>
  <c r="BT57" i="2"/>
  <c r="BT118" i="2"/>
  <c r="BT89" i="2"/>
  <c r="BT30" i="2"/>
  <c r="BT76" i="2"/>
  <c r="BT106" i="2"/>
  <c r="BT179" i="2"/>
  <c r="BT224" i="2"/>
  <c r="BT96" i="2"/>
  <c r="BT211" i="2"/>
  <c r="BT163" i="2"/>
  <c r="BT73" i="2"/>
  <c r="BT29" i="2"/>
  <c r="BT213" i="2"/>
  <c r="BT126" i="2"/>
  <c r="BT145" i="2"/>
  <c r="BT111" i="2"/>
  <c r="BT81" i="2"/>
  <c r="BT188" i="2"/>
  <c r="BT129" i="2"/>
  <c r="BT246" i="2"/>
  <c r="BT71" i="2"/>
  <c r="BT58" i="2"/>
  <c r="BT103" i="2"/>
  <c r="BT90" i="2"/>
  <c r="BT15" i="2"/>
  <c r="BT61" i="2"/>
  <c r="BT45" i="2"/>
  <c r="BT27" i="2"/>
  <c r="BT216" i="2"/>
  <c r="BT88" i="2"/>
  <c r="BT123" i="2"/>
  <c r="BK6" i="2"/>
  <c r="BK14" i="2"/>
  <c r="BK22" i="2"/>
  <c r="BK30" i="2"/>
  <c r="BK38" i="2"/>
  <c r="BK46" i="2"/>
  <c r="BK54" i="2"/>
  <c r="BK62" i="2"/>
  <c r="BK70" i="2"/>
  <c r="BK78" i="2"/>
  <c r="BK86" i="2"/>
  <c r="BK94" i="2"/>
  <c r="BK102" i="2"/>
  <c r="BK110" i="2"/>
  <c r="BK118" i="2"/>
  <c r="BK126" i="2"/>
  <c r="BK134" i="2"/>
  <c r="BK142" i="2"/>
  <c r="BK150" i="2"/>
  <c r="BK158" i="2"/>
  <c r="BK166" i="2"/>
  <c r="BK174" i="2"/>
  <c r="BK182" i="2"/>
  <c r="BK190" i="2"/>
  <c r="BK198" i="2"/>
  <c r="BK206" i="2"/>
  <c r="BK214" i="2"/>
  <c r="BK222" i="2"/>
  <c r="BK230" i="2"/>
  <c r="BK238" i="2"/>
  <c r="BK246" i="2"/>
  <c r="BK254" i="2"/>
  <c r="BK8" i="2"/>
  <c r="BK16" i="2"/>
  <c r="BK24" i="2"/>
  <c r="BK32" i="2"/>
  <c r="BK40" i="2"/>
  <c r="BK48" i="2"/>
  <c r="BK56" i="2"/>
  <c r="BK64" i="2"/>
  <c r="BK9" i="2"/>
  <c r="BK17" i="2"/>
  <c r="BK25" i="2"/>
  <c r="BK33" i="2"/>
  <c r="BK41" i="2"/>
  <c r="BK49" i="2"/>
  <c r="BK57" i="2"/>
  <c r="BK65" i="2"/>
  <c r="BK73" i="2"/>
  <c r="BK81" i="2"/>
  <c r="BK89" i="2"/>
  <c r="BK97" i="2"/>
  <c r="BK105" i="2"/>
  <c r="BK227" i="2"/>
  <c r="BK163" i="2"/>
  <c r="BK19" i="2"/>
  <c r="BK43" i="2"/>
  <c r="BK59" i="2"/>
  <c r="BK75" i="2"/>
  <c r="BK91" i="2"/>
  <c r="BK107" i="2"/>
  <c r="BK123" i="2"/>
  <c r="BK139" i="2"/>
  <c r="BK155" i="2"/>
  <c r="BK179" i="2"/>
  <c r="BK195" i="2"/>
  <c r="BK211" i="2"/>
  <c r="BK235" i="2"/>
  <c r="BK251" i="2"/>
  <c r="BK11" i="2"/>
  <c r="BK27" i="2"/>
  <c r="BK35" i="2"/>
  <c r="BK51" i="2"/>
  <c r="BK67" i="2"/>
  <c r="BK83" i="2"/>
  <c r="BK99" i="2"/>
  <c r="BK115" i="2"/>
  <c r="BK131" i="2"/>
  <c r="BK147" i="2"/>
  <c r="BK171" i="2"/>
  <c r="BK187" i="2"/>
  <c r="BK203" i="2"/>
  <c r="BK219" i="2"/>
  <c r="BK243" i="2"/>
  <c r="BK146" i="2"/>
  <c r="BK255" i="2"/>
  <c r="BK114" i="2"/>
  <c r="BK77" i="2"/>
  <c r="BK92" i="2"/>
  <c r="BK138" i="2"/>
  <c r="BK169" i="2"/>
  <c r="BK88" i="2"/>
  <c r="BK55" i="2"/>
  <c r="BK85" i="2"/>
  <c r="BK116" i="2"/>
  <c r="BK66" i="2"/>
  <c r="BK129" i="2"/>
  <c r="BK50" i="2"/>
  <c r="BK144" i="2"/>
  <c r="BK112" i="2"/>
  <c r="BK87" i="2"/>
  <c r="BK15" i="2"/>
  <c r="BK162" i="2"/>
  <c r="BK239" i="2"/>
  <c r="BK225" i="2"/>
  <c r="BK61" i="2"/>
  <c r="BK76" i="2"/>
  <c r="BK122" i="2"/>
  <c r="BK153" i="2"/>
  <c r="BK72" i="2"/>
  <c r="BK39" i="2"/>
  <c r="BK69" i="2"/>
  <c r="BK100" i="2"/>
  <c r="BK68" i="2"/>
  <c r="BK52" i="2"/>
  <c r="BK20" i="2"/>
  <c r="BK4" i="2"/>
  <c r="BK197" i="2"/>
  <c r="BK168" i="2"/>
  <c r="BK119" i="2"/>
  <c r="BK140" i="2"/>
  <c r="BK80" i="2"/>
  <c r="BK257" i="2"/>
  <c r="BK223" i="2"/>
  <c r="BK242" i="2"/>
  <c r="BK45" i="2"/>
  <c r="BK60" i="2"/>
  <c r="BK106" i="2"/>
  <c r="BK137" i="2"/>
  <c r="BK18" i="2"/>
  <c r="BK23" i="2"/>
  <c r="BK53" i="2"/>
  <c r="BK84" i="2"/>
  <c r="BK37" i="2"/>
  <c r="BK42" i="2"/>
  <c r="BK151" i="2"/>
  <c r="BK196" i="2"/>
  <c r="BK141" i="2"/>
  <c r="BK133" i="2"/>
  <c r="BK117" i="2"/>
  <c r="BK71" i="2"/>
  <c r="BK241" i="2"/>
  <c r="BK207" i="2"/>
  <c r="BK34" i="2"/>
  <c r="BK29" i="2"/>
  <c r="BK44" i="2"/>
  <c r="BK90" i="2"/>
  <c r="BK121" i="2"/>
  <c r="BK193" i="2"/>
  <c r="BK7" i="2"/>
  <c r="BK215" i="2"/>
  <c r="BK194" i="2"/>
  <c r="BK135" i="2"/>
  <c r="BK156" i="2"/>
  <c r="BK109" i="2"/>
  <c r="BK256" i="2"/>
  <c r="BK191" i="2"/>
  <c r="BK113" i="2"/>
  <c r="BK13" i="2"/>
  <c r="BK28" i="2"/>
  <c r="BK74" i="2"/>
  <c r="BK98" i="2"/>
  <c r="BK247" i="2"/>
  <c r="BK21" i="2"/>
  <c r="BK229" i="2"/>
  <c r="BK228" i="2"/>
  <c r="BK79" i="2"/>
  <c r="BK149" i="2"/>
  <c r="BK136" i="2"/>
  <c r="BK201" i="2"/>
  <c r="BK108" i="2"/>
  <c r="BK132" i="2"/>
  <c r="BK240" i="2"/>
  <c r="BK175" i="2"/>
  <c r="BK178" i="2"/>
  <c r="BK12" i="2"/>
  <c r="BK58" i="2"/>
  <c r="BK161" i="2"/>
  <c r="BK231" i="2"/>
  <c r="BK177" i="2"/>
  <c r="BK5" i="2"/>
  <c r="BK36" i="2"/>
  <c r="BK130" i="2"/>
  <c r="BK183" i="2"/>
  <c r="BK218" i="2"/>
  <c r="BK233" i="2"/>
  <c r="BK180" i="2"/>
  <c r="BK217" i="2"/>
  <c r="BK124" i="2"/>
  <c r="BK185" i="2"/>
  <c r="BK224" i="2"/>
  <c r="BK159" i="2"/>
  <c r="BK237" i="2"/>
  <c r="BK252" i="2"/>
  <c r="BK210" i="2"/>
  <c r="BK248" i="2"/>
  <c r="BK245" i="2"/>
  <c r="BK244" i="2"/>
  <c r="BK157" i="2"/>
  <c r="BK125" i="2"/>
  <c r="BK170" i="2"/>
  <c r="BK154" i="2"/>
  <c r="BK101" i="2"/>
  <c r="BK208" i="2"/>
  <c r="BK143" i="2"/>
  <c r="BK221" i="2"/>
  <c r="BK236" i="2"/>
  <c r="BK209" i="2"/>
  <c r="BK26" i="2"/>
  <c r="BK232" i="2"/>
  <c r="BK199" i="2"/>
  <c r="BK181" i="2"/>
  <c r="BK165" i="2"/>
  <c r="BK63" i="2"/>
  <c r="BK31" i="2"/>
  <c r="BK192" i="2"/>
  <c r="BK127" i="2"/>
  <c r="BK205" i="2"/>
  <c r="BK220" i="2"/>
  <c r="BK82" i="2"/>
  <c r="BK10" i="2"/>
  <c r="BK216" i="2"/>
  <c r="BK213" i="2"/>
  <c r="BK172" i="2"/>
  <c r="BK152" i="2"/>
  <c r="BK186" i="2"/>
  <c r="BK148" i="2"/>
  <c r="BK176" i="2"/>
  <c r="BK111" i="2"/>
  <c r="BK189" i="2"/>
  <c r="BK204" i="2"/>
  <c r="BK250" i="2"/>
  <c r="BK226" i="2"/>
  <c r="BK200" i="2"/>
  <c r="BK167" i="2"/>
  <c r="BK249" i="2"/>
  <c r="BK202" i="2"/>
  <c r="BK103" i="2"/>
  <c r="BK120" i="2"/>
  <c r="BK104" i="2"/>
  <c r="BK160" i="2"/>
  <c r="BK95" i="2"/>
  <c r="BK173" i="2"/>
  <c r="BK188" i="2"/>
  <c r="BK234" i="2"/>
  <c r="BK145" i="2"/>
  <c r="BK184" i="2"/>
  <c r="BK212" i="2"/>
  <c r="BK128" i="2"/>
  <c r="BK164" i="2"/>
  <c r="BK96" i="2"/>
  <c r="BK47" i="2"/>
  <c r="BK93" i="2"/>
  <c r="BH51" i="2"/>
  <c r="BH75" i="2"/>
  <c r="BH67" i="2"/>
  <c r="BH5" i="2"/>
  <c r="BH13" i="2"/>
  <c r="BH21" i="2"/>
  <c r="BH29" i="2"/>
  <c r="BH37" i="2"/>
  <c r="BH45" i="2"/>
  <c r="BH53" i="2"/>
  <c r="BH61" i="2"/>
  <c r="BH69" i="2"/>
  <c r="BH77" i="2"/>
  <c r="BH85" i="2"/>
  <c r="BH93" i="2"/>
  <c r="BH101" i="2"/>
  <c r="BH109" i="2"/>
  <c r="BH117" i="2"/>
  <c r="BH125" i="2"/>
  <c r="BH133" i="2"/>
  <c r="BH141" i="2"/>
  <c r="BH149" i="2"/>
  <c r="BH157" i="2"/>
  <c r="BH165" i="2"/>
  <c r="BH83" i="2"/>
  <c r="BH59" i="2"/>
  <c r="BH6" i="2"/>
  <c r="BH14" i="2"/>
  <c r="BH22" i="2"/>
  <c r="BH30" i="2"/>
  <c r="BH38" i="2"/>
  <c r="BH46" i="2"/>
  <c r="BH54" i="2"/>
  <c r="BH62" i="2"/>
  <c r="BH70" i="2"/>
  <c r="BH78" i="2"/>
  <c r="BH99" i="2"/>
  <c r="BH91" i="2"/>
  <c r="BH107" i="2"/>
  <c r="BH115" i="2"/>
  <c r="BH8" i="2"/>
  <c r="BH16" i="2"/>
  <c r="BH24" i="2"/>
  <c r="BH32" i="2"/>
  <c r="BH40" i="2"/>
  <c r="BH48" i="2"/>
  <c r="BH56" i="2"/>
  <c r="BH64" i="2"/>
  <c r="BH72" i="2"/>
  <c r="BH80" i="2"/>
  <c r="BH96" i="2"/>
  <c r="BH112" i="2"/>
  <c r="BH120" i="2"/>
  <c r="BH128" i="2"/>
  <c r="BH136" i="2"/>
  <c r="BH144" i="2"/>
  <c r="BH152" i="2"/>
  <c r="BH160" i="2"/>
  <c r="BH168" i="2"/>
  <c r="BH176" i="2"/>
  <c r="BH184" i="2"/>
  <c r="BH192" i="2"/>
  <c r="BH200" i="2"/>
  <c r="BH208" i="2"/>
  <c r="BH216" i="2"/>
  <c r="BH224" i="2"/>
  <c r="BH232" i="2"/>
  <c r="BH240" i="2"/>
  <c r="BH248" i="2"/>
  <c r="BH256" i="2"/>
  <c r="BH123" i="2"/>
  <c r="BH43" i="2"/>
  <c r="BH35" i="2"/>
  <c r="BH147" i="2"/>
  <c r="BH187" i="2"/>
  <c r="BH227" i="2"/>
  <c r="BH19" i="2"/>
  <c r="BH155" i="2"/>
  <c r="BH211" i="2"/>
  <c r="BH243" i="2"/>
  <c r="BH27" i="2"/>
  <c r="BH131" i="2"/>
  <c r="BH163" i="2"/>
  <c r="BH179" i="2"/>
  <c r="BH203" i="2"/>
  <c r="BH235" i="2"/>
  <c r="BH11" i="2"/>
  <c r="BH139" i="2"/>
  <c r="BH171" i="2"/>
  <c r="BH195" i="2"/>
  <c r="BH219" i="2"/>
  <c r="BH251" i="2"/>
  <c r="BH242" i="2"/>
  <c r="BH241" i="2"/>
  <c r="BH223" i="2"/>
  <c r="BH222" i="2"/>
  <c r="BH236" i="2"/>
  <c r="BH234" i="2"/>
  <c r="BH233" i="2"/>
  <c r="BH88" i="2"/>
  <c r="BH7" i="2"/>
  <c r="BH181" i="2"/>
  <c r="BH4" i="2"/>
  <c r="BH164" i="2"/>
  <c r="BH148" i="2"/>
  <c r="BH94" i="2"/>
  <c r="BH74" i="2"/>
  <c r="BH205" i="2"/>
  <c r="BH10" i="2"/>
  <c r="BH226" i="2"/>
  <c r="BH209" i="2"/>
  <c r="BH207" i="2"/>
  <c r="BH206" i="2"/>
  <c r="BH220" i="2"/>
  <c r="BH218" i="2"/>
  <c r="BH217" i="2"/>
  <c r="BH247" i="2"/>
  <c r="BH246" i="2"/>
  <c r="BH244" i="2"/>
  <c r="BH228" i="2"/>
  <c r="BH225" i="2"/>
  <c r="BH174" i="2"/>
  <c r="BH185" i="2"/>
  <c r="BH212" i="2"/>
  <c r="BH199" i="2"/>
  <c r="BH196" i="2"/>
  <c r="BH182" i="2"/>
  <c r="BH150" i="2"/>
  <c r="BH132" i="2"/>
  <c r="BH118" i="2"/>
  <c r="BH57" i="2"/>
  <c r="BH26" i="2"/>
  <c r="BH39" i="2"/>
  <c r="BH197" i="2"/>
  <c r="BH210" i="2"/>
  <c r="BH193" i="2"/>
  <c r="BH191" i="2"/>
  <c r="BH190" i="2"/>
  <c r="BH204" i="2"/>
  <c r="BH202" i="2"/>
  <c r="BH201" i="2"/>
  <c r="BH231" i="2"/>
  <c r="BH230" i="2"/>
  <c r="BH188" i="2"/>
  <c r="BH215" i="2"/>
  <c r="BH214" i="2"/>
  <c r="BH170" i="2"/>
  <c r="BH198" i="2"/>
  <c r="BH166" i="2"/>
  <c r="BH108" i="2"/>
  <c r="BH89" i="2"/>
  <c r="BH58" i="2"/>
  <c r="BH189" i="2"/>
  <c r="BH52" i="2"/>
  <c r="BH250" i="2"/>
  <c r="BH194" i="2"/>
  <c r="BH177" i="2"/>
  <c r="BH175" i="2"/>
  <c r="BH186" i="2"/>
  <c r="BH167" i="2"/>
  <c r="BH95" i="2"/>
  <c r="BH100" i="2"/>
  <c r="BH71" i="2"/>
  <c r="BH173" i="2"/>
  <c r="BH178" i="2"/>
  <c r="BH161" i="2"/>
  <c r="BH159" i="2"/>
  <c r="BH158" i="2"/>
  <c r="BH172" i="2"/>
  <c r="BH169" i="2"/>
  <c r="BH137" i="2"/>
  <c r="BH134" i="2"/>
  <c r="BH237" i="2"/>
  <c r="BH33" i="2"/>
  <c r="BH12" i="2"/>
  <c r="BH162" i="2"/>
  <c r="BH145" i="2"/>
  <c r="BH143" i="2"/>
  <c r="BH142" i="2"/>
  <c r="BH156" i="2"/>
  <c r="BH154" i="2"/>
  <c r="BH153" i="2"/>
  <c r="BH183" i="2"/>
  <c r="BH180" i="2"/>
  <c r="BH121" i="2"/>
  <c r="BH135" i="2"/>
  <c r="BH76" i="2"/>
  <c r="BH41" i="2"/>
  <c r="BH255" i="2"/>
  <c r="BH146" i="2"/>
  <c r="BH129" i="2"/>
  <c r="BH127" i="2"/>
  <c r="BH126" i="2"/>
  <c r="BH140" i="2"/>
  <c r="BH138" i="2"/>
  <c r="BH106" i="2"/>
  <c r="BH119" i="2"/>
  <c r="BH103" i="2"/>
  <c r="BH86" i="2"/>
  <c r="BH245" i="2"/>
  <c r="BH25" i="2"/>
  <c r="BH36" i="2"/>
  <c r="BH104" i="2"/>
  <c r="BH130" i="2"/>
  <c r="BH113" i="2"/>
  <c r="BH111" i="2"/>
  <c r="BH110" i="2"/>
  <c r="BH124" i="2"/>
  <c r="BH122" i="2"/>
  <c r="BH151" i="2"/>
  <c r="BH92" i="2"/>
  <c r="BH116" i="2"/>
  <c r="BH102" i="2"/>
  <c r="BH84" i="2"/>
  <c r="BH114" i="2"/>
  <c r="BH97" i="2"/>
  <c r="BH105" i="2"/>
  <c r="BH63" i="2"/>
  <c r="BH42" i="2"/>
  <c r="BH254" i="2"/>
  <c r="BH98" i="2"/>
  <c r="BH81" i="2"/>
  <c r="BH79" i="2"/>
  <c r="BH90" i="2"/>
  <c r="BH87" i="2"/>
  <c r="BH28" i="2"/>
  <c r="BH213" i="2"/>
  <c r="BH23" i="2"/>
  <c r="BH82" i="2"/>
  <c r="BH65" i="2"/>
  <c r="BH73" i="2"/>
  <c r="BH44" i="2"/>
  <c r="BH18" i="2"/>
  <c r="BH66" i="2"/>
  <c r="BH49" i="2"/>
  <c r="BH47" i="2"/>
  <c r="BH221" i="2"/>
  <c r="BH60" i="2"/>
  <c r="BH68" i="2"/>
  <c r="BH229" i="2"/>
  <c r="BH9" i="2"/>
  <c r="BH20" i="2"/>
  <c r="BH50" i="2"/>
  <c r="BH31" i="2"/>
  <c r="BH249" i="2"/>
  <c r="BH34" i="2"/>
  <c r="BH17" i="2"/>
  <c r="BH15" i="2"/>
  <c r="BH55" i="2"/>
  <c r="BH252" i="2"/>
  <c r="BH257" i="2"/>
  <c r="BH239" i="2"/>
  <c r="BH238" i="2"/>
  <c r="AH52" i="2"/>
  <c r="AW15" i="2"/>
  <c r="AH73" i="2"/>
  <c r="AH12" i="2"/>
  <c r="AH8" i="2"/>
  <c r="AH58" i="2"/>
  <c r="AH59" i="2"/>
  <c r="AW54" i="2"/>
  <c r="AH17" i="2"/>
  <c r="AW74" i="2"/>
  <c r="AW41" i="2"/>
  <c r="AH41" i="2"/>
  <c r="AW40" i="2"/>
  <c r="AH7" i="2"/>
  <c r="AH68" i="2"/>
  <c r="AH51" i="2"/>
  <c r="AH33" i="2"/>
  <c r="AH71" i="2"/>
  <c r="AW61" i="2"/>
  <c r="AW69" i="2"/>
  <c r="AH21" i="2"/>
  <c r="AH14" i="2"/>
  <c r="AH32" i="2"/>
  <c r="AH56" i="2"/>
  <c r="AW71" i="2"/>
  <c r="AH40" i="2"/>
  <c r="AH60" i="2"/>
  <c r="AH70" i="2"/>
  <c r="AH44" i="2"/>
  <c r="AW72" i="2"/>
  <c r="AH69" i="2"/>
  <c r="AH67" i="2"/>
  <c r="AH30" i="2"/>
  <c r="AH29" i="2"/>
  <c r="AH10" i="2"/>
  <c r="AW73" i="2"/>
  <c r="AH35" i="2"/>
  <c r="AH39" i="2"/>
  <c r="AH20" i="2"/>
  <c r="AW5" i="2"/>
  <c r="AH38" i="2"/>
  <c r="AH53" i="2"/>
  <c r="AT62" i="2"/>
  <c r="AW12" i="2"/>
  <c r="AH34" i="2"/>
  <c r="AH65" i="2"/>
  <c r="AT74" i="2"/>
  <c r="AW17" i="2"/>
  <c r="AH45" i="2"/>
  <c r="AH64" i="2"/>
  <c r="AT12" i="2"/>
  <c r="AH22" i="2"/>
  <c r="AH27" i="2"/>
  <c r="AT40" i="2"/>
  <c r="AH18" i="2"/>
  <c r="AH9" i="2"/>
  <c r="AW9" i="2"/>
  <c r="AH66" i="2"/>
  <c r="AH6" i="2"/>
  <c r="AH25" i="2"/>
  <c r="AH16" i="2"/>
  <c r="AW24" i="2"/>
  <c r="AW45" i="2"/>
  <c r="AH54" i="2"/>
  <c r="AH13" i="2"/>
  <c r="AH23" i="2"/>
  <c r="AH28" i="2"/>
  <c r="AW30" i="2"/>
  <c r="AW48" i="2"/>
  <c r="AH19" i="2"/>
  <c r="AH37" i="2"/>
  <c r="AH47" i="2"/>
  <c r="AW23" i="2"/>
  <c r="AW33" i="2"/>
  <c r="AH31" i="2"/>
  <c r="AW50" i="2"/>
  <c r="AH74" i="2"/>
  <c r="AH50" i="2"/>
  <c r="AH57" i="2"/>
  <c r="AH61" i="2"/>
  <c r="AH24" i="2"/>
  <c r="AH48" i="2"/>
  <c r="AH15" i="2"/>
  <c r="AW60" i="2"/>
  <c r="AH49" i="2"/>
  <c r="AH11" i="2"/>
  <c r="AH55" i="2"/>
  <c r="AH26" i="2"/>
  <c r="AW51" i="2"/>
  <c r="AZ66" i="2"/>
  <c r="AZ58" i="2"/>
  <c r="AZ41" i="2"/>
  <c r="AZ17" i="2"/>
  <c r="AZ35" i="2"/>
  <c r="AT25" i="2"/>
  <c r="AT17" i="2"/>
  <c r="AT49" i="2"/>
  <c r="AT7" i="2"/>
  <c r="AT66" i="2"/>
  <c r="AZ8" i="2"/>
  <c r="AZ15" i="2"/>
  <c r="AZ36" i="2"/>
  <c r="AZ22" i="2"/>
  <c r="AZ39" i="2"/>
  <c r="AZ34" i="2"/>
  <c r="AZ5" i="2"/>
  <c r="AT30" i="2"/>
  <c r="AT36" i="2"/>
  <c r="AT68" i="2"/>
  <c r="AT59" i="2"/>
  <c r="AT13" i="2"/>
  <c r="AW53" i="2"/>
  <c r="AZ53" i="2"/>
  <c r="AT51" i="2"/>
  <c r="AZ74" i="2"/>
  <c r="AZ24" i="2"/>
  <c r="AZ68" i="2"/>
  <c r="AZ9" i="2"/>
  <c r="AT4" i="2"/>
  <c r="AT9" i="2"/>
  <c r="AT11" i="2"/>
  <c r="AT28" i="2"/>
  <c r="AT29" i="2"/>
  <c r="AW34" i="2"/>
  <c r="AW26" i="2"/>
  <c r="AW13" i="2"/>
  <c r="AW22" i="2"/>
  <c r="AZ28" i="2"/>
  <c r="AT56" i="2"/>
  <c r="AZ57" i="2"/>
  <c r="AT18" i="2"/>
  <c r="AT65" i="2"/>
  <c r="AT48" i="2"/>
  <c r="AT61" i="2"/>
  <c r="AW16" i="2"/>
  <c r="AW8" i="2"/>
  <c r="AZ49" i="2"/>
  <c r="AT19" i="2"/>
  <c r="AK7" i="2"/>
  <c r="AK23" i="2"/>
  <c r="AK39" i="2"/>
  <c r="AK55" i="2"/>
  <c r="AK71" i="2"/>
  <c r="AK42" i="2"/>
  <c r="AK6" i="2"/>
  <c r="AK21" i="2"/>
  <c r="AK18" i="2"/>
  <c r="AK58" i="2"/>
  <c r="AK26" i="2"/>
  <c r="AK5" i="2"/>
  <c r="AK32" i="2"/>
  <c r="AK10" i="2"/>
  <c r="AK68" i="2"/>
  <c r="AK74" i="2"/>
  <c r="AK16" i="2"/>
  <c r="AK52" i="2"/>
  <c r="AK11" i="2"/>
  <c r="AK73" i="2"/>
  <c r="AK36" i="2"/>
  <c r="AK65" i="2"/>
  <c r="AK57" i="2"/>
  <c r="AK20" i="2"/>
  <c r="AK13" i="2"/>
  <c r="AK33" i="2"/>
  <c r="AK41" i="2"/>
  <c r="AK72" i="2"/>
  <c r="AK4" i="2"/>
  <c r="AK38" i="2"/>
  <c r="AK60" i="2"/>
  <c r="AK25" i="2"/>
  <c r="AK56" i="2"/>
  <c r="AK67" i="2"/>
  <c r="AK15" i="2"/>
  <c r="AK62" i="2"/>
  <c r="AK46" i="2"/>
  <c r="AK44" i="2"/>
  <c r="AK9" i="2"/>
  <c r="AK40" i="2"/>
  <c r="AK51" i="2"/>
  <c r="AK30" i="2"/>
  <c r="AK14" i="2"/>
  <c r="AK28" i="2"/>
  <c r="AK24" i="2"/>
  <c r="AK35" i="2"/>
  <c r="AK53" i="2"/>
  <c r="AK49" i="2"/>
  <c r="AK12" i="2"/>
  <c r="AK8" i="2"/>
  <c r="AK19" i="2"/>
  <c r="AK17" i="2"/>
  <c r="AK63" i="2"/>
  <c r="AK61" i="2"/>
  <c r="AK50" i="2"/>
  <c r="AK64" i="2"/>
  <c r="AK47" i="2"/>
  <c r="AK45" i="2"/>
  <c r="AK59" i="2"/>
  <c r="AK70" i="2"/>
  <c r="AK27" i="2"/>
  <c r="AK22" i="2"/>
  <c r="AK48" i="2"/>
  <c r="AK31" i="2"/>
  <c r="AK29" i="2"/>
  <c r="AK43" i="2"/>
  <c r="AK54" i="2"/>
  <c r="AK69" i="2"/>
  <c r="AK66" i="2"/>
  <c r="AK37" i="2"/>
  <c r="AK34" i="2"/>
  <c r="AZ54" i="2"/>
  <c r="AZ56" i="2"/>
  <c r="AZ63" i="2"/>
  <c r="AT38" i="2"/>
  <c r="AT70" i="2"/>
  <c r="AT67" i="2"/>
  <c r="AT71" i="2"/>
  <c r="AT45" i="2"/>
  <c r="AW49" i="2"/>
  <c r="AW67" i="2"/>
  <c r="AW25" i="2"/>
  <c r="AW10" i="2"/>
  <c r="AZ67" i="2"/>
  <c r="AT37" i="2"/>
  <c r="AT53" i="2"/>
  <c r="AZ70" i="2"/>
  <c r="AZ19" i="2"/>
  <c r="AZ45" i="2"/>
  <c r="AZ65" i="2"/>
  <c r="AT41" i="2"/>
  <c r="AT73" i="2"/>
  <c r="AT72" i="2"/>
  <c r="AT44" i="2"/>
  <c r="AW59" i="2"/>
  <c r="AW46" i="2"/>
  <c r="AW42" i="2"/>
  <c r="AW21" i="2"/>
  <c r="AW27" i="2"/>
  <c r="AW31" i="2"/>
  <c r="AW44" i="2"/>
  <c r="AW28" i="2"/>
  <c r="AT22" i="2"/>
  <c r="AZ71" i="2"/>
  <c r="AZ18" i="2"/>
  <c r="AT64" i="2"/>
  <c r="AZ69" i="2"/>
  <c r="AZ7" i="2"/>
  <c r="AZ37" i="2"/>
  <c r="AZ33" i="2"/>
  <c r="AZ21" i="2"/>
  <c r="AT46" i="2"/>
  <c r="AT47" i="2"/>
  <c r="AT23" i="2"/>
  <c r="AT8" i="2"/>
  <c r="AW70" i="2"/>
  <c r="AW19" i="2"/>
  <c r="AW57" i="2"/>
  <c r="AW37" i="2"/>
  <c r="AW52" i="2"/>
  <c r="AZ29" i="2"/>
  <c r="AN15" i="2"/>
  <c r="AN31" i="2"/>
  <c r="AN47" i="2"/>
  <c r="AN63" i="2"/>
  <c r="AN70" i="2"/>
  <c r="AN53" i="2"/>
  <c r="AN51" i="2"/>
  <c r="AN65" i="2"/>
  <c r="AN72" i="2"/>
  <c r="AN74" i="2"/>
  <c r="AN54" i="2"/>
  <c r="AN37" i="2"/>
  <c r="AN35" i="2"/>
  <c r="AN49" i="2"/>
  <c r="AN60" i="2"/>
  <c r="AN18" i="2"/>
  <c r="AN38" i="2"/>
  <c r="AN21" i="2"/>
  <c r="AN19" i="2"/>
  <c r="AN33" i="2"/>
  <c r="AN44" i="2"/>
  <c r="AN59" i="2"/>
  <c r="AN56" i="2"/>
  <c r="AN22" i="2"/>
  <c r="AN5" i="2"/>
  <c r="AN17" i="2"/>
  <c r="AN64" i="2"/>
  <c r="AN28" i="2"/>
  <c r="AN43" i="2"/>
  <c r="AN40" i="2"/>
  <c r="AN29" i="2"/>
  <c r="AN69" i="2"/>
  <c r="AN6" i="2"/>
  <c r="AN48" i="2"/>
  <c r="AN12" i="2"/>
  <c r="AN27" i="2"/>
  <c r="AN24" i="2"/>
  <c r="AN32" i="2"/>
  <c r="AN11" i="2"/>
  <c r="AN8" i="2"/>
  <c r="AN14" i="2"/>
  <c r="AN71" i="2"/>
  <c r="AN58" i="2"/>
  <c r="AN25" i="2"/>
  <c r="AN55" i="2"/>
  <c r="AN42" i="2"/>
  <c r="AN9" i="2"/>
  <c r="AN23" i="2"/>
  <c r="AN26" i="2"/>
  <c r="AN68" i="2"/>
  <c r="AN52" i="2"/>
  <c r="AN10" i="2"/>
  <c r="AN67" i="2"/>
  <c r="AN36" i="2"/>
  <c r="AN4" i="2"/>
  <c r="AN66" i="2"/>
  <c r="AN16" i="2"/>
  <c r="AN62" i="2"/>
  <c r="AN73" i="2"/>
  <c r="AN13" i="2"/>
  <c r="AN39" i="2"/>
  <c r="AN20" i="2"/>
  <c r="AN50" i="2"/>
  <c r="AN46" i="2"/>
  <c r="AN61" i="2"/>
  <c r="AN57" i="2"/>
  <c r="AN7" i="2"/>
  <c r="AN34" i="2"/>
  <c r="AN30" i="2"/>
  <c r="AN45" i="2"/>
  <c r="AN41" i="2"/>
  <c r="AT10" i="2"/>
  <c r="AZ13" i="2"/>
  <c r="AZ4" i="2"/>
  <c r="AQ53" i="2"/>
  <c r="AQ57" i="2"/>
  <c r="AQ37" i="2"/>
  <c r="AQ68" i="2"/>
  <c r="AQ64" i="2"/>
  <c r="AQ48" i="2"/>
  <c r="AQ41" i="2"/>
  <c r="AQ21" i="2"/>
  <c r="AQ52" i="2"/>
  <c r="AQ69" i="2"/>
  <c r="AQ25" i="2"/>
  <c r="AQ5" i="2"/>
  <c r="AQ36" i="2"/>
  <c r="AQ32" i="2"/>
  <c r="AQ74" i="2"/>
  <c r="AQ9" i="2"/>
  <c r="AQ20" i="2"/>
  <c r="AQ16" i="2"/>
  <c r="AQ30" i="2"/>
  <c r="AQ17" i="2"/>
  <c r="AQ60" i="2"/>
  <c r="AQ58" i="2"/>
  <c r="AQ72" i="2"/>
  <c r="AQ4" i="2"/>
  <c r="AQ31" i="2"/>
  <c r="AQ11" i="2"/>
  <c r="AQ61" i="2"/>
  <c r="AQ44" i="2"/>
  <c r="AQ42" i="2"/>
  <c r="AQ56" i="2"/>
  <c r="AQ67" i="2"/>
  <c r="AQ73" i="2"/>
  <c r="AQ45" i="2"/>
  <c r="AQ28" i="2"/>
  <c r="AQ26" i="2"/>
  <c r="AQ40" i="2"/>
  <c r="AQ71" i="2"/>
  <c r="AQ51" i="2"/>
  <c r="AQ66" i="2"/>
  <c r="AQ63" i="2"/>
  <c r="AQ29" i="2"/>
  <c r="AQ12" i="2"/>
  <c r="AQ10" i="2"/>
  <c r="AQ24" i="2"/>
  <c r="AQ55" i="2"/>
  <c r="AQ35" i="2"/>
  <c r="AQ50" i="2"/>
  <c r="AQ47" i="2"/>
  <c r="AQ13" i="2"/>
  <c r="AQ8" i="2"/>
  <c r="AQ39" i="2"/>
  <c r="AQ19" i="2"/>
  <c r="AQ34" i="2"/>
  <c r="AQ23" i="2"/>
  <c r="AQ70" i="2"/>
  <c r="AQ18" i="2"/>
  <c r="AQ15" i="2"/>
  <c r="AQ62" i="2"/>
  <c r="AQ7" i="2"/>
  <c r="AQ54" i="2"/>
  <c r="AQ43" i="2"/>
  <c r="AQ46" i="2"/>
  <c r="AQ38" i="2"/>
  <c r="AQ65" i="2"/>
  <c r="AQ14" i="2"/>
  <c r="AQ27" i="2"/>
  <c r="AQ22" i="2"/>
  <c r="AQ49" i="2"/>
  <c r="AQ59" i="2"/>
  <c r="AQ6" i="2"/>
  <c r="AQ33" i="2"/>
  <c r="AZ73" i="2"/>
  <c r="AZ12" i="2"/>
  <c r="AZ10" i="2"/>
  <c r="AZ50" i="2"/>
  <c r="AZ25" i="2"/>
  <c r="AT15" i="2"/>
  <c r="AT33" i="2"/>
  <c r="AT34" i="2"/>
  <c r="AT60" i="2"/>
  <c r="AW56" i="2"/>
  <c r="AW39" i="2"/>
  <c r="AW47" i="2"/>
  <c r="AW6" i="2"/>
  <c r="AW36" i="2"/>
  <c r="AZ6" i="2"/>
  <c r="AT32" i="2"/>
  <c r="AZ44" i="2"/>
  <c r="AT26" i="2"/>
  <c r="AZ42" i="2"/>
  <c r="AZ48" i="2"/>
  <c r="AZ52" i="2"/>
  <c r="AZ72" i="2"/>
  <c r="AZ14" i="2"/>
  <c r="AT20" i="2"/>
  <c r="AT35" i="2"/>
  <c r="AT27" i="2"/>
  <c r="AT24" i="2"/>
  <c r="AW58" i="2"/>
  <c r="AW66" i="2"/>
  <c r="AW65" i="2"/>
  <c r="AW11" i="2"/>
  <c r="AW20" i="2"/>
  <c r="AT63" i="2"/>
  <c r="AE18" i="2"/>
  <c r="AE34" i="2"/>
  <c r="AE50" i="2"/>
  <c r="AE66" i="2"/>
  <c r="AE68" i="2"/>
  <c r="AE31" i="2"/>
  <c r="AE27" i="2"/>
  <c r="AE38" i="2"/>
  <c r="AE22" i="2"/>
  <c r="AE54" i="2"/>
  <c r="AE36" i="2"/>
  <c r="AE15" i="2"/>
  <c r="AE17" i="2"/>
  <c r="AE11" i="2"/>
  <c r="AE70" i="2"/>
  <c r="AE4" i="2"/>
  <c r="AE64" i="2"/>
  <c r="AE43" i="2"/>
  <c r="AE6" i="2"/>
  <c r="AE12" i="2"/>
  <c r="AE67" i="2"/>
  <c r="AE48" i="2"/>
  <c r="AE62" i="2"/>
  <c r="AE74" i="2"/>
  <c r="AE73" i="2"/>
  <c r="AE51" i="2"/>
  <c r="AE32" i="2"/>
  <c r="AE46" i="2"/>
  <c r="AE58" i="2"/>
  <c r="AE57" i="2"/>
  <c r="AE69" i="2"/>
  <c r="AE35" i="2"/>
  <c r="AE33" i="2"/>
  <c r="AE16" i="2"/>
  <c r="AE65" i="2"/>
  <c r="AE30" i="2"/>
  <c r="AE42" i="2"/>
  <c r="AE41" i="2"/>
  <c r="AE53" i="2"/>
  <c r="AE19" i="2"/>
  <c r="AE52" i="2"/>
  <c r="AE14" i="2"/>
  <c r="AE49" i="2"/>
  <c r="AE26" i="2"/>
  <c r="AE25" i="2"/>
  <c r="AE37" i="2"/>
  <c r="AE20" i="2"/>
  <c r="AE10" i="2"/>
  <c r="AE9" i="2"/>
  <c r="AE21" i="2"/>
  <c r="AE61" i="2"/>
  <c r="AE72" i="2"/>
  <c r="AE5" i="2"/>
  <c r="AE29" i="2"/>
  <c r="AE45" i="2"/>
  <c r="AE56" i="2"/>
  <c r="AE71" i="2"/>
  <c r="AE63" i="2"/>
  <c r="AE28" i="2"/>
  <c r="AE47" i="2"/>
  <c r="AE59" i="2"/>
  <c r="AE13" i="2"/>
  <c r="AE40" i="2"/>
  <c r="AE55" i="2"/>
  <c r="AE24" i="2"/>
  <c r="AE39" i="2"/>
  <c r="AE60" i="2"/>
  <c r="AE8" i="2"/>
  <c r="AE23" i="2"/>
  <c r="AE44" i="2"/>
  <c r="AE7" i="2"/>
  <c r="AZ26" i="2"/>
  <c r="AZ38" i="2"/>
  <c r="AZ46" i="2"/>
  <c r="AZ61" i="2"/>
  <c r="AZ59" i="2"/>
  <c r="AT54" i="2"/>
  <c r="AT52" i="2"/>
  <c r="AT16" i="2"/>
  <c r="AT69" i="2"/>
  <c r="AW14" i="2"/>
  <c r="AW35" i="2"/>
  <c r="AW62" i="2"/>
  <c r="AW43" i="2"/>
  <c r="AW4" i="2"/>
  <c r="AZ31" i="2"/>
  <c r="AT14" i="2"/>
  <c r="AZ62" i="2"/>
  <c r="AZ16" i="2"/>
  <c r="AZ20" i="2"/>
  <c r="AZ40" i="2"/>
  <c r="AZ32" i="2"/>
  <c r="AZ43" i="2"/>
  <c r="AT57" i="2"/>
  <c r="AT6" i="2"/>
  <c r="AT39" i="2"/>
  <c r="AT50" i="2"/>
  <c r="AW18" i="2"/>
  <c r="AW55" i="2"/>
  <c r="AW63" i="2"/>
  <c r="AW29" i="2"/>
  <c r="AW68" i="2"/>
  <c r="AZ11" i="2"/>
  <c r="AT31" i="2"/>
  <c r="AT55" i="2"/>
  <c r="AZ64" i="2"/>
  <c r="AZ51" i="2"/>
  <c r="AT58" i="2"/>
  <c r="AZ55" i="2"/>
  <c r="AH62" i="2"/>
  <c r="AH46" i="2"/>
  <c r="AH4" i="2"/>
  <c r="AH43" i="2"/>
  <c r="AH72" i="2"/>
  <c r="AH42" i="2"/>
  <c r="AH5" i="2"/>
  <c r="AZ30" i="2"/>
  <c r="AZ23" i="2"/>
  <c r="AZ60" i="2"/>
  <c r="AZ47" i="2"/>
  <c r="AT42" i="2"/>
  <c r="AT21" i="2"/>
  <c r="AT43" i="2"/>
  <c r="AW7" i="2"/>
  <c r="AW38" i="2"/>
  <c r="AW64" i="2"/>
  <c r="AH36" i="2"/>
  <c r="W163" i="2"/>
  <c r="W211" i="2"/>
  <c r="W105" i="2"/>
  <c r="W104" i="2"/>
  <c r="W164" i="2"/>
  <c r="W178" i="2"/>
  <c r="W177" i="2"/>
  <c r="W96" i="2"/>
  <c r="W159" i="2"/>
  <c r="W205" i="2"/>
  <c r="W111" i="2"/>
  <c r="W14" i="2"/>
  <c r="W44" i="2"/>
  <c r="W89" i="2"/>
  <c r="W88" i="2"/>
  <c r="W73" i="2"/>
  <c r="W72" i="2"/>
  <c r="W57" i="2"/>
  <c r="W56" i="2"/>
  <c r="W195" i="2"/>
  <c r="W98" i="2"/>
  <c r="W41" i="2"/>
  <c r="W40" i="2"/>
  <c r="W179" i="2"/>
  <c r="W82" i="2"/>
  <c r="W97" i="2"/>
  <c r="W32" i="2"/>
  <c r="W25" i="2"/>
  <c r="W24" i="2"/>
  <c r="W147" i="2"/>
  <c r="W66" i="2"/>
  <c r="W81" i="2"/>
  <c r="W16" i="2"/>
  <c r="W9" i="2"/>
  <c r="W113" i="2"/>
  <c r="W162" i="2"/>
  <c r="W49" i="2"/>
  <c r="W34" i="2"/>
  <c r="W193" i="2"/>
  <c r="W176" i="2"/>
  <c r="W29" i="2"/>
  <c r="W62" i="2"/>
  <c r="W28" i="2"/>
  <c r="W75" i="2"/>
  <c r="W58" i="2"/>
  <c r="W183" i="2"/>
  <c r="W22" i="2"/>
  <c r="W133" i="2"/>
  <c r="W18" i="2"/>
  <c r="W161" i="2"/>
  <c r="W160" i="2"/>
  <c r="W13" i="2"/>
  <c r="W46" i="2"/>
  <c r="W12" i="2"/>
  <c r="W59" i="2"/>
  <c r="W42" i="2"/>
  <c r="W167" i="2"/>
  <c r="W6" i="2"/>
  <c r="W117" i="2"/>
  <c r="W10" i="2"/>
  <c r="W103" i="2"/>
  <c r="W53" i="2"/>
  <c r="W37" i="2"/>
  <c r="W190" i="2"/>
  <c r="W52" i="2"/>
  <c r="W196" i="2"/>
  <c r="W145" i="2"/>
  <c r="W144" i="2"/>
  <c r="W30" i="2"/>
  <c r="W43" i="2"/>
  <c r="W26" i="2"/>
  <c r="W151" i="2"/>
  <c r="W101" i="2"/>
  <c r="W27" i="2"/>
  <c r="W85" i="2"/>
  <c r="W47" i="2"/>
  <c r="W100" i="2"/>
  <c r="W93" i="2"/>
  <c r="W122" i="2"/>
  <c r="W180" i="2"/>
  <c r="W129" i="2"/>
  <c r="W128" i="2"/>
  <c r="W135" i="2"/>
  <c r="W132" i="2"/>
  <c r="W157" i="2"/>
  <c r="W150" i="2"/>
  <c r="W65" i="2"/>
  <c r="W112" i="2"/>
  <c r="W11" i="2"/>
  <c r="W119" i="2"/>
  <c r="W69" i="2"/>
  <c r="W95" i="2"/>
  <c r="W198" i="2"/>
  <c r="W186" i="2"/>
  <c r="W68" i="2"/>
  <c r="W108" i="2"/>
  <c r="W33" i="2"/>
  <c r="W80" i="2"/>
  <c r="W148" i="2"/>
  <c r="W139" i="2"/>
  <c r="W131" i="2"/>
  <c r="W17" i="2"/>
  <c r="W64" i="2"/>
  <c r="W189" i="2"/>
  <c r="W79" i="2"/>
  <c r="W204" i="2"/>
  <c r="W87" i="2"/>
  <c r="W182" i="2"/>
  <c r="W203" i="2"/>
  <c r="W84" i="2"/>
  <c r="W210" i="2"/>
  <c r="W197" i="2"/>
  <c r="W115" i="2"/>
  <c r="W48" i="2"/>
  <c r="W173" i="2"/>
  <c r="W63" i="2"/>
  <c r="W206" i="2"/>
  <c r="W188" i="2"/>
  <c r="W202" i="2"/>
  <c r="W71" i="2"/>
  <c r="W166" i="2"/>
  <c r="W21" i="2"/>
  <c r="W116" i="2"/>
  <c r="W55" i="2"/>
  <c r="W5" i="2"/>
  <c r="W39" i="2"/>
  <c r="W127" i="2"/>
  <c r="W201" i="2"/>
  <c r="W99" i="2"/>
  <c r="W207" i="2"/>
  <c r="W172" i="2"/>
  <c r="W134" i="2"/>
  <c r="W185" i="2"/>
  <c r="W200" i="2"/>
  <c r="W83" i="2"/>
  <c r="W191" i="2"/>
  <c r="W141" i="2"/>
  <c r="W31" i="2"/>
  <c r="W174" i="2"/>
  <c r="W156" i="2"/>
  <c r="W187" i="2"/>
  <c r="W170" i="2"/>
  <c r="W36" i="2"/>
  <c r="W114" i="2"/>
  <c r="W169" i="2"/>
  <c r="W184" i="2"/>
  <c r="W67" i="2"/>
  <c r="W175" i="2"/>
  <c r="W125" i="2"/>
  <c r="W15" i="2"/>
  <c r="W158" i="2"/>
  <c r="W140" i="2"/>
  <c r="W171" i="2"/>
  <c r="W154" i="2"/>
  <c r="W23" i="2"/>
  <c r="W118" i="2"/>
  <c r="W137" i="2"/>
  <c r="W152" i="2"/>
  <c r="W50" i="2"/>
  <c r="W153" i="2"/>
  <c r="W168" i="2"/>
  <c r="W51" i="2"/>
  <c r="W143" i="2"/>
  <c r="W109" i="2"/>
  <c r="W142" i="2"/>
  <c r="W124" i="2"/>
  <c r="W155" i="2"/>
  <c r="W138" i="2"/>
  <c r="W7" i="2"/>
  <c r="W102" i="2"/>
  <c r="W35" i="2"/>
  <c r="W126" i="2"/>
  <c r="W86" i="2"/>
  <c r="W4" i="2"/>
  <c r="W121" i="2"/>
  <c r="W136" i="2"/>
  <c r="W19" i="2"/>
  <c r="W194" i="2"/>
  <c r="W77" i="2"/>
  <c r="W110" i="2"/>
  <c r="W92" i="2"/>
  <c r="W123" i="2"/>
  <c r="W106" i="2"/>
  <c r="W70" i="2"/>
  <c r="W181" i="2"/>
  <c r="W20" i="2"/>
  <c r="W94" i="2"/>
  <c r="W90" i="2"/>
  <c r="W78" i="2"/>
  <c r="W199" i="2"/>
  <c r="W61" i="2"/>
  <c r="W38" i="2"/>
  <c r="W165" i="2"/>
  <c r="W209" i="2"/>
  <c r="W149" i="2"/>
  <c r="W120" i="2"/>
  <c r="W76" i="2"/>
  <c r="W208" i="2"/>
  <c r="W54" i="2"/>
  <c r="W91" i="2"/>
  <c r="W8" i="2"/>
  <c r="W60" i="2"/>
  <c r="W130" i="2"/>
  <c r="W74" i="2"/>
  <c r="W192" i="2"/>
  <c r="W107" i="2"/>
  <c r="W146" i="2"/>
  <c r="W45" i="2"/>
  <c r="H49" i="2"/>
  <c r="H134" i="2"/>
  <c r="H24" i="2"/>
  <c r="H160" i="2"/>
  <c r="H181" i="2"/>
  <c r="H46" i="2"/>
  <c r="H207" i="2"/>
  <c r="H59" i="2"/>
  <c r="H186" i="2"/>
  <c r="H51" i="2"/>
  <c r="H130" i="2"/>
  <c r="H177" i="2"/>
  <c r="H118" i="2"/>
  <c r="H199" i="2"/>
  <c r="H149" i="2"/>
  <c r="H144" i="2"/>
  <c r="H30" i="2"/>
  <c r="H143" i="2"/>
  <c r="H43" i="2"/>
  <c r="H170" i="2"/>
  <c r="H35" i="2"/>
  <c r="H114" i="2"/>
  <c r="H161" i="2"/>
  <c r="H102" i="2"/>
  <c r="H72" i="2"/>
  <c r="H85" i="2"/>
  <c r="H133" i="2"/>
  <c r="H37" i="2"/>
  <c r="H128" i="2"/>
  <c r="H175" i="2"/>
  <c r="H14" i="2"/>
  <c r="H95" i="2"/>
  <c r="H27" i="2"/>
  <c r="H154" i="2"/>
  <c r="H169" i="2"/>
  <c r="H86" i="2"/>
  <c r="H5" i="2"/>
  <c r="H21" i="2"/>
  <c r="H112" i="2"/>
  <c r="H127" i="2"/>
  <c r="H190" i="2"/>
  <c r="H47" i="2"/>
  <c r="H11" i="2"/>
  <c r="H138" i="2"/>
  <c r="H153" i="2"/>
  <c r="H196" i="2"/>
  <c r="H82" i="2"/>
  <c r="H129" i="2"/>
  <c r="H70" i="2"/>
  <c r="H96" i="2"/>
  <c r="H63" i="2"/>
  <c r="H104" i="2"/>
  <c r="H126" i="2"/>
  <c r="H205" i="2"/>
  <c r="H200" i="2"/>
  <c r="H122" i="2"/>
  <c r="H137" i="2"/>
  <c r="H180" i="2"/>
  <c r="H66" i="2"/>
  <c r="H113" i="2"/>
  <c r="H173" i="2"/>
  <c r="H135" i="2"/>
  <c r="H54" i="2"/>
  <c r="H71" i="2"/>
  <c r="H80" i="2"/>
  <c r="H189" i="2"/>
  <c r="H56" i="2"/>
  <c r="H106" i="2"/>
  <c r="H121" i="2"/>
  <c r="H164" i="2"/>
  <c r="H34" i="2"/>
  <c r="H97" i="2"/>
  <c r="H157" i="2"/>
  <c r="H55" i="2"/>
  <c r="H38" i="2"/>
  <c r="H165" i="2"/>
  <c r="H90" i="2"/>
  <c r="H105" i="2"/>
  <c r="H39" i="2"/>
  <c r="H22" i="2"/>
  <c r="H168" i="2"/>
  <c r="H53" i="2"/>
  <c r="H103" i="2"/>
  <c r="H31" i="2"/>
  <c r="H23" i="2"/>
  <c r="H6" i="2"/>
  <c r="H40" i="2"/>
  <c r="H117" i="2"/>
  <c r="H206" i="2"/>
  <c r="H167" i="2"/>
  <c r="H203" i="2"/>
  <c r="H58" i="2"/>
  <c r="H73" i="2"/>
  <c r="H172" i="2"/>
  <c r="H7" i="2"/>
  <c r="H174" i="2"/>
  <c r="H204" i="2"/>
  <c r="H101" i="2"/>
  <c r="H171" i="2"/>
  <c r="H42" i="2"/>
  <c r="H57" i="2"/>
  <c r="H158" i="2"/>
  <c r="H191" i="2"/>
  <c r="H188" i="2"/>
  <c r="H87" i="2"/>
  <c r="H151" i="2"/>
  <c r="H210" i="2"/>
  <c r="H182" i="2"/>
  <c r="H201" i="2"/>
  <c r="H208" i="2"/>
  <c r="H185" i="2"/>
  <c r="H94" i="2"/>
  <c r="H79" i="2"/>
  <c r="H183" i="2"/>
  <c r="H124" i="2"/>
  <c r="H107" i="2"/>
  <c r="H184" i="2"/>
  <c r="H120" i="2"/>
  <c r="H20" i="2"/>
  <c r="H131" i="2"/>
  <c r="H81" i="2"/>
  <c r="H44" i="2"/>
  <c r="H50" i="2"/>
  <c r="H8" i="2"/>
  <c r="H115" i="2"/>
  <c r="H65" i="2"/>
  <c r="H28" i="2"/>
  <c r="H187" i="2"/>
  <c r="H152" i="2"/>
  <c r="H4" i="2"/>
  <c r="H99" i="2"/>
  <c r="H33" i="2"/>
  <c r="H12" i="2"/>
  <c r="H156" i="2"/>
  <c r="H119" i="2"/>
  <c r="H83" i="2"/>
  <c r="H17" i="2"/>
  <c r="H64" i="2"/>
  <c r="H142" i="2"/>
  <c r="H67" i="2"/>
  <c r="H194" i="2"/>
  <c r="H48" i="2"/>
  <c r="H211" i="2"/>
  <c r="H25" i="2"/>
  <c r="H100" i="2"/>
  <c r="H198" i="2"/>
  <c r="H110" i="2"/>
  <c r="H19" i="2"/>
  <c r="H178" i="2"/>
  <c r="H32" i="2"/>
  <c r="H141" i="2"/>
  <c r="H195" i="2"/>
  <c r="H166" i="2"/>
  <c r="H136" i="2"/>
  <c r="H78" i="2"/>
  <c r="H162" i="2"/>
  <c r="H16" i="2"/>
  <c r="H125" i="2"/>
  <c r="H150" i="2"/>
  <c r="H62" i="2"/>
  <c r="H155" i="2"/>
  <c r="H202" i="2"/>
  <c r="H146" i="2"/>
  <c r="H109" i="2"/>
  <c r="H15" i="2"/>
  <c r="H108" i="2"/>
  <c r="H192" i="2"/>
  <c r="H88" i="2"/>
  <c r="H139" i="2"/>
  <c r="H74" i="2"/>
  <c r="H98" i="2"/>
  <c r="H93" i="2"/>
  <c r="H176" i="2"/>
  <c r="H123" i="2"/>
  <c r="H26" i="2"/>
  <c r="H148" i="2"/>
  <c r="H18" i="2"/>
  <c r="H77" i="2"/>
  <c r="H197" i="2"/>
  <c r="H91" i="2"/>
  <c r="H10" i="2"/>
  <c r="H89" i="2"/>
  <c r="H132" i="2"/>
  <c r="H61" i="2"/>
  <c r="H69" i="2"/>
  <c r="H75" i="2"/>
  <c r="H41" i="2"/>
  <c r="H116" i="2"/>
  <c r="H45" i="2"/>
  <c r="H29" i="2"/>
  <c r="H68" i="2"/>
  <c r="H140" i="2"/>
  <c r="H9" i="2"/>
  <c r="H84" i="2"/>
  <c r="H179" i="2"/>
  <c r="H209" i="2"/>
  <c r="H13" i="2"/>
  <c r="H92" i="2"/>
  <c r="H52" i="2"/>
  <c r="H76" i="2"/>
  <c r="H145" i="2"/>
  <c r="H60" i="2"/>
  <c r="H193" i="2"/>
  <c r="H147" i="2"/>
  <c r="H36" i="2"/>
  <c r="H159" i="2"/>
  <c r="H163" i="2"/>
  <c r="H111" i="2"/>
  <c r="K71" i="2"/>
  <c r="K109" i="2"/>
  <c r="K92" i="2"/>
  <c r="K26" i="2"/>
  <c r="K14" i="2"/>
  <c r="K62" i="2"/>
  <c r="K36" i="2"/>
  <c r="K114" i="2"/>
  <c r="K17" i="2"/>
  <c r="K144" i="2"/>
  <c r="K159" i="2"/>
  <c r="K41" i="2"/>
  <c r="K104" i="2"/>
  <c r="K119" i="2"/>
  <c r="K166" i="2"/>
  <c r="K195" i="2"/>
  <c r="K66" i="2"/>
  <c r="K93" i="2"/>
  <c r="K76" i="2"/>
  <c r="K46" i="2"/>
  <c r="K187" i="2"/>
  <c r="K50" i="2"/>
  <c r="K128" i="2"/>
  <c r="K143" i="2"/>
  <c r="K202" i="2"/>
  <c r="K25" i="2"/>
  <c r="K88" i="2"/>
  <c r="K103" i="2"/>
  <c r="K150" i="2"/>
  <c r="K77" i="2"/>
  <c r="K60" i="2"/>
  <c r="K197" i="2"/>
  <c r="K112" i="2"/>
  <c r="K127" i="2"/>
  <c r="K61" i="2"/>
  <c r="K44" i="2"/>
  <c r="K158" i="2"/>
  <c r="K155" i="2"/>
  <c r="K181" i="2"/>
  <c r="K96" i="2"/>
  <c r="K111" i="2"/>
  <c r="K170" i="2"/>
  <c r="K56" i="2"/>
  <c r="K55" i="2"/>
  <c r="K102" i="2"/>
  <c r="K45" i="2"/>
  <c r="K28" i="2"/>
  <c r="K75" i="2"/>
  <c r="K123" i="2"/>
  <c r="K43" i="2"/>
  <c r="K209" i="2"/>
  <c r="K80" i="2"/>
  <c r="K95" i="2"/>
  <c r="K154" i="2"/>
  <c r="K40" i="2"/>
  <c r="K39" i="2"/>
  <c r="K86" i="2"/>
  <c r="K149" i="2"/>
  <c r="K131" i="2"/>
  <c r="K29" i="2"/>
  <c r="K12" i="2"/>
  <c r="K11" i="2"/>
  <c r="K27" i="2"/>
  <c r="K174" i="2"/>
  <c r="K193" i="2"/>
  <c r="K64" i="2"/>
  <c r="K79" i="2"/>
  <c r="K138" i="2"/>
  <c r="K4" i="2"/>
  <c r="K24" i="2"/>
  <c r="K23" i="2"/>
  <c r="K54" i="2"/>
  <c r="K133" i="2"/>
  <c r="K91" i="2"/>
  <c r="K13" i="2"/>
  <c r="K198" i="2"/>
  <c r="K196" i="2"/>
  <c r="K142" i="2"/>
  <c r="K177" i="2"/>
  <c r="K48" i="2"/>
  <c r="K63" i="2"/>
  <c r="K134" i="2"/>
  <c r="K180" i="2"/>
  <c r="K203" i="2"/>
  <c r="K70" i="2"/>
  <c r="K164" i="2"/>
  <c r="K145" i="2"/>
  <c r="K16" i="2"/>
  <c r="K31" i="2"/>
  <c r="K204" i="2"/>
  <c r="K126" i="2"/>
  <c r="K59" i="2"/>
  <c r="K148" i="2"/>
  <c r="K107" i="2"/>
  <c r="K129" i="2"/>
  <c r="K15" i="2"/>
  <c r="K205" i="2"/>
  <c r="K110" i="2"/>
  <c r="K188" i="2"/>
  <c r="K132" i="2"/>
  <c r="K189" i="2"/>
  <c r="K172" i="2"/>
  <c r="K157" i="2"/>
  <c r="K140" i="2"/>
  <c r="K135" i="2"/>
  <c r="K78" i="2"/>
  <c r="K84" i="2"/>
  <c r="K65" i="2"/>
  <c r="K192" i="2"/>
  <c r="K207" i="2"/>
  <c r="K30" i="2"/>
  <c r="K49" i="2"/>
  <c r="K47" i="2"/>
  <c r="K73" i="2"/>
  <c r="K152" i="2"/>
  <c r="K69" i="2"/>
  <c r="K163" i="2"/>
  <c r="K171" i="2"/>
  <c r="K33" i="2"/>
  <c r="K57" i="2"/>
  <c r="K136" i="2"/>
  <c r="K53" i="2"/>
  <c r="K20" i="2"/>
  <c r="K147" i="2"/>
  <c r="K161" i="2"/>
  <c r="K137" i="2"/>
  <c r="K165" i="2"/>
  <c r="K173" i="2"/>
  <c r="K9" i="2"/>
  <c r="K120" i="2"/>
  <c r="K37" i="2"/>
  <c r="K115" i="2"/>
  <c r="K141" i="2"/>
  <c r="K206" i="2"/>
  <c r="K72" i="2"/>
  <c r="K21" i="2"/>
  <c r="K99" i="2"/>
  <c r="K210" i="2"/>
  <c r="K38" i="2"/>
  <c r="K97" i="2"/>
  <c r="K125" i="2"/>
  <c r="K199" i="2"/>
  <c r="K186" i="2"/>
  <c r="K8" i="2"/>
  <c r="K5" i="2"/>
  <c r="K83" i="2"/>
  <c r="K194" i="2"/>
  <c r="K67" i="2"/>
  <c r="K122" i="2"/>
  <c r="K162" i="2"/>
  <c r="K190" i="2"/>
  <c r="K106" i="2"/>
  <c r="K51" i="2"/>
  <c r="K146" i="2"/>
  <c r="K191" i="2"/>
  <c r="K90" i="2"/>
  <c r="K183" i="2"/>
  <c r="K35" i="2"/>
  <c r="K130" i="2"/>
  <c r="K19" i="2"/>
  <c r="K156" i="2"/>
  <c r="K74" i="2"/>
  <c r="K201" i="2"/>
  <c r="K167" i="2"/>
  <c r="K98" i="2"/>
  <c r="K124" i="2"/>
  <c r="K94" i="2"/>
  <c r="K58" i="2"/>
  <c r="K185" i="2"/>
  <c r="K151" i="2"/>
  <c r="K82" i="2"/>
  <c r="K68" i="2"/>
  <c r="K108" i="2"/>
  <c r="K116" i="2"/>
  <c r="K42" i="2"/>
  <c r="K169" i="2"/>
  <c r="K87" i="2"/>
  <c r="K182" i="2"/>
  <c r="K34" i="2"/>
  <c r="K100" i="2"/>
  <c r="K139" i="2"/>
  <c r="K208" i="2"/>
  <c r="K10" i="2"/>
  <c r="K153" i="2"/>
  <c r="K7" i="2"/>
  <c r="K118" i="2"/>
  <c r="K18" i="2"/>
  <c r="K176" i="2"/>
  <c r="K52" i="2"/>
  <c r="K113" i="2"/>
  <c r="K160" i="2"/>
  <c r="K121" i="2"/>
  <c r="K200" i="2"/>
  <c r="K22" i="2"/>
  <c r="K117" i="2"/>
  <c r="K175" i="2"/>
  <c r="K179" i="2"/>
  <c r="K184" i="2"/>
  <c r="K32" i="2"/>
  <c r="K105" i="2"/>
  <c r="K6" i="2"/>
  <c r="K168" i="2"/>
  <c r="K89" i="2"/>
  <c r="K211" i="2"/>
  <c r="K101" i="2"/>
  <c r="K178" i="2"/>
  <c r="K81" i="2"/>
  <c r="K85" i="2"/>
  <c r="Z65" i="2"/>
  <c r="Z129" i="2"/>
  <c r="Z66" i="2"/>
  <c r="Z130" i="2"/>
  <c r="Z194" i="2"/>
  <c r="Z56" i="2"/>
  <c r="Z162" i="2"/>
  <c r="Z49" i="2"/>
  <c r="Z96" i="2"/>
  <c r="Z47" i="2"/>
  <c r="Z62" i="2"/>
  <c r="Z124" i="2"/>
  <c r="Z40" i="2"/>
  <c r="Z211" i="2"/>
  <c r="Z146" i="2"/>
  <c r="Z24" i="2"/>
  <c r="Z4" i="2"/>
  <c r="Z8" i="2"/>
  <c r="Z179" i="2"/>
  <c r="Z98" i="2"/>
  <c r="Z163" i="2"/>
  <c r="Z82" i="2"/>
  <c r="Z32" i="2"/>
  <c r="Z147" i="2"/>
  <c r="Z50" i="2"/>
  <c r="Z16" i="2"/>
  <c r="Z184" i="2"/>
  <c r="Z183" i="2"/>
  <c r="Z152" i="2"/>
  <c r="Z199" i="2"/>
  <c r="Z114" i="2"/>
  <c r="Z48" i="2"/>
  <c r="Z79" i="2"/>
  <c r="Z126" i="2"/>
  <c r="Z156" i="2"/>
  <c r="Z26" i="2"/>
  <c r="Z9" i="2"/>
  <c r="Z134" i="2"/>
  <c r="Z84" i="2"/>
  <c r="Z198" i="2"/>
  <c r="Z136" i="2"/>
  <c r="Z167" i="2"/>
  <c r="Z34" i="2"/>
  <c r="Z63" i="2"/>
  <c r="Z110" i="2"/>
  <c r="Z140" i="2"/>
  <c r="Z10" i="2"/>
  <c r="Z55" i="2"/>
  <c r="Z118" i="2"/>
  <c r="Z68" i="2"/>
  <c r="Z30" i="2"/>
  <c r="Z196" i="2"/>
  <c r="Z43" i="2"/>
  <c r="Z120" i="2"/>
  <c r="Z151" i="2"/>
  <c r="Z18" i="2"/>
  <c r="Z209" i="2"/>
  <c r="Z31" i="2"/>
  <c r="Z204" i="2"/>
  <c r="Z94" i="2"/>
  <c r="Z108" i="2"/>
  <c r="Z203" i="2"/>
  <c r="Z39" i="2"/>
  <c r="Z102" i="2"/>
  <c r="Z197" i="2"/>
  <c r="Z52" i="2"/>
  <c r="Z23" i="2"/>
  <c r="Z86" i="2"/>
  <c r="Z181" i="2"/>
  <c r="Z60" i="2"/>
  <c r="Z202" i="2"/>
  <c r="Z54" i="2"/>
  <c r="Z137" i="2"/>
  <c r="Z180" i="2"/>
  <c r="Z148" i="2"/>
  <c r="Z104" i="2"/>
  <c r="Z135" i="2"/>
  <c r="Z193" i="2"/>
  <c r="Z15" i="2"/>
  <c r="Z188" i="2"/>
  <c r="Z78" i="2"/>
  <c r="Z205" i="2"/>
  <c r="Z92" i="2"/>
  <c r="Z187" i="2"/>
  <c r="Z36" i="2"/>
  <c r="Z149" i="2"/>
  <c r="Z85" i="2"/>
  <c r="Z88" i="2"/>
  <c r="Z119" i="2"/>
  <c r="Z195" i="2"/>
  <c r="Z177" i="2"/>
  <c r="Z172" i="2"/>
  <c r="Z46" i="2"/>
  <c r="Z189" i="2"/>
  <c r="Z76" i="2"/>
  <c r="Z171" i="2"/>
  <c r="Z201" i="2"/>
  <c r="Z7" i="2"/>
  <c r="Z70" i="2"/>
  <c r="Z165" i="2"/>
  <c r="Z20" i="2"/>
  <c r="Z185" i="2"/>
  <c r="Z19" i="2"/>
  <c r="Z128" i="2"/>
  <c r="Z72" i="2"/>
  <c r="Z103" i="2"/>
  <c r="Z131" i="2"/>
  <c r="Z161" i="2"/>
  <c r="Z173" i="2"/>
  <c r="Z155" i="2"/>
  <c r="Z6" i="2"/>
  <c r="Z87" i="2"/>
  <c r="Z115" i="2"/>
  <c r="Z145" i="2"/>
  <c r="Z14" i="2"/>
  <c r="Z157" i="2"/>
  <c r="Z44" i="2"/>
  <c r="Z139" i="2"/>
  <c r="Z186" i="2"/>
  <c r="Z169" i="2"/>
  <c r="Z38" i="2"/>
  <c r="Z133" i="2"/>
  <c r="Z12" i="2"/>
  <c r="Z101" i="2"/>
  <c r="Z71" i="2"/>
  <c r="Z99" i="2"/>
  <c r="Z113" i="2"/>
  <c r="Z208" i="2"/>
  <c r="Z141" i="2"/>
  <c r="Z28" i="2"/>
  <c r="Z123" i="2"/>
  <c r="Z170" i="2"/>
  <c r="Z153" i="2"/>
  <c r="Z22" i="2"/>
  <c r="Z117" i="2"/>
  <c r="Z125" i="2"/>
  <c r="Z107" i="2"/>
  <c r="Z90" i="2"/>
  <c r="Z83" i="2"/>
  <c r="Z97" i="2"/>
  <c r="Z192" i="2"/>
  <c r="Z207" i="2"/>
  <c r="Z154" i="2"/>
  <c r="Z61" i="2"/>
  <c r="Z37" i="2"/>
  <c r="Z200" i="2"/>
  <c r="Z67" i="2"/>
  <c r="Z81" i="2"/>
  <c r="Z176" i="2"/>
  <c r="Z191" i="2"/>
  <c r="Z109" i="2"/>
  <c r="Z91" i="2"/>
  <c r="Z138" i="2"/>
  <c r="Z121" i="2"/>
  <c r="Z143" i="2"/>
  <c r="Z190" i="2"/>
  <c r="Z73" i="2"/>
  <c r="Z51" i="2"/>
  <c r="Z33" i="2"/>
  <c r="Z160" i="2"/>
  <c r="Z175" i="2"/>
  <c r="Z93" i="2"/>
  <c r="Z75" i="2"/>
  <c r="Z122" i="2"/>
  <c r="Z105" i="2"/>
  <c r="Z69" i="2"/>
  <c r="Z35" i="2"/>
  <c r="Z17" i="2"/>
  <c r="Z144" i="2"/>
  <c r="Z159" i="2"/>
  <c r="Z206" i="2"/>
  <c r="Z77" i="2"/>
  <c r="Z59" i="2"/>
  <c r="Z106" i="2"/>
  <c r="Z89" i="2"/>
  <c r="Z53" i="2"/>
  <c r="Z164" i="2"/>
  <c r="Z112" i="2"/>
  <c r="Z127" i="2"/>
  <c r="Z174" i="2"/>
  <c r="Z45" i="2"/>
  <c r="Z27" i="2"/>
  <c r="Z74" i="2"/>
  <c r="Z57" i="2"/>
  <c r="Z182" i="2"/>
  <c r="Z21" i="2"/>
  <c r="Z132" i="2"/>
  <c r="Z41" i="2"/>
  <c r="Z95" i="2"/>
  <c r="Z25" i="2"/>
  <c r="Z29" i="2"/>
  <c r="Z168" i="2"/>
  <c r="Z13" i="2"/>
  <c r="Z5" i="2"/>
  <c r="Z116" i="2"/>
  <c r="Z210" i="2"/>
  <c r="Z80" i="2"/>
  <c r="Z166" i="2"/>
  <c r="Z111" i="2"/>
  <c r="Z178" i="2"/>
  <c r="Z64" i="2"/>
  <c r="Z150" i="2"/>
  <c r="Z42" i="2"/>
  <c r="Z58" i="2"/>
  <c r="Z11" i="2"/>
  <c r="Z100" i="2"/>
  <c r="Z158" i="2"/>
  <c r="Z142" i="2"/>
  <c r="E31" i="2"/>
  <c r="E13" i="2"/>
  <c r="E54" i="2"/>
  <c r="E73" i="2"/>
  <c r="E92" i="2"/>
  <c r="E131" i="2"/>
  <c r="E152" i="2"/>
  <c r="E171" i="2"/>
  <c r="E110" i="2"/>
  <c r="E55" i="2"/>
  <c r="E74" i="2"/>
  <c r="E153" i="2"/>
  <c r="E9" i="2"/>
  <c r="E129" i="2"/>
  <c r="E15" i="2"/>
  <c r="E59" i="2"/>
  <c r="E138" i="2"/>
  <c r="E186" i="2"/>
  <c r="E189" i="2"/>
  <c r="E95" i="2"/>
  <c r="E39" i="2"/>
  <c r="E195" i="2"/>
  <c r="E40" i="2"/>
  <c r="E119" i="2"/>
  <c r="E87" i="2"/>
  <c r="E89" i="2"/>
  <c r="E71" i="2"/>
  <c r="E72" i="2"/>
  <c r="E17" i="2"/>
  <c r="E58" i="2"/>
  <c r="E137" i="2"/>
  <c r="E19" i="2"/>
  <c r="E28" i="2"/>
  <c r="E168" i="2"/>
  <c r="E30" i="2"/>
  <c r="E150" i="2"/>
  <c r="E151" i="2"/>
  <c r="E79" i="2"/>
  <c r="E120" i="2"/>
  <c r="E8" i="2"/>
  <c r="E106" i="2"/>
  <c r="E47" i="2"/>
  <c r="E185" i="2"/>
  <c r="E88" i="2"/>
  <c r="E24" i="2"/>
  <c r="E122" i="2"/>
  <c r="E67" i="2"/>
  <c r="E10" i="2"/>
  <c r="E147" i="2"/>
  <c r="E11" i="2"/>
  <c r="E188" i="2"/>
  <c r="E170" i="2"/>
  <c r="E63" i="2"/>
  <c r="E26" i="2"/>
  <c r="E163" i="2"/>
  <c r="E27" i="2"/>
  <c r="E167" i="2"/>
  <c r="E70" i="2"/>
  <c r="E49" i="2"/>
  <c r="E169" i="2"/>
  <c r="E91" i="2"/>
  <c r="E7" i="2"/>
  <c r="E184" i="2"/>
  <c r="E108" i="2"/>
  <c r="E109" i="2"/>
  <c r="E51" i="2"/>
  <c r="E107" i="2"/>
  <c r="E187" i="2"/>
  <c r="E90" i="2"/>
  <c r="E12" i="2"/>
  <c r="E29" i="2"/>
  <c r="E97" i="2"/>
  <c r="E192" i="2"/>
  <c r="E96" i="2"/>
  <c r="E75" i="2"/>
  <c r="E65" i="2"/>
  <c r="E23" i="2"/>
  <c r="E155" i="2"/>
  <c r="E117" i="2"/>
  <c r="E68" i="2"/>
  <c r="E130" i="2"/>
  <c r="E179" i="2"/>
  <c r="E16" i="2"/>
  <c r="E159" i="2"/>
  <c r="E201" i="2"/>
  <c r="E176" i="2"/>
  <c r="E198" i="2"/>
  <c r="E199" i="2"/>
  <c r="E69" i="2"/>
  <c r="E52" i="2"/>
  <c r="E114" i="2"/>
  <c r="E115" i="2"/>
  <c r="E143" i="2"/>
  <c r="E94" i="2"/>
  <c r="E121" i="2"/>
  <c r="E64" i="2"/>
  <c r="E166" i="2"/>
  <c r="E103" i="2"/>
  <c r="E37" i="2"/>
  <c r="E36" i="2"/>
  <c r="E98" i="2"/>
  <c r="E99" i="2"/>
  <c r="E78" i="2"/>
  <c r="E77" i="2"/>
  <c r="E105" i="2"/>
  <c r="E173" i="2"/>
  <c r="E134" i="2"/>
  <c r="E182" i="2"/>
  <c r="E20" i="2"/>
  <c r="E82" i="2"/>
  <c r="E83" i="2"/>
  <c r="E204" i="2"/>
  <c r="E140" i="2"/>
  <c r="E57" i="2"/>
  <c r="E203" i="2"/>
  <c r="E118" i="2"/>
  <c r="E38" i="2"/>
  <c r="E181" i="2"/>
  <c r="E66" i="2"/>
  <c r="E35" i="2"/>
  <c r="E76" i="2"/>
  <c r="E202" i="2"/>
  <c r="E41" i="2"/>
  <c r="E135" i="2"/>
  <c r="E102" i="2"/>
  <c r="E165" i="2"/>
  <c r="E4" i="2"/>
  <c r="E133" i="2"/>
  <c r="E50" i="2"/>
  <c r="E111" i="2"/>
  <c r="E60" i="2"/>
  <c r="E154" i="2"/>
  <c r="E25" i="2"/>
  <c r="E86" i="2"/>
  <c r="E101" i="2"/>
  <c r="E85" i="2"/>
  <c r="E34" i="2"/>
  <c r="E128" i="2"/>
  <c r="E44" i="2"/>
  <c r="E42" i="2"/>
  <c r="E14" i="2"/>
  <c r="E81" i="2"/>
  <c r="E22" i="2"/>
  <c r="E53" i="2"/>
  <c r="E5" i="2"/>
  <c r="E126" i="2"/>
  <c r="E113" i="2"/>
  <c r="E161" i="2"/>
  <c r="E61" i="2"/>
  <c r="E6" i="2"/>
  <c r="E21" i="2"/>
  <c r="E196" i="2"/>
  <c r="E160" i="2"/>
  <c r="E33" i="2"/>
  <c r="E172" i="2"/>
  <c r="E112" i="2"/>
  <c r="E193" i="2"/>
  <c r="E180" i="2"/>
  <c r="E177" i="2"/>
  <c r="E48" i="2"/>
  <c r="E80" i="2"/>
  <c r="E123" i="2"/>
  <c r="E158" i="2"/>
  <c r="E208" i="2"/>
  <c r="E164" i="2"/>
  <c r="E127" i="2"/>
  <c r="E175" i="2"/>
  <c r="E191" i="2"/>
  <c r="E200" i="2"/>
  <c r="E205" i="2"/>
  <c r="E144" i="2"/>
  <c r="E62" i="2"/>
  <c r="E141" i="2"/>
  <c r="E46" i="2"/>
  <c r="E104" i="2"/>
  <c r="E124" i="2"/>
  <c r="E207" i="2"/>
  <c r="E116" i="2"/>
  <c r="E178" i="2"/>
  <c r="E142" i="2"/>
  <c r="E190" i="2"/>
  <c r="E197" i="2"/>
  <c r="E45" i="2"/>
  <c r="E125" i="2"/>
  <c r="E149" i="2"/>
  <c r="E210" i="2"/>
  <c r="E174" i="2"/>
  <c r="E194" i="2"/>
  <c r="E43" i="2"/>
  <c r="E148" i="2"/>
  <c r="E162" i="2"/>
  <c r="E145" i="2"/>
  <c r="E132" i="2"/>
  <c r="E146" i="2"/>
  <c r="E206" i="2"/>
  <c r="E100" i="2"/>
  <c r="E18" i="2"/>
  <c r="E157" i="2"/>
  <c r="E84" i="2"/>
  <c r="E156" i="2"/>
  <c r="E93" i="2"/>
  <c r="E136" i="2"/>
  <c r="E56" i="2"/>
  <c r="E209" i="2"/>
  <c r="E139" i="2"/>
  <c r="E183" i="2"/>
  <c r="E32" i="2"/>
  <c r="Q46" i="2"/>
  <c r="Q61" i="2"/>
  <c r="Q203" i="2"/>
  <c r="Q202" i="2"/>
  <c r="Q88" i="2"/>
  <c r="Q183" i="2"/>
  <c r="Q6" i="2"/>
  <c r="Q36" i="2"/>
  <c r="Q67" i="2"/>
  <c r="Q33" i="2"/>
  <c r="Q176" i="2"/>
  <c r="Q47" i="2"/>
  <c r="Q184" i="2"/>
  <c r="Q30" i="2"/>
  <c r="Q45" i="2"/>
  <c r="Q204" i="2"/>
  <c r="Q187" i="2"/>
  <c r="Q186" i="2"/>
  <c r="Q72" i="2"/>
  <c r="Q167" i="2"/>
  <c r="Q29" i="2"/>
  <c r="Q188" i="2"/>
  <c r="Q171" i="2"/>
  <c r="Q170" i="2"/>
  <c r="Q98" i="2"/>
  <c r="Q144" i="2"/>
  <c r="Q13" i="2"/>
  <c r="Q172" i="2"/>
  <c r="Q155" i="2"/>
  <c r="Q154" i="2"/>
  <c r="Q40" i="2"/>
  <c r="Q135" i="2"/>
  <c r="Q156" i="2"/>
  <c r="Q139" i="2"/>
  <c r="Q138" i="2"/>
  <c r="Q24" i="2"/>
  <c r="Q119" i="2"/>
  <c r="Q198" i="2"/>
  <c r="Q178" i="2"/>
  <c r="Q99" i="2"/>
  <c r="Q140" i="2"/>
  <c r="Q123" i="2"/>
  <c r="Q122" i="2"/>
  <c r="Q8" i="2"/>
  <c r="Q103" i="2"/>
  <c r="Q182" i="2"/>
  <c r="Q162" i="2"/>
  <c r="Q51" i="2"/>
  <c r="Q206" i="2"/>
  <c r="Q124" i="2"/>
  <c r="Q107" i="2"/>
  <c r="Q106" i="2"/>
  <c r="Q201" i="2"/>
  <c r="Q174" i="2"/>
  <c r="Q189" i="2"/>
  <c r="Q92" i="2"/>
  <c r="Q75" i="2"/>
  <c r="Q74" i="2"/>
  <c r="Q137" i="2"/>
  <c r="Q169" i="2"/>
  <c r="Q145" i="2"/>
  <c r="Q158" i="2"/>
  <c r="Q173" i="2"/>
  <c r="Q76" i="2"/>
  <c r="Q9" i="2"/>
  <c r="Q121" i="2"/>
  <c r="Q153" i="2"/>
  <c r="Q41" i="2"/>
  <c r="Q73" i="2"/>
  <c r="Q105" i="2"/>
  <c r="Q185" i="2"/>
  <c r="Q94" i="2"/>
  <c r="Q109" i="2"/>
  <c r="Q12" i="2"/>
  <c r="Q59" i="2"/>
  <c r="Q42" i="2"/>
  <c r="Q55" i="2"/>
  <c r="Q150" i="2"/>
  <c r="Q68" i="2"/>
  <c r="Q147" i="2"/>
  <c r="Q114" i="2"/>
  <c r="Q32" i="2"/>
  <c r="Q175" i="2"/>
  <c r="Q165" i="2"/>
  <c r="Q43" i="2"/>
  <c r="Q26" i="2"/>
  <c r="Q39" i="2"/>
  <c r="Q134" i="2"/>
  <c r="Q52" i="2"/>
  <c r="Q131" i="2"/>
  <c r="Q82" i="2"/>
  <c r="Q16" i="2"/>
  <c r="Q159" i="2"/>
  <c r="Q149" i="2"/>
  <c r="Q117" i="2"/>
  <c r="Q17" i="2"/>
  <c r="Q108" i="2"/>
  <c r="Q27" i="2"/>
  <c r="Q10" i="2"/>
  <c r="Q23" i="2"/>
  <c r="Q118" i="2"/>
  <c r="Q20" i="2"/>
  <c r="Q115" i="2"/>
  <c r="Q66" i="2"/>
  <c r="Q209" i="2"/>
  <c r="Q143" i="2"/>
  <c r="Q133" i="2"/>
  <c r="Q69" i="2"/>
  <c r="Q60" i="2"/>
  <c r="Q11" i="2"/>
  <c r="Q7" i="2"/>
  <c r="Q102" i="2"/>
  <c r="Q83" i="2"/>
  <c r="Q50" i="2"/>
  <c r="Q193" i="2"/>
  <c r="Q127" i="2"/>
  <c r="Q25" i="2"/>
  <c r="Q96" i="2"/>
  <c r="Q191" i="2"/>
  <c r="Q190" i="2"/>
  <c r="Q44" i="2"/>
  <c r="Q200" i="2"/>
  <c r="Q86" i="2"/>
  <c r="Q4" i="2"/>
  <c r="Q35" i="2"/>
  <c r="Q34" i="2"/>
  <c r="Q177" i="2"/>
  <c r="Q111" i="2"/>
  <c r="Q101" i="2"/>
  <c r="Q85" i="2"/>
  <c r="Q192" i="2"/>
  <c r="Q37" i="2"/>
  <c r="Q63" i="2"/>
  <c r="Q142" i="2"/>
  <c r="Q28" i="2"/>
  <c r="Q168" i="2"/>
  <c r="Q70" i="2"/>
  <c r="Q19" i="2"/>
  <c r="Q18" i="2"/>
  <c r="Q161" i="2"/>
  <c r="Q95" i="2"/>
  <c r="Q15" i="2"/>
  <c r="Q210" i="2"/>
  <c r="Q126" i="2"/>
  <c r="Q205" i="2"/>
  <c r="Q152" i="2"/>
  <c r="Q54" i="2"/>
  <c r="Q129" i="2"/>
  <c r="Q79" i="2"/>
  <c r="Q199" i="2"/>
  <c r="Q57" i="2"/>
  <c r="Q110" i="2"/>
  <c r="Q157" i="2"/>
  <c r="Q136" i="2"/>
  <c r="Q38" i="2"/>
  <c r="Q113" i="2"/>
  <c r="Q208" i="2"/>
  <c r="Q31" i="2"/>
  <c r="Q53" i="2"/>
  <c r="Q21" i="2"/>
  <c r="Q132" i="2"/>
  <c r="Q78" i="2"/>
  <c r="Q141" i="2"/>
  <c r="Q120" i="2"/>
  <c r="Q22" i="2"/>
  <c r="Q196" i="2"/>
  <c r="Q97" i="2"/>
  <c r="Q211" i="2"/>
  <c r="Q62" i="2"/>
  <c r="Q125" i="2"/>
  <c r="Q104" i="2"/>
  <c r="Q180" i="2"/>
  <c r="Q81" i="2"/>
  <c r="Q160" i="2"/>
  <c r="Q14" i="2"/>
  <c r="Q93" i="2"/>
  <c r="Q56" i="2"/>
  <c r="Q164" i="2"/>
  <c r="Q65" i="2"/>
  <c r="Q128" i="2"/>
  <c r="Q5" i="2"/>
  <c r="Q77" i="2"/>
  <c r="Q148" i="2"/>
  <c r="Q49" i="2"/>
  <c r="Q112" i="2"/>
  <c r="Q151" i="2"/>
  <c r="Q116" i="2"/>
  <c r="Q195" i="2"/>
  <c r="Q194" i="2"/>
  <c r="Q80" i="2"/>
  <c r="Q179" i="2"/>
  <c r="Q197" i="2"/>
  <c r="Q163" i="2"/>
  <c r="Q181" i="2"/>
  <c r="Q207" i="2"/>
  <c r="Q166" i="2"/>
  <c r="Q91" i="2"/>
  <c r="Q89" i="2"/>
  <c r="Q90" i="2"/>
  <c r="Q87" i="2"/>
  <c r="Q58" i="2"/>
  <c r="Q71" i="2"/>
  <c r="Q146" i="2"/>
  <c r="Q64" i="2"/>
  <c r="Q130" i="2"/>
  <c r="Q48" i="2"/>
  <c r="Q100" i="2"/>
  <c r="Q84" i="2"/>
  <c r="T15" i="2"/>
  <c r="T63" i="2"/>
  <c r="T112" i="2"/>
  <c r="T113" i="2"/>
  <c r="T161" i="2"/>
  <c r="T171" i="2"/>
  <c r="T154" i="2"/>
  <c r="T153" i="2"/>
  <c r="T200" i="2"/>
  <c r="T177" i="2"/>
  <c r="T111" i="2"/>
  <c r="T93" i="2"/>
  <c r="T155" i="2"/>
  <c r="T138" i="2"/>
  <c r="T137" i="2"/>
  <c r="T184" i="2"/>
  <c r="T197" i="2"/>
  <c r="T139" i="2"/>
  <c r="T122" i="2"/>
  <c r="T121" i="2"/>
  <c r="T123" i="2"/>
  <c r="T106" i="2"/>
  <c r="T105" i="2"/>
  <c r="T165" i="2"/>
  <c r="T179" i="2"/>
  <c r="T204" i="2"/>
  <c r="T107" i="2"/>
  <c r="T90" i="2"/>
  <c r="T89" i="2"/>
  <c r="T149" i="2"/>
  <c r="T163" i="2"/>
  <c r="T178" i="2"/>
  <c r="T81" i="2"/>
  <c r="T188" i="2"/>
  <c r="T91" i="2"/>
  <c r="T74" i="2"/>
  <c r="T73" i="2"/>
  <c r="T133" i="2"/>
  <c r="T147" i="2"/>
  <c r="T146" i="2"/>
  <c r="T65" i="2"/>
  <c r="T172" i="2"/>
  <c r="T58" i="2"/>
  <c r="T210" i="2"/>
  <c r="T162" i="2"/>
  <c r="T26" i="2"/>
  <c r="T25" i="2"/>
  <c r="T211" i="2"/>
  <c r="T64" i="2"/>
  <c r="T202" i="2"/>
  <c r="T21" i="2"/>
  <c r="T160" i="2"/>
  <c r="T94" i="2"/>
  <c r="T109" i="2"/>
  <c r="T124" i="2"/>
  <c r="T71" i="2"/>
  <c r="T182" i="2"/>
  <c r="T116" i="2"/>
  <c r="T50" i="2"/>
  <c r="T158" i="2"/>
  <c r="T5" i="2"/>
  <c r="T144" i="2"/>
  <c r="T78" i="2"/>
  <c r="T77" i="2"/>
  <c r="T108" i="2"/>
  <c r="T55" i="2"/>
  <c r="T166" i="2"/>
  <c r="T100" i="2"/>
  <c r="T23" i="2"/>
  <c r="T134" i="2"/>
  <c r="T44" i="2"/>
  <c r="T104" i="2"/>
  <c r="T180" i="2"/>
  <c r="T128" i="2"/>
  <c r="T207" i="2"/>
  <c r="T62" i="2"/>
  <c r="T61" i="2"/>
  <c r="T92" i="2"/>
  <c r="T75" i="2"/>
  <c r="T39" i="2"/>
  <c r="T150" i="2"/>
  <c r="T84" i="2"/>
  <c r="T45" i="2"/>
  <c r="T68" i="2"/>
  <c r="T102" i="2"/>
  <c r="T36" i="2"/>
  <c r="T33" i="2"/>
  <c r="T201" i="2"/>
  <c r="T195" i="2"/>
  <c r="T96" i="2"/>
  <c r="T191" i="2"/>
  <c r="T46" i="2"/>
  <c r="T76" i="2"/>
  <c r="T59" i="2"/>
  <c r="T27" i="2"/>
  <c r="T40" i="2"/>
  <c r="T186" i="2"/>
  <c r="T185" i="2"/>
  <c r="T131" i="2"/>
  <c r="T80" i="2"/>
  <c r="T175" i="2"/>
  <c r="T30" i="2"/>
  <c r="T29" i="2"/>
  <c r="T60" i="2"/>
  <c r="T43" i="2"/>
  <c r="T7" i="2"/>
  <c r="T118" i="2"/>
  <c r="T52" i="2"/>
  <c r="T13" i="2"/>
  <c r="T135" i="2"/>
  <c r="T170" i="2"/>
  <c r="T169" i="2"/>
  <c r="T115" i="2"/>
  <c r="T48" i="2"/>
  <c r="T159" i="2"/>
  <c r="T14" i="2"/>
  <c r="T152" i="2"/>
  <c r="T38" i="2"/>
  <c r="T196" i="2"/>
  <c r="T203" i="2"/>
  <c r="T42" i="2"/>
  <c r="T57" i="2"/>
  <c r="T99" i="2"/>
  <c r="T194" i="2"/>
  <c r="T209" i="2"/>
  <c r="T32" i="2"/>
  <c r="T143" i="2"/>
  <c r="T28" i="2"/>
  <c r="T11" i="2"/>
  <c r="T136" i="2"/>
  <c r="T86" i="2"/>
  <c r="T20" i="2"/>
  <c r="T88" i="2"/>
  <c r="T156" i="2"/>
  <c r="T173" i="2"/>
  <c r="T187" i="2"/>
  <c r="T10" i="2"/>
  <c r="T41" i="2"/>
  <c r="T4" i="2"/>
  <c r="T83" i="2"/>
  <c r="T130" i="2"/>
  <c r="T193" i="2"/>
  <c r="T16" i="2"/>
  <c r="T127" i="2"/>
  <c r="T12" i="2"/>
  <c r="T120" i="2"/>
  <c r="T70" i="2"/>
  <c r="T9" i="2"/>
  <c r="T168" i="2"/>
  <c r="T67" i="2"/>
  <c r="T114" i="2"/>
  <c r="T145" i="2"/>
  <c r="T95" i="2"/>
  <c r="T54" i="2"/>
  <c r="T181" i="2"/>
  <c r="T51" i="2"/>
  <c r="T98" i="2"/>
  <c r="T129" i="2"/>
  <c r="T79" i="2"/>
  <c r="T206" i="2"/>
  <c r="T183" i="2"/>
  <c r="T85" i="2"/>
  <c r="T117" i="2"/>
  <c r="T35" i="2"/>
  <c r="T82" i="2"/>
  <c r="T97" i="2"/>
  <c r="T47" i="2"/>
  <c r="T190" i="2"/>
  <c r="T205" i="2"/>
  <c r="T72" i="2"/>
  <c r="T167" i="2"/>
  <c r="T22" i="2"/>
  <c r="T199" i="2"/>
  <c r="T101" i="2"/>
  <c r="T19" i="2"/>
  <c r="T66" i="2"/>
  <c r="T49" i="2"/>
  <c r="T31" i="2"/>
  <c r="T174" i="2"/>
  <c r="T189" i="2"/>
  <c r="T56" i="2"/>
  <c r="T151" i="2"/>
  <c r="T6" i="2"/>
  <c r="T69" i="2"/>
  <c r="T34" i="2"/>
  <c r="T17" i="2"/>
  <c r="T208" i="2"/>
  <c r="T142" i="2"/>
  <c r="T157" i="2"/>
  <c r="T24" i="2"/>
  <c r="T119" i="2"/>
  <c r="T164" i="2"/>
  <c r="T192" i="2"/>
  <c r="T148" i="2"/>
  <c r="T140" i="2"/>
  <c r="T126" i="2"/>
  <c r="T53" i="2"/>
  <c r="T176" i="2"/>
  <c r="T18" i="2"/>
  <c r="T8" i="2"/>
  <c r="T198" i="2"/>
  <c r="T132" i="2"/>
  <c r="T110" i="2"/>
  <c r="T141" i="2"/>
  <c r="T125" i="2"/>
  <c r="T103" i="2"/>
  <c r="T37" i="2"/>
  <c r="T87" i="2"/>
  <c r="N65" i="2"/>
  <c r="N100" i="2"/>
  <c r="N95" i="2"/>
  <c r="N110" i="2"/>
  <c r="N13" i="2"/>
  <c r="N153" i="2"/>
  <c r="N55" i="2"/>
  <c r="N38" i="2"/>
  <c r="N85" i="2"/>
  <c r="N164" i="2"/>
  <c r="N51" i="2"/>
  <c r="N114" i="2"/>
  <c r="N211" i="2"/>
  <c r="N208" i="2"/>
  <c r="N79" i="2"/>
  <c r="N94" i="2"/>
  <c r="N137" i="2"/>
  <c r="N39" i="2"/>
  <c r="N22" i="2"/>
  <c r="N19" i="2"/>
  <c r="N161" i="2"/>
  <c r="N192" i="2"/>
  <c r="N63" i="2"/>
  <c r="N78" i="2"/>
  <c r="N176" i="2"/>
  <c r="N47" i="2"/>
  <c r="N62" i="2"/>
  <c r="N105" i="2"/>
  <c r="N200" i="2"/>
  <c r="N7" i="2"/>
  <c r="N37" i="2"/>
  <c r="N189" i="2"/>
  <c r="N132" i="2"/>
  <c r="N160" i="2"/>
  <c r="N31" i="2"/>
  <c r="N46" i="2"/>
  <c r="N203" i="2"/>
  <c r="N89" i="2"/>
  <c r="N184" i="2"/>
  <c r="N21" i="2"/>
  <c r="N68" i="2"/>
  <c r="N202" i="2"/>
  <c r="N144" i="2"/>
  <c r="N15" i="2"/>
  <c r="N30" i="2"/>
  <c r="N171" i="2"/>
  <c r="N73" i="2"/>
  <c r="N168" i="2"/>
  <c r="N5" i="2"/>
  <c r="N52" i="2"/>
  <c r="N187" i="2"/>
  <c r="N154" i="2"/>
  <c r="N170" i="2"/>
  <c r="N138" i="2"/>
  <c r="N173" i="2"/>
  <c r="N210" i="2"/>
  <c r="N128" i="2"/>
  <c r="N14" i="2"/>
  <c r="N156" i="2"/>
  <c r="N155" i="2"/>
  <c r="N204" i="2"/>
  <c r="N74" i="2"/>
  <c r="N106" i="2"/>
  <c r="N90" i="2"/>
  <c r="N162" i="2"/>
  <c r="N188" i="2"/>
  <c r="N26" i="2"/>
  <c r="N42" i="2"/>
  <c r="N18" i="2"/>
  <c r="N96" i="2"/>
  <c r="N141" i="2"/>
  <c r="N124" i="2"/>
  <c r="N123" i="2"/>
  <c r="N172" i="2"/>
  <c r="N10" i="2"/>
  <c r="N80" i="2"/>
  <c r="N207" i="2"/>
  <c r="N125" i="2"/>
  <c r="N205" i="2"/>
  <c r="N186" i="2"/>
  <c r="N122" i="2"/>
  <c r="N143" i="2"/>
  <c r="N158" i="2"/>
  <c r="N61" i="2"/>
  <c r="N44" i="2"/>
  <c r="N104" i="2"/>
  <c r="N175" i="2"/>
  <c r="N45" i="2"/>
  <c r="N57" i="2"/>
  <c r="N118" i="2"/>
  <c r="N181" i="2"/>
  <c r="N50" i="2"/>
  <c r="N129" i="2"/>
  <c r="N27" i="2"/>
  <c r="N12" i="2"/>
  <c r="N159" i="2"/>
  <c r="N206" i="2"/>
  <c r="N29" i="2"/>
  <c r="N41" i="2"/>
  <c r="N102" i="2"/>
  <c r="N165" i="2"/>
  <c r="N34" i="2"/>
  <c r="N113" i="2"/>
  <c r="N157" i="2"/>
  <c r="N112" i="2"/>
  <c r="N127" i="2"/>
  <c r="N190" i="2"/>
  <c r="N25" i="2"/>
  <c r="N86" i="2"/>
  <c r="N149" i="2"/>
  <c r="N195" i="2"/>
  <c r="N97" i="2"/>
  <c r="N87" i="2"/>
  <c r="N64" i="2"/>
  <c r="N111" i="2"/>
  <c r="N174" i="2"/>
  <c r="N9" i="2"/>
  <c r="N152" i="2"/>
  <c r="N70" i="2"/>
  <c r="N133" i="2"/>
  <c r="N179" i="2"/>
  <c r="N81" i="2"/>
  <c r="N142" i="2"/>
  <c r="N136" i="2"/>
  <c r="N54" i="2"/>
  <c r="N117" i="2"/>
  <c r="N163" i="2"/>
  <c r="N49" i="2"/>
  <c r="N48" i="2"/>
  <c r="N134" i="2"/>
  <c r="N126" i="2"/>
  <c r="N120" i="2"/>
  <c r="N199" i="2"/>
  <c r="N6" i="2"/>
  <c r="N101" i="2"/>
  <c r="N196" i="2"/>
  <c r="N147" i="2"/>
  <c r="N33" i="2"/>
  <c r="N60" i="2"/>
  <c r="N198" i="2"/>
  <c r="N209" i="2"/>
  <c r="N139" i="2"/>
  <c r="N88" i="2"/>
  <c r="N183" i="2"/>
  <c r="N69" i="2"/>
  <c r="N180" i="2"/>
  <c r="N131" i="2"/>
  <c r="N17" i="2"/>
  <c r="N130" i="2"/>
  <c r="N107" i="2"/>
  <c r="N72" i="2"/>
  <c r="N167" i="2"/>
  <c r="N53" i="2"/>
  <c r="N148" i="2"/>
  <c r="N115" i="2"/>
  <c r="N140" i="2"/>
  <c r="N91" i="2"/>
  <c r="N56" i="2"/>
  <c r="N151" i="2"/>
  <c r="N116" i="2"/>
  <c r="N99" i="2"/>
  <c r="N108" i="2"/>
  <c r="N75" i="2"/>
  <c r="N40" i="2"/>
  <c r="N135" i="2"/>
  <c r="N84" i="2"/>
  <c r="N83" i="2"/>
  <c r="N194" i="2"/>
  <c r="N92" i="2"/>
  <c r="N59" i="2"/>
  <c r="N24" i="2"/>
  <c r="N4" i="2"/>
  <c r="N119" i="2"/>
  <c r="N36" i="2"/>
  <c r="N67" i="2"/>
  <c r="N178" i="2"/>
  <c r="N76" i="2"/>
  <c r="N43" i="2"/>
  <c r="N8" i="2"/>
  <c r="N103" i="2"/>
  <c r="N20" i="2"/>
  <c r="N35" i="2"/>
  <c r="N146" i="2"/>
  <c r="N201" i="2"/>
  <c r="N93" i="2"/>
  <c r="N109" i="2"/>
  <c r="N28" i="2"/>
  <c r="N11" i="2"/>
  <c r="N185" i="2"/>
  <c r="N71" i="2"/>
  <c r="N182" i="2"/>
  <c r="N98" i="2"/>
  <c r="N193" i="2"/>
  <c r="N32" i="2"/>
  <c r="N77" i="2"/>
  <c r="N66" i="2"/>
  <c r="N58" i="2"/>
  <c r="N166" i="2"/>
  <c r="N121" i="2"/>
  <c r="N150" i="2"/>
  <c r="N177" i="2"/>
  <c r="N145" i="2"/>
  <c r="N197" i="2"/>
  <c r="N16" i="2"/>
  <c r="N169" i="2"/>
  <c r="N82" i="2"/>
  <c r="N23" i="2"/>
  <c r="N191" i="2"/>
  <c r="K55" i="3" l="1"/>
  <c r="Q64" i="3"/>
  <c r="Q65" i="3" s="1"/>
  <c r="Q68" i="3"/>
  <c r="Q69" i="3" s="1"/>
  <c r="Q60" i="3"/>
  <c r="Q61" i="3" s="1"/>
  <c r="N55" i="3"/>
  <c r="Z55" i="3"/>
  <c r="N54" i="3"/>
  <c r="T55" i="3"/>
  <c r="H55" i="3"/>
  <c r="W55" i="3"/>
  <c r="W213" i="2"/>
  <c r="K213" i="2"/>
  <c r="H213" i="2"/>
  <c r="N213" i="2"/>
  <c r="T213" i="2"/>
  <c r="Z213" i="2"/>
  <c r="Q213" i="2"/>
  <c r="DN69" i="2"/>
  <c r="DN70" i="2" s="1"/>
  <c r="DN73" i="2"/>
  <c r="DN74" i="2" s="1"/>
  <c r="GE73" i="2"/>
  <c r="GE74" i="2" s="1"/>
  <c r="GE69" i="2"/>
  <c r="GE70" i="2" s="1"/>
  <c r="FE73" i="2"/>
  <c r="FE74" i="2" s="1"/>
  <c r="FE69" i="2"/>
  <c r="FE70" i="2" s="1"/>
  <c r="EQ69" i="2"/>
  <c r="EQ70" i="2" s="1"/>
  <c r="EQ73" i="2"/>
  <c r="EQ74" i="2" s="1"/>
  <c r="EK69" i="2"/>
  <c r="EK70" i="2" s="1"/>
  <c r="EK73" i="2"/>
  <c r="EK74" i="2" s="1"/>
  <c r="DW73" i="2"/>
  <c r="DW74" i="2" s="1"/>
  <c r="DW69" i="2"/>
  <c r="DW70" i="2" s="1"/>
  <c r="DZ73" i="2"/>
  <c r="DZ74" i="2" s="1"/>
  <c r="DZ69" i="2"/>
  <c r="DZ70" i="2" s="1"/>
  <c r="GQ63" i="2"/>
  <c r="FQ73" i="2"/>
  <c r="FQ74" i="2" s="1"/>
  <c r="FQ69" i="2"/>
  <c r="FQ70" i="2" s="1"/>
  <c r="FZ73" i="2"/>
  <c r="FZ74" i="2" s="1"/>
  <c r="FZ69" i="2"/>
  <c r="FZ70" i="2" s="1"/>
  <c r="DN64" i="2"/>
  <c r="EK64" i="2"/>
  <c r="DT63" i="2"/>
  <c r="GE64" i="2"/>
  <c r="EN69" i="2"/>
  <c r="EN70" i="2" s="1"/>
  <c r="EN73" i="2"/>
  <c r="EN74" i="2" s="1"/>
  <c r="EZ69" i="2"/>
  <c r="EZ70" i="2" s="1"/>
  <c r="EZ73" i="2"/>
  <c r="EZ74" i="2" s="1"/>
  <c r="GN69" i="2"/>
  <c r="GN70" i="2" s="1"/>
  <c r="GN73" i="2"/>
  <c r="GN74" i="2" s="1"/>
  <c r="DE73" i="2"/>
  <c r="DE74" i="2" s="1"/>
  <c r="DE69" i="2"/>
  <c r="DE70" i="2" s="1"/>
  <c r="DW64" i="2"/>
  <c r="GK69" i="2"/>
  <c r="GK70" i="2" s="1"/>
  <c r="GK73" i="2"/>
  <c r="GK74" i="2" s="1"/>
  <c r="T54" i="3"/>
  <c r="H54" i="3"/>
  <c r="H68" i="3" s="1"/>
  <c r="H69" i="3" s="1"/>
  <c r="E54" i="3"/>
  <c r="Z54" i="3"/>
  <c r="W54" i="3"/>
  <c r="K54" i="3"/>
  <c r="K68" i="3" s="1"/>
  <c r="K69" i="3" s="1"/>
  <c r="GZ63" i="2"/>
  <c r="GZ64" i="2"/>
  <c r="GW64" i="2"/>
  <c r="GW63" i="2"/>
  <c r="GT63" i="2"/>
  <c r="GT64" i="2"/>
  <c r="GH64" i="2"/>
  <c r="GH63" i="2"/>
  <c r="DH63" i="2"/>
  <c r="ET64" i="2"/>
  <c r="FH63" i="2"/>
  <c r="FW64" i="2"/>
  <c r="FW63" i="2"/>
  <c r="FT63" i="2"/>
  <c r="FT64" i="2"/>
  <c r="FN64" i="2"/>
  <c r="FN63" i="2"/>
  <c r="FK64" i="2"/>
  <c r="FK63" i="2"/>
  <c r="FH64" i="2"/>
  <c r="EH63" i="2"/>
  <c r="EE63" i="2"/>
  <c r="EH64" i="2"/>
  <c r="ET63" i="2"/>
  <c r="EW63" i="2"/>
  <c r="EW64" i="2"/>
  <c r="EE64" i="2"/>
  <c r="BN259" i="2"/>
  <c r="DH64" i="2"/>
  <c r="DQ64" i="2"/>
  <c r="DQ63" i="2"/>
  <c r="DK64" i="2"/>
  <c r="DK63" i="2"/>
  <c r="BE259" i="2"/>
  <c r="BE258" i="2"/>
  <c r="CE124" i="2"/>
  <c r="BZ259" i="2"/>
  <c r="BQ258" i="2"/>
  <c r="BQ259" i="2"/>
  <c r="CZ124" i="2"/>
  <c r="CK124" i="2"/>
  <c r="CQ124" i="2"/>
  <c r="CW124" i="2"/>
  <c r="CH124" i="2"/>
  <c r="CN124" i="2"/>
  <c r="CT124" i="2"/>
  <c r="CZ123" i="2"/>
  <c r="CW123" i="2"/>
  <c r="CT123" i="2"/>
  <c r="CQ123" i="2"/>
  <c r="CN123" i="2"/>
  <c r="CK123" i="2"/>
  <c r="CH123" i="2"/>
  <c r="CE123" i="2"/>
  <c r="BH259" i="2"/>
  <c r="BT259" i="2"/>
  <c r="BW259" i="2"/>
  <c r="BK259" i="2"/>
  <c r="BN258" i="2"/>
  <c r="BZ258" i="2"/>
  <c r="BW258" i="2"/>
  <c r="BT258" i="2"/>
  <c r="BK258" i="2"/>
  <c r="BH258" i="2"/>
  <c r="AK75" i="2"/>
  <c r="AK76" i="2"/>
  <c r="AT75" i="2"/>
  <c r="AT76" i="2"/>
  <c r="AH75" i="2"/>
  <c r="AH76" i="2"/>
  <c r="AE75" i="2"/>
  <c r="AE76" i="2"/>
  <c r="AQ76" i="2"/>
  <c r="AQ75" i="2"/>
  <c r="AZ75" i="2"/>
  <c r="AZ76" i="2"/>
  <c r="AW75" i="2"/>
  <c r="AW76" i="2"/>
  <c r="AN75" i="2"/>
  <c r="AN76" i="2"/>
  <c r="E212" i="2"/>
  <c r="W212" i="2"/>
  <c r="W226" i="2" s="1"/>
  <c r="W227" i="2" s="1"/>
  <c r="Q212" i="2"/>
  <c r="Q226" i="2" s="1"/>
  <c r="Q227" i="2" s="1"/>
  <c r="T212" i="2"/>
  <c r="T226" i="2" s="1"/>
  <c r="T227" i="2" s="1"/>
  <c r="N212" i="2"/>
  <c r="N226" i="2" s="1"/>
  <c r="N227" i="2" s="1"/>
  <c r="K212" i="2"/>
  <c r="K226" i="2" s="1"/>
  <c r="K227" i="2" s="1"/>
  <c r="H212" i="2"/>
  <c r="H226" i="2" s="1"/>
  <c r="H227" i="2" s="1"/>
  <c r="Z212" i="2"/>
  <c r="Z226" i="2" s="1"/>
  <c r="Z227" i="2" s="1"/>
  <c r="N64" i="3" l="1"/>
  <c r="N65" i="3" s="1"/>
  <c r="N68" i="3"/>
  <c r="N69" i="3" s="1"/>
  <c r="N60" i="3"/>
  <c r="N61" i="3" s="1"/>
  <c r="W68" i="3"/>
  <c r="W69" i="3" s="1"/>
  <c r="W60" i="3"/>
  <c r="W61" i="3" s="1"/>
  <c r="W64" i="3"/>
  <c r="W65" i="3" s="1"/>
  <c r="Z68" i="3"/>
  <c r="Z69" i="3" s="1"/>
  <c r="Z60" i="3"/>
  <c r="Z61" i="3" s="1"/>
  <c r="Z64" i="3"/>
  <c r="Z65" i="3" s="1"/>
  <c r="T64" i="3"/>
  <c r="T65" i="3" s="1"/>
  <c r="T68" i="3"/>
  <c r="T69" i="3" s="1"/>
  <c r="T60" i="3"/>
  <c r="T61" i="3" s="1"/>
  <c r="AQ81" i="2"/>
  <c r="AQ82" i="2" s="1"/>
  <c r="AQ85" i="2"/>
  <c r="AQ86" i="2" s="1"/>
  <c r="GW69" i="2"/>
  <c r="GW70" i="2" s="1"/>
  <c r="GW73" i="2"/>
  <c r="GW74" i="2" s="1"/>
  <c r="CZ133" i="2"/>
  <c r="CZ134" i="2" s="1"/>
  <c r="CZ129" i="2"/>
  <c r="CZ130" i="2" s="1"/>
  <c r="GH69" i="2"/>
  <c r="GH70" i="2" s="1"/>
  <c r="GH73" i="2"/>
  <c r="GH74" i="2" s="1"/>
  <c r="DQ69" i="2"/>
  <c r="DQ70" i="2" s="1"/>
  <c r="DQ73" i="2"/>
  <c r="DQ74" i="2" s="1"/>
  <c r="ET69" i="2"/>
  <c r="ET70" i="2" s="1"/>
  <c r="ET73" i="2"/>
  <c r="ET74" i="2" s="1"/>
  <c r="EE73" i="2"/>
  <c r="EE74" i="2" s="1"/>
  <c r="EE69" i="2"/>
  <c r="EE70" i="2" s="1"/>
  <c r="CN129" i="2"/>
  <c r="CN130" i="2" s="1"/>
  <c r="CN133" i="2"/>
  <c r="CN134" i="2" s="1"/>
  <c r="CQ129" i="2"/>
  <c r="CQ130" i="2" s="1"/>
  <c r="CQ133" i="2"/>
  <c r="CQ134" i="2" s="1"/>
  <c r="GZ69" i="2"/>
  <c r="GZ70" i="2" s="1"/>
  <c r="GZ73" i="2"/>
  <c r="GZ74" i="2" s="1"/>
  <c r="AE81" i="2"/>
  <c r="AE82" i="2" s="1"/>
  <c r="AE85" i="2"/>
  <c r="AE86" i="2" s="1"/>
  <c r="EH69" i="2"/>
  <c r="EH70" i="2" s="1"/>
  <c r="EH73" i="2"/>
  <c r="EH74" i="2" s="1"/>
  <c r="AT85" i="2"/>
  <c r="AT86" i="2" s="1"/>
  <c r="AT81" i="2"/>
  <c r="AT82" i="2" s="1"/>
  <c r="K222" i="2"/>
  <c r="K223" i="2" s="1"/>
  <c r="K218" i="2"/>
  <c r="K219" i="2" s="1"/>
  <c r="BT268" i="2"/>
  <c r="BT269" i="2" s="1"/>
  <c r="BT264" i="2"/>
  <c r="BT265" i="2" s="1"/>
  <c r="BQ268" i="2"/>
  <c r="BQ269" i="2" s="1"/>
  <c r="BQ264" i="2"/>
  <c r="BQ265" i="2" s="1"/>
  <c r="FT73" i="2"/>
  <c r="FT74" i="2" s="1"/>
  <c r="FT69" i="2"/>
  <c r="FT70" i="2" s="1"/>
  <c r="CE129" i="2"/>
  <c r="CE130" i="2" s="1"/>
  <c r="CE133" i="2"/>
  <c r="CE134" i="2" s="1"/>
  <c r="GT69" i="2"/>
  <c r="GT70" i="2" s="1"/>
  <c r="GT73" i="2"/>
  <c r="GT74" i="2" s="1"/>
  <c r="CW133" i="2"/>
  <c r="CW134" i="2" s="1"/>
  <c r="CW129" i="2"/>
  <c r="CW130" i="2" s="1"/>
  <c r="BH268" i="2"/>
  <c r="BH269" i="2" s="1"/>
  <c r="BH264" i="2"/>
  <c r="BH265" i="2" s="1"/>
  <c r="H222" i="2"/>
  <c r="H223" i="2" s="1"/>
  <c r="H218" i="2"/>
  <c r="H219" i="2" s="1"/>
  <c r="BW268" i="2"/>
  <c r="BW269" i="2" s="1"/>
  <c r="BW264" i="2"/>
  <c r="BW265" i="2" s="1"/>
  <c r="FW73" i="2"/>
  <c r="FW74" i="2" s="1"/>
  <c r="FW69" i="2"/>
  <c r="FW70" i="2" s="1"/>
  <c r="BZ268" i="2"/>
  <c r="BZ269" i="2" s="1"/>
  <c r="BZ264" i="2"/>
  <c r="BZ265" i="2" s="1"/>
  <c r="CH133" i="2"/>
  <c r="CH134" i="2" s="1"/>
  <c r="CH129" i="2"/>
  <c r="CH130" i="2" s="1"/>
  <c r="CK129" i="2"/>
  <c r="CK130" i="2" s="1"/>
  <c r="CK133" i="2"/>
  <c r="CK134" i="2" s="1"/>
  <c r="AZ81" i="2"/>
  <c r="AZ82" i="2" s="1"/>
  <c r="AZ85" i="2"/>
  <c r="AZ86" i="2" s="1"/>
  <c r="EW69" i="2"/>
  <c r="EW70" i="2" s="1"/>
  <c r="EW73" i="2"/>
  <c r="EW74" i="2" s="1"/>
  <c r="AK85" i="2"/>
  <c r="AK86" i="2" s="1"/>
  <c r="AK81" i="2"/>
  <c r="AK82" i="2" s="1"/>
  <c r="T218" i="2"/>
  <c r="T219" i="2" s="1"/>
  <c r="T222" i="2"/>
  <c r="T223" i="2" s="1"/>
  <c r="Q218" i="2"/>
  <c r="Q219" i="2" s="1"/>
  <c r="Q222" i="2"/>
  <c r="Q223" i="2" s="1"/>
  <c r="BN268" i="2"/>
  <c r="BN269" i="2" s="1"/>
  <c r="BN264" i="2"/>
  <c r="BN265" i="2" s="1"/>
  <c r="BE264" i="2"/>
  <c r="BE265" i="2" s="1"/>
  <c r="BE268" i="2"/>
  <c r="BE269" i="2" s="1"/>
  <c r="FH73" i="2"/>
  <c r="FH74" i="2" s="1"/>
  <c r="FH69" i="2"/>
  <c r="FH70" i="2" s="1"/>
  <c r="AW85" i="2"/>
  <c r="AW86" i="2" s="1"/>
  <c r="AW81" i="2"/>
  <c r="AW82" i="2" s="1"/>
  <c r="CT133" i="2"/>
  <c r="CT134" i="2" s="1"/>
  <c r="CT129" i="2"/>
  <c r="CT130" i="2" s="1"/>
  <c r="Z218" i="2"/>
  <c r="Z219" i="2" s="1"/>
  <c r="Z222" i="2"/>
  <c r="Z223" i="2" s="1"/>
  <c r="W218" i="2"/>
  <c r="W219" i="2" s="1"/>
  <c r="W222" i="2"/>
  <c r="W223" i="2" s="1"/>
  <c r="AN85" i="2"/>
  <c r="AN86" i="2" s="1"/>
  <c r="AN81" i="2"/>
  <c r="AN82" i="2" s="1"/>
  <c r="DT69" i="2"/>
  <c r="DT70" i="2" s="1"/>
  <c r="DT73" i="2"/>
  <c r="DT74" i="2" s="1"/>
  <c r="GQ69" i="2"/>
  <c r="GQ70" i="2" s="1"/>
  <c r="GQ73" i="2"/>
  <c r="GQ74" i="2" s="1"/>
  <c r="AH85" i="2"/>
  <c r="AH86" i="2" s="1"/>
  <c r="AH81" i="2"/>
  <c r="AH82" i="2" s="1"/>
  <c r="FK73" i="2"/>
  <c r="FK74" i="2" s="1"/>
  <c r="FK69" i="2"/>
  <c r="FK70" i="2" s="1"/>
  <c r="FN73" i="2"/>
  <c r="FN74" i="2" s="1"/>
  <c r="FN69" i="2"/>
  <c r="FN70" i="2" s="1"/>
  <c r="BK268" i="2"/>
  <c r="BK269" i="2" s="1"/>
  <c r="BK264" i="2"/>
  <c r="BK265" i="2" s="1"/>
  <c r="N222" i="2"/>
  <c r="N223" i="2" s="1"/>
  <c r="N218" i="2"/>
  <c r="N219" i="2" s="1"/>
  <c r="E218" i="2"/>
  <c r="E219" i="2" s="1"/>
  <c r="E222" i="2"/>
  <c r="E223" i="2" s="1"/>
  <c r="DK73" i="2"/>
  <c r="DK74" i="2" s="1"/>
  <c r="DK69" i="2"/>
  <c r="DK70" i="2" s="1"/>
  <c r="DH69" i="2"/>
  <c r="DH70" i="2" s="1"/>
  <c r="DH73" i="2"/>
  <c r="DH74" i="2" s="1"/>
  <c r="E64" i="3"/>
  <c r="E60" i="3"/>
  <c r="E61" i="3" s="1"/>
  <c r="K64" i="3"/>
  <c r="K65" i="3" s="1"/>
  <c r="K60" i="3"/>
  <c r="K61" i="3" s="1"/>
  <c r="H64" i="3"/>
  <c r="H65" i="3" s="1"/>
  <c r="H60" i="3"/>
  <c r="H61" i="3" s="1"/>
</calcChain>
</file>

<file path=xl/sharedStrings.xml><?xml version="1.0" encoding="utf-8"?>
<sst xmlns="http://schemas.openxmlformats.org/spreadsheetml/2006/main" count="4995" uniqueCount="2626">
  <si>
    <t>A1 - Measuremenet for Anchor 1, PF - Pre-Filtered (removed zeroes and 99.99), F - Filtered (1 std from mean)</t>
  </si>
  <si>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</si>
  <si>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</si>
  <si>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</si>
  <si>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</si>
  <si>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</si>
  <si>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</si>
  <si>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</si>
  <si>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</si>
  <si>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</si>
  <si>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</si>
  <si>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A1 PF</t>
  </si>
  <si>
    <t>A1 F</t>
  </si>
  <si>
    <t>A2</t>
  </si>
  <si>
    <t>A2 PF</t>
  </si>
  <si>
    <t>A2 F</t>
  </si>
  <si>
    <t>A3</t>
  </si>
  <si>
    <t>A3 PF</t>
  </si>
  <si>
    <t>A3 F</t>
  </si>
  <si>
    <t>A4</t>
  </si>
  <si>
    <t>A4 PF</t>
  </si>
  <si>
    <t>A4 F</t>
  </si>
  <si>
    <t>A5</t>
  </si>
  <si>
    <t>A5 PF</t>
  </si>
  <si>
    <t>A5 F</t>
  </si>
  <si>
    <t>A6</t>
  </si>
  <si>
    <t>A6 PF</t>
  </si>
  <si>
    <t>A6 F</t>
  </si>
  <si>
    <t>A7</t>
  </si>
  <si>
    <t>A7 PF</t>
  </si>
  <si>
    <t>A7 F</t>
  </si>
  <si>
    <t>A8</t>
  </si>
  <si>
    <t>A8 PF</t>
  </si>
  <si>
    <t>A8 F</t>
  </si>
  <si>
    <t>2024-07-20T09:05:49.187892</t>
  </si>
  <si>
    <t>2024-07-20T09:05:49.154867</t>
  </si>
  <si>
    <t>2024-07-20T09:05:49.361319</t>
  </si>
  <si>
    <t>2024-07-20T09:05:49.229279</t>
  </si>
  <si>
    <t>2024-07-20T09:05:49.418232</t>
  </si>
  <si>
    <t>2024-07-20T09:05:49.194314</t>
  </si>
  <si>
    <t>2024-07-20T09:05:49.194119</t>
  </si>
  <si>
    <t>2024-07-20T09:05:49.434818</t>
  </si>
  <si>
    <t>2024-07-20T09:05:49.421905</t>
  </si>
  <si>
    <t>2024-07-20T09:05:50.058439</t>
  </si>
  <si>
    <t>2024-07-20T09:05:49.475163</t>
  </si>
  <si>
    <t>2024-07-20T09:05:49.616568</t>
  </si>
  <si>
    <t>2024-07-20T09:05:50.432534</t>
  </si>
  <si>
    <t>2024-07-20T09:05:50.215705</t>
  </si>
  <si>
    <t>2024-07-20T09:05:50.215771</t>
  </si>
  <si>
    <t>2024-07-20T09:05:50.446499</t>
  </si>
  <si>
    <t>2024-07-20T09:05:50.036691</t>
  </si>
  <si>
    <t>2024-07-20T09:05:50.960852</t>
  </si>
  <si>
    <t>2024-07-20T09:05:49.618550</t>
  </si>
  <si>
    <t>2024-07-20T09:05:50.521856</t>
  </si>
  <si>
    <t>2024-07-20T09:05:51.448785</t>
  </si>
  <si>
    <t>2024-07-20T09:05:51.179649</t>
  </si>
  <si>
    <t>2024-07-20T09:05:51.241339</t>
  </si>
  <si>
    <t>2024-07-20T09:05:51.462085</t>
  </si>
  <si>
    <t>2024-07-20T09:05:50.270778</t>
  </si>
  <si>
    <t>2024-07-20T09:05:51.863021</t>
  </si>
  <si>
    <t>2024-07-20T09:05:49.760963</t>
  </si>
  <si>
    <t>2024-07-20T09:05:51.194016</t>
  </si>
  <si>
    <t>2024-07-20T09:05:52.472801</t>
  </si>
  <si>
    <t>2024-07-20T09:05:52.199798</t>
  </si>
  <si>
    <t>2024-07-20T09:05:52.199870</t>
  </si>
  <si>
    <t>2024-07-20T09:05:52.474407</t>
  </si>
  <si>
    <t>2024-07-20T09:05:50.325872</t>
  </si>
  <si>
    <t>2024-07-20T09:05:52.765537</t>
  </si>
  <si>
    <t>2024-07-20T09:05:49.840684</t>
  </si>
  <si>
    <t>2024-07-20T09:05:51.398080</t>
  </si>
  <si>
    <t>2024-07-20T09:05:53.499556</t>
  </si>
  <si>
    <t>2024-07-20T09:05:53.212156</t>
  </si>
  <si>
    <t>2024-07-20T09:05:53.216541</t>
  </si>
  <si>
    <t>2024-07-20T09:05:53.502243</t>
  </si>
  <si>
    <t>2024-07-20T09:05:50.393475</t>
  </si>
  <si>
    <t>2024-07-20T09:05:53.674753</t>
  </si>
  <si>
    <t>2024-07-20T09:05:50.055621</t>
  </si>
  <si>
    <t>2024-07-20T09:05:52.301599</t>
  </si>
  <si>
    <t>2024-07-20T09:05:54.516917</t>
  </si>
  <si>
    <t>2024-07-20T09:05:54.229455</t>
  </si>
  <si>
    <t>2024-07-20T09:05:54.228136</t>
  </si>
  <si>
    <t>2024-07-20T09:05:54.521070</t>
  </si>
  <si>
    <t>2024-07-20T09:05:50.980348</t>
  </si>
  <si>
    <t>2024-07-20T09:05:54.571486</t>
  </si>
  <si>
    <t>2024-07-20T09:05:50.161863</t>
  </si>
  <si>
    <t>2024-07-20T09:05:52.761879</t>
  </si>
  <si>
    <t>2024-07-20T09:05:55.538683</t>
  </si>
  <si>
    <t>2024-07-20T09:05:55.239352</t>
  </si>
  <si>
    <t>2024-07-20T09:05:55.241815</t>
  </si>
  <si>
    <t>2024-07-20T09:05:55.536966</t>
  </si>
  <si>
    <t>2024-07-20T09:05:51.390869</t>
  </si>
  <si>
    <t>2024-07-20T09:05:55.475011</t>
  </si>
  <si>
    <t>2024-07-20T09:05:50.378432</t>
  </si>
  <si>
    <t>2024-07-20T09:05:53.673236</t>
  </si>
  <si>
    <t>2024-07-20T09:05:56.511462</t>
  </si>
  <si>
    <t>2024-07-20T09:05:56.256625</t>
  </si>
  <si>
    <t>2024-07-20T09:05:56.256564</t>
  </si>
  <si>
    <t>2024-07-20T09:05:56.559942</t>
  </si>
  <si>
    <t>2024-07-20T09:05:51.614935</t>
  </si>
  <si>
    <t>2024-07-20T09:05:56.377959</t>
  </si>
  <si>
    <t>2024-07-20T09:05:50.463321</t>
  </si>
  <si>
    <t>2024-07-20T09:05:54.121208</t>
  </si>
  <si>
    <t>2024-07-20T09:05:57.523329</t>
  </si>
  <si>
    <t>2024-07-20T09:05:57.280247</t>
  </si>
  <si>
    <t>2024-07-20T09:05:57.279813</t>
  </si>
  <si>
    <t>2024-07-20T09:05:57.583841</t>
  </si>
  <si>
    <t>2024-07-20T09:05:51.878093</t>
  </si>
  <si>
    <t>2024-07-20T09:05:57.282561</t>
  </si>
  <si>
    <t>2024-07-20T09:05:50.799964</t>
  </si>
  <si>
    <t>2024-07-20T09:05:54.266919</t>
  </si>
  <si>
    <t>2024-07-20T09:05:58.546316</t>
  </si>
  <si>
    <t>2024-07-20T09:05:58.302298</t>
  </si>
  <si>
    <t>2024-07-20T09:05:58.306233</t>
  </si>
  <si>
    <t>2024-07-20T09:05:58.566308</t>
  </si>
  <si>
    <t>2024-07-20T09:05:52.699001</t>
  </si>
  <si>
    <t>2024-07-20T09:05:57.553811</t>
  </si>
  <si>
    <t>2024-07-20T09:05:51.089608</t>
  </si>
  <si>
    <t>2024-07-20T09:05:54.475228</t>
  </si>
  <si>
    <t>2024-07-20T09:05:59.548401</t>
  </si>
  <si>
    <t>2024-07-20T09:05:59.332087</t>
  </si>
  <si>
    <t>2024-07-20T09:05:59.325300</t>
  </si>
  <si>
    <t>2024-07-20T09:05:59.573520</t>
  </si>
  <si>
    <t>2024-07-20T09:05:53.610268</t>
  </si>
  <si>
    <t>2024-07-20T09:05:58.462563</t>
  </si>
  <si>
    <t>2024-07-20T09:05:51.177846</t>
  </si>
  <si>
    <t>2024-07-20T09:05:54.574821</t>
  </si>
  <si>
    <t>2024-07-20T09:06:00.563470</t>
  </si>
  <si>
    <t>2024-07-20T09:06:00.350046</t>
  </si>
  <si>
    <t>2024-07-20T09:06:00.349984</t>
  </si>
  <si>
    <t>2024-07-20T09:06:00.584378</t>
  </si>
  <si>
    <t>2024-07-20T09:05:54.310630</t>
  </si>
  <si>
    <t>2024-07-20T09:05:59.359514</t>
  </si>
  <si>
    <t>2024-07-20T09:05:51.255120</t>
  </si>
  <si>
    <t>2024-07-20T09:05:55.476497</t>
  </si>
  <si>
    <t>2024-07-20T09:06:01.579964</t>
  </si>
  <si>
    <t>2024-07-20T09:06:01.373070</t>
  </si>
  <si>
    <t>2024-07-20T09:06:01.373010</t>
  </si>
  <si>
    <t>2024-07-20T09:06:01.600746</t>
  </si>
  <si>
    <t>2024-07-20T09:05:54.485310</t>
  </si>
  <si>
    <t>2024-07-20T09:06:00.265649</t>
  </si>
  <si>
    <t>2024-07-20T09:05:51.373424</t>
  </si>
  <si>
    <t>2024-07-20T09:05:55.573424</t>
  </si>
  <si>
    <t>2024-07-20T09:06:02.598406</t>
  </si>
  <si>
    <t>2024-07-20T09:06:02.337085</t>
  </si>
  <si>
    <t>2024-07-20T09:06:02.333183</t>
  </si>
  <si>
    <t>2024-07-20T09:06:02.614001</t>
  </si>
  <si>
    <t>2024-07-20T09:05:54.683900</t>
  </si>
  <si>
    <t>2024-07-20T09:06:01.164777</t>
  </si>
  <si>
    <t>2024-07-20T09:05:51.588974</t>
  </si>
  <si>
    <t>2024-07-20T09:05:56.116117</t>
  </si>
  <si>
    <t>2024-07-20T09:06:03.625512</t>
  </si>
  <si>
    <t>2024-07-20T09:06:03.355411</t>
  </si>
  <si>
    <t>2024-07-20T09:06:03.354662</t>
  </si>
  <si>
    <t>2024-07-20T09:06:03.632655</t>
  </si>
  <si>
    <t>2024-07-20T09:05:55.136709</t>
  </si>
  <si>
    <t>2024-07-20T09:06:02.068186</t>
  </si>
  <si>
    <t>2024-07-20T09:05:52.336985</t>
  </si>
  <si>
    <t>2024-07-20T09:05:57.021912</t>
  </si>
  <si>
    <t>2024-07-20T09:06:04.646598</t>
  </si>
  <si>
    <t>2024-07-20T09:06:04.365700</t>
  </si>
  <si>
    <t>2024-07-20T09:06:04.358505</t>
  </si>
  <si>
    <t>2024-07-20T09:06:04.646053</t>
  </si>
  <si>
    <t>2024-07-20T09:05:55.356389</t>
  </si>
  <si>
    <t>2024-07-20T09:06:02.728399</t>
  </si>
  <si>
    <t>2024-07-20T09:05:52.547767</t>
  </si>
  <si>
    <t>2024-07-20T09:05:57.924491</t>
  </si>
  <si>
    <t>2024-07-20T09:06:05.672596</t>
  </si>
  <si>
    <t>2024-07-20T09:06:05.379622</t>
  </si>
  <si>
    <t>2024-07-20T09:06:05.379391</t>
  </si>
  <si>
    <t>2024-07-20T09:06:05.670090</t>
  </si>
  <si>
    <t>2024-07-20T09:05:55.574897</t>
  </si>
  <si>
    <t>2024-07-20T09:06:03.638469</t>
  </si>
  <si>
    <t>2024-07-20T09:05:52.740462</t>
  </si>
  <si>
    <t>2024-07-20T09:05:58.258101</t>
  </si>
  <si>
    <t>2024-07-20T09:06:06.691343</t>
  </si>
  <si>
    <t>2024-07-20T09:06:06.395053</t>
  </si>
  <si>
    <t>2024-07-20T09:06:06.390313</t>
  </si>
  <si>
    <t>2024-07-20T09:06:06.693110</t>
  </si>
  <si>
    <t>2024-07-20T09:05:55.679989</t>
  </si>
  <si>
    <t>2024-07-20T09:06:04.535121</t>
  </si>
  <si>
    <t>2024-07-20T09:05:52.827817</t>
  </si>
  <si>
    <t>2024-07-20T09:05:58.306186</t>
  </si>
  <si>
    <t>2024-07-20T09:06:07.658638</t>
  </si>
  <si>
    <t>2024-07-20T09:06:07.412416</t>
  </si>
  <si>
    <t>2024-07-20T09:06:07.411512</t>
  </si>
  <si>
    <t>2024-07-20T09:06:07.718380</t>
  </si>
  <si>
    <t>2024-07-20T09:05:56.390971</t>
  </si>
  <si>
    <t>2024-07-20T09:06:05.436406</t>
  </si>
  <si>
    <t>2024-07-20T09:05:52.953232</t>
  </si>
  <si>
    <t>2024-07-20T09:05:58.534021</t>
  </si>
  <si>
    <t>2024-07-20T09:06:08.685307</t>
  </si>
  <si>
    <t>2024-07-20T09:06:08.442756</t>
  </si>
  <si>
    <t>2024-07-20T09:06:08.441722</t>
  </si>
  <si>
    <t>2024-07-20T09:06:08.742064</t>
  </si>
  <si>
    <t>2024-07-20T09:05:56.667492</t>
  </si>
  <si>
    <t>2024-07-20T09:06:06.339958</t>
  </si>
  <si>
    <t>2024-07-20T09:05:53.352240</t>
  </si>
  <si>
    <t>2024-07-20T09:05:59.042258</t>
  </si>
  <si>
    <t>2024-07-20T09:06:09.685716</t>
  </si>
  <si>
    <t>2024-07-20T09:06:09.465239</t>
  </si>
  <si>
    <t>2024-07-20T09:06:09.461864</t>
  </si>
  <si>
    <t>2024-07-20T09:06:09.762315</t>
  </si>
  <si>
    <t>2024-07-20T09:05:56.771131</t>
  </si>
  <si>
    <t>2024-07-20T09:06:06.523952</t>
  </si>
  <si>
    <t>2024-07-20T09:05:53.686282</t>
  </si>
  <si>
    <t>2024-07-20T09:05:59.892552</t>
  </si>
  <si>
    <t>2024-07-20T09:06:10.702483</t>
  </si>
  <si>
    <t>2024-07-20T09:06:10.477765</t>
  </si>
  <si>
    <t>2024-07-20T09:06:10.477639</t>
  </si>
  <si>
    <t>2024-07-20T09:06:10.726618</t>
  </si>
  <si>
    <t>2024-07-20T09:05:57.051440</t>
  </si>
  <si>
    <t>2024-07-20T09:06:07.427791</t>
  </si>
  <si>
    <t>2024-07-20T09:05:54.072823</t>
  </si>
  <si>
    <t>2024-07-20T09:06:00.186057</t>
  </si>
  <si>
    <t>2024-07-20T09:06:11.718637</t>
  </si>
  <si>
    <t>2024-07-20T09:06:11.502870</t>
  </si>
  <si>
    <t>2024-07-20T09:06:11.502745</t>
  </si>
  <si>
    <t>2024-07-20T09:06:11.742418</t>
  </si>
  <si>
    <t>2024-07-20T09:05:57.131676</t>
  </si>
  <si>
    <t>2024-07-20T09:06:08.337586</t>
  </si>
  <si>
    <t>2024-07-20T09:05:54.126710</t>
  </si>
  <si>
    <t>2024-07-20T09:06:00.475524</t>
  </si>
  <si>
    <t>2024-07-20T09:06:12.736157</t>
  </si>
  <si>
    <t>2024-07-20T09:06:12.524360</t>
  </si>
  <si>
    <t>2024-07-20T09:06:12.468914</t>
  </si>
  <si>
    <t>2024-07-20T09:06:12.755581</t>
  </si>
  <si>
    <t>2024-07-20T09:05:57.416306</t>
  </si>
  <si>
    <t>2024-07-20T09:06:09.236096</t>
  </si>
  <si>
    <t>2024-07-20T09:05:54.266979</t>
  </si>
  <si>
    <t>2024-07-20T09:06:00.616980</t>
  </si>
  <si>
    <t>2024-07-20T09:06:13.753976</t>
  </si>
  <si>
    <t>2024-07-20T09:06:13.498365</t>
  </si>
  <si>
    <t>2024-07-20T09:06:13.486674</t>
  </si>
  <si>
    <t>2024-07-20T09:06:13.774996</t>
  </si>
  <si>
    <t>2024-07-20T09:05:57.603936</t>
  </si>
  <si>
    <t>2024-07-20T09:06:09.478202</t>
  </si>
  <si>
    <t>2024-07-20T09:05:54.523929</t>
  </si>
  <si>
    <t>2024-07-20T09:06:00.734467</t>
  </si>
  <si>
    <t>2024-07-20T09:06:14.775442</t>
  </si>
  <si>
    <t>2024-07-20T09:06:14.508801</t>
  </si>
  <si>
    <t>2024-07-20T09:06:14.492043</t>
  </si>
  <si>
    <t>2024-07-20T09:06:14.786437</t>
  </si>
  <si>
    <t>2024-07-20T09:05:57.884555</t>
  </si>
  <si>
    <t>2024-07-20T09:06:10.375922</t>
  </si>
  <si>
    <t>2024-07-20T09:05:54.630590</t>
  </si>
  <si>
    <t>2024-07-20T09:06:01.637293</t>
  </si>
  <si>
    <t>2024-07-20T09:06:15.801053</t>
  </si>
  <si>
    <t>2024-07-20T09:06:15.522954</t>
  </si>
  <si>
    <t>2024-07-20T09:06:15.510853</t>
  </si>
  <si>
    <t>2024-07-20T09:06:15.806252</t>
  </si>
  <si>
    <t>2024-07-20T09:05:58.019666</t>
  </si>
  <si>
    <t>2024-07-20T09:06:10.813645</t>
  </si>
  <si>
    <t>2024-07-20T09:05:54.707813</t>
  </si>
  <si>
    <t>2024-07-20T09:06:01.732346</t>
  </si>
  <si>
    <t>2024-07-20T09:06:16.822384</t>
  </si>
  <si>
    <t>2024-07-20T09:06:16.537818</t>
  </si>
  <si>
    <t>2024-07-20T09:06:16.525816</t>
  </si>
  <si>
    <t>2024-07-20T09:06:16.822455</t>
  </si>
  <si>
    <t>2024-07-20T09:05:58.282329</t>
  </si>
  <si>
    <t>2024-07-20T09:06:11.542270</t>
  </si>
  <si>
    <t>2024-07-20T09:05:55.139707</t>
  </si>
  <si>
    <t>2024-07-20T09:06:02.275668</t>
  </si>
  <si>
    <t>2024-07-20T09:06:17.848796</t>
  </si>
  <si>
    <t>2024-07-20T09:06:17.549302</t>
  </si>
  <si>
    <t>2024-07-20T09:06:17.539356</t>
  </si>
  <si>
    <t>2024-07-20T09:06:17.848857</t>
  </si>
  <si>
    <t>2024-07-20T09:05:58.486202</t>
  </si>
  <si>
    <t>2024-07-20T09:06:12.442224</t>
  </si>
  <si>
    <t>2024-07-20T09:05:55.396283</t>
  </si>
  <si>
    <t>2024-07-20T09:06:03.175649</t>
  </si>
  <si>
    <t>2024-07-20T09:06:18.820425</t>
  </si>
  <si>
    <t>2024-07-20T09:06:18.569633</t>
  </si>
  <si>
    <t>2024-07-20T09:06:18.563650</t>
  </si>
  <si>
    <t>2024-07-20T09:06:18.870615</t>
  </si>
  <si>
    <t>2024-07-20T09:05:58.567366</t>
  </si>
  <si>
    <t>2024-07-20T09:06:13.347769</t>
  </si>
  <si>
    <t>2024-07-20T09:05:55.449689</t>
  </si>
  <si>
    <t>2024-07-20T09:06:03.994101</t>
  </si>
  <si>
    <t>2024-07-20T09:06:19.828602</t>
  </si>
  <si>
    <t>2024-07-20T09:06:19.592885</t>
  </si>
  <si>
    <t>2024-07-20T09:06:19.586839</t>
  </si>
  <si>
    <t>2024-07-20T09:06:19.894025</t>
  </si>
  <si>
    <t>2024-07-20T09:05:58.707120</t>
  </si>
  <si>
    <t>2024-07-20T09:06:13.923382</t>
  </si>
  <si>
    <t>2024-07-20T09:05:55.517339</t>
  </si>
  <si>
    <t>2024-07-20T09:06:04.899645</t>
  </si>
  <si>
    <t>2024-07-20T09:06:20.845153</t>
  </si>
  <si>
    <t>2024-07-20T09:06:20.614210</t>
  </si>
  <si>
    <t>2024-07-20T09:06:20.615318</t>
  </si>
  <si>
    <t>2024-07-20T09:06:20.917687</t>
  </si>
  <si>
    <t>2024-07-20T09:05:58.823736</t>
  </si>
  <si>
    <t>2024-07-20T09:06:14.825593</t>
  </si>
  <si>
    <t>2024-07-20T09:05:56.111952</t>
  </si>
  <si>
    <t>2024-07-20T09:06:05.801949</t>
  </si>
  <si>
    <t>2024-07-20T09:06:21.855169</t>
  </si>
  <si>
    <t>2024-07-20T09:06:21.635308</t>
  </si>
  <si>
    <t>2024-07-20T09:06:21.635084</t>
  </si>
  <si>
    <t>2024-07-20T09:06:21.887852</t>
  </si>
  <si>
    <t>2024-07-20T09:05:59.014005</t>
  </si>
  <si>
    <t>2024-07-20T09:06:15.728351</t>
  </si>
  <si>
    <t>2024-07-20T09:05:56.368494</t>
  </si>
  <si>
    <t>2024-07-20T09:06:06.004208</t>
  </si>
  <si>
    <t>2024-07-20T09:06:22.874366</t>
  </si>
  <si>
    <t>2024-07-20T09:06:22.655333</t>
  </si>
  <si>
    <t>2024-07-20T09:06:22.601320</t>
  </si>
  <si>
    <t>2024-07-20T09:06:22.900165</t>
  </si>
  <si>
    <t>2024-07-20T09:05:59.205956</t>
  </si>
  <si>
    <t>2024-07-20T09:06:16.634117</t>
  </si>
  <si>
    <t>2024-07-20T09:05:56.614169</t>
  </si>
  <si>
    <t>2024-07-20T09:06:06.246317</t>
  </si>
  <si>
    <t>2024-07-20T09:06:23.885663</t>
  </si>
  <si>
    <t>2024-07-20T09:06:23.682287</t>
  </si>
  <si>
    <t>2024-07-20T09:06:23.614807</t>
  </si>
  <si>
    <t>2024-07-20T09:06:23.916605</t>
  </si>
  <si>
    <t>2024-07-20T09:05:59.537122</t>
  </si>
  <si>
    <t>2024-07-20T09:06:17.534704</t>
  </si>
  <si>
    <t>2024-07-20T09:05:56.824932</t>
  </si>
  <si>
    <t>2024-07-20T09:06:07.123901</t>
  </si>
  <si>
    <t>2024-07-20T09:06:24.911602</t>
  </si>
  <si>
    <t>2024-07-20T09:06:24.653585</t>
  </si>
  <si>
    <t>2024-07-20T09:06:24.628229</t>
  </si>
  <si>
    <t>2024-07-20T09:06:24.929505</t>
  </si>
  <si>
    <t>2024-07-20T09:05:59.758891</t>
  </si>
  <si>
    <t>2024-07-20T09:06:18.459041</t>
  </si>
  <si>
    <t>2024-07-20T09:05:57.063824</t>
  </si>
  <si>
    <t>2024-07-20T09:06:08.025839</t>
  </si>
  <si>
    <t>2024-07-20T09:06:25.930678</t>
  </si>
  <si>
    <t>2024-07-20T09:06:25.662142</t>
  </si>
  <si>
    <t>2024-07-20T09:06:25.642162</t>
  </si>
  <si>
    <t>2024-07-20T09:06:25.946724</t>
  </si>
  <si>
    <t>2024-07-20T09:06:00.089145</t>
  </si>
  <si>
    <t>2024-07-20T09:06:19.340365</t>
  </si>
  <si>
    <t>2024-07-20T09:05:57.434471</t>
  </si>
  <si>
    <t>2024-07-20T09:06:08.226576</t>
  </si>
  <si>
    <t>2024-07-20T09:06:26.955092</t>
  </si>
  <si>
    <t>2024-07-20T09:06:26.677537</t>
  </si>
  <si>
    <t>2024-07-20T09:06:26.657906</t>
  </si>
  <si>
    <t>2024-07-20T09:06:26.960393</t>
  </si>
  <si>
    <t>2024-07-20T09:06:00.291406</t>
  </si>
  <si>
    <t>2024-07-20T09:06:20.245247</t>
  </si>
  <si>
    <t>2024-07-20T09:05:57.599756</t>
  </si>
  <si>
    <t>2024-07-20T09:06:08.530440</t>
  </si>
  <si>
    <t>2024-07-20T09:06:27.978525</t>
  </si>
  <si>
    <t>2024-07-20T09:06:27.690703</t>
  </si>
  <si>
    <t>2024-07-20T09:06:27.671605</t>
  </si>
  <si>
    <t>2024-07-20T09:06:27.978584</t>
  </si>
  <si>
    <t>2024-07-20T09:06:00.482463</t>
  </si>
  <si>
    <t>2024-07-20T09:06:21.147602</t>
  </si>
  <si>
    <t>2024-07-20T09:05:57.681042</t>
  </si>
  <si>
    <t>2024-07-20T09:06:08.650457</t>
  </si>
  <si>
    <t>2024-07-20T09:06:28.950948</t>
  </si>
  <si>
    <t>2024-07-20T09:06:28.709438</t>
  </si>
  <si>
    <t>2024-07-20T09:06:28.693966</t>
  </si>
  <si>
    <t>2024-07-20T09:06:29.006575</t>
  </si>
  <si>
    <t>2024-07-20T09:06:00.617557</t>
  </si>
  <si>
    <t>2024-07-20T09:06:22.047518</t>
  </si>
  <si>
    <t>2024-07-20T09:05:57.931087</t>
  </si>
  <si>
    <t>2024-07-20T09:06:08.742693</t>
  </si>
  <si>
    <t>2024-07-20T09:06:29.964401</t>
  </si>
  <si>
    <t>2024-07-20T09:06:29.732128</t>
  </si>
  <si>
    <t>2024-07-20T09:06:29.718262</t>
  </si>
  <si>
    <t>2024-07-20T09:06:30.023623</t>
  </si>
  <si>
    <t>2024-07-20T09:06:00.779872</t>
  </si>
  <si>
    <t>2024-07-20T09:06:22.951511</t>
  </si>
  <si>
    <t>2024-07-20T09:05:58.223916</t>
  </si>
  <si>
    <t>2024-07-20T09:06:08.799891</t>
  </si>
  <si>
    <t>2024-07-20T09:06:30.981867</t>
  </si>
  <si>
    <t>2024-07-20T09:06:30.743664</t>
  </si>
  <si>
    <t>2024-07-20T09:06:30.743336</t>
  </si>
  <si>
    <t>2024-07-20T09:06:31.047935</t>
  </si>
  <si>
    <t>2024-07-20T09:06:00.867146</t>
  </si>
  <si>
    <t>2024-07-20T09:06:23.653582</t>
  </si>
  <si>
    <t>2024-07-20T09:05:58.374978</t>
  </si>
  <si>
    <t>2024-07-20T09:06:09.293874</t>
  </si>
  <si>
    <t>2024-07-20T09:06:31.993591</t>
  </si>
  <si>
    <t>2024-07-20T09:06:31.766025</t>
  </si>
  <si>
    <t>2024-07-20T09:06:31.766093</t>
  </si>
  <si>
    <t>2024-07-20T09:06:32.073152</t>
  </si>
  <si>
    <t>2024-07-20T09:06:00.991941</t>
  </si>
  <si>
    <t>2024-07-20T09:06:24.553764</t>
  </si>
  <si>
    <t>2024-07-20T09:05:58.477628</t>
  </si>
  <si>
    <t>2024-07-20T09:06:10.196193</t>
  </si>
  <si>
    <t>2024-07-20T09:06:33.009224</t>
  </si>
  <si>
    <t>2024-07-20T09:06:32.789638</t>
  </si>
  <si>
    <t>2024-07-20T09:06:32.789699</t>
  </si>
  <si>
    <t>2024-07-20T09:06:33.045025</t>
  </si>
  <si>
    <t>2024-07-20T09:06:01.091480</t>
  </si>
  <si>
    <t>2024-07-20T09:06:25.458717</t>
  </si>
  <si>
    <t>2024-07-20T09:05:58.649836</t>
  </si>
  <si>
    <t>2024-07-20T09:06:10.424658</t>
  </si>
  <si>
    <t>2024-07-20T09:06:34.022417</t>
  </si>
  <si>
    <t>2024-07-20T09:06:33.816402</t>
  </si>
  <si>
    <t>2024-07-20T09:06:33.754629</t>
  </si>
  <si>
    <t>2024-07-20T09:06:34.060292</t>
  </si>
  <si>
    <t>2024-07-20T09:06:01.755085</t>
  </si>
  <si>
    <t>2024-07-20T09:06:26.358263</t>
  </si>
  <si>
    <t>2024-07-20T09:05:58.719580</t>
  </si>
  <si>
    <t>2024-07-20T09:06:10.832937</t>
  </si>
  <si>
    <t>2024-07-20T09:06:35.049176</t>
  </si>
  <si>
    <t>2024-07-20T09:06:34.835343</t>
  </si>
  <si>
    <t>2024-07-20T09:06:34.766319</t>
  </si>
  <si>
    <t>2024-07-20T09:06:35.071863</t>
  </si>
  <si>
    <t>2024-07-20T09:06:01.906047</t>
  </si>
  <si>
    <t>2024-07-20T09:06:27.263748</t>
  </si>
  <si>
    <t>2024-07-20T09:05:58.967519</t>
  </si>
  <si>
    <t>2024-07-20T09:06:11.014244</t>
  </si>
  <si>
    <t>2024-07-20T09:06:36.061236</t>
  </si>
  <si>
    <t>2024-07-20T09:06:35.861900</t>
  </si>
  <si>
    <t>2024-07-20T09:06:35.779787</t>
  </si>
  <si>
    <t>2024-07-20T09:06:36.090693</t>
  </si>
  <si>
    <t>2024-07-20T09:06:02.028711</t>
  </si>
  <si>
    <t>2024-07-20T09:06:28.166603</t>
  </si>
  <si>
    <t>2024-07-20T09:05:59.030417</t>
  </si>
  <si>
    <t>2024-07-20T09:06:11.809854</t>
  </si>
  <si>
    <t>2024-07-20T09:06:37.087219</t>
  </si>
  <si>
    <t>2024-07-20T09:06:36.824669</t>
  </si>
  <si>
    <t>2024-07-20T09:06:36.797463</t>
  </si>
  <si>
    <t>2024-07-20T09:06:37.102206</t>
  </si>
  <si>
    <t>2024-07-20T09:06:02.100858</t>
  </si>
  <si>
    <t>2024-07-20T09:06:29.065857</t>
  </si>
  <si>
    <t>2024-07-20T09:05:59.180325</t>
  </si>
  <si>
    <t>2024-07-20T09:06:12.041451</t>
  </si>
  <si>
    <t>2024-07-20T09:06:38.113445</t>
  </si>
  <si>
    <t>2024-07-20T09:06:37.837425</t>
  </si>
  <si>
    <t>2024-07-20T09:06:37.811896</t>
  </si>
  <si>
    <t>2024-07-20T09:06:38.123042</t>
  </si>
  <si>
    <t>2024-07-20T09:06:02.230938</t>
  </si>
  <si>
    <t>2024-07-20T09:06:29.968840</t>
  </si>
  <si>
    <t>2024-07-20T09:05:59.364380</t>
  </si>
  <si>
    <t>2024-07-20T09:06:12.944364</t>
  </si>
  <si>
    <t>2024-07-20T09:06:39.133060</t>
  </si>
  <si>
    <t>2024-07-20T09:06:38.853047</t>
  </si>
  <si>
    <t>2024-07-20T09:06:38.825018</t>
  </si>
  <si>
    <t>2024-07-20T09:06:39.140752</t>
  </si>
  <si>
    <t>2024-07-20T09:06:02.312884</t>
  </si>
  <si>
    <t>2024-07-20T09:06:30.875398</t>
  </si>
  <si>
    <t>2024-07-20T09:05:59.484214</t>
  </si>
  <si>
    <t>2024-07-20T09:06:13.562404</t>
  </si>
  <si>
    <t>2024-07-20T09:06:40.099007</t>
  </si>
  <si>
    <t>2024-07-20T09:06:39.864994</t>
  </si>
  <si>
    <t>2024-07-20T09:06:39.849042</t>
  </si>
  <si>
    <t>2024-07-20T09:06:40.155965</t>
  </si>
  <si>
    <t>2024-07-20T09:06:02.629702</t>
  </si>
  <si>
    <t>2024-07-20T09:06:31.775700</t>
  </si>
  <si>
    <t>2024-07-20T09:05:59.647400</t>
  </si>
  <si>
    <t>2024-07-20T09:06:13.867383</t>
  </si>
  <si>
    <t>2024-07-20T09:06:41.117068</t>
  </si>
  <si>
    <t>2024-07-20T09:06:40.883681</t>
  </si>
  <si>
    <t>2024-07-20T09:06:40.873513</t>
  </si>
  <si>
    <t>2024-07-20T09:06:41.180300</t>
  </si>
  <si>
    <t>2024-07-20T09:06:02.989027</t>
  </si>
  <si>
    <t>2024-07-20T09:06:32.678173</t>
  </si>
  <si>
    <t>2024-07-20T09:05:59.866404</t>
  </si>
  <si>
    <t>2024-07-20T09:06:14.342614</t>
  </si>
  <si>
    <t>2024-07-20T09:06:42.130677</t>
  </si>
  <si>
    <t>2024-07-20T09:06:41.901068</t>
  </si>
  <si>
    <t>2024-07-20T09:06:41.894167</t>
  </si>
  <si>
    <t>2024-07-20T09:06:42.201512</t>
  </si>
  <si>
    <t>2024-07-20T09:06:03.085087</t>
  </si>
  <si>
    <t>2024-07-20T09:06:33.587740</t>
  </si>
  <si>
    <t>2024-07-20T09:06:00.093007</t>
  </si>
  <si>
    <t>2024-07-20T09:06:14.749140</t>
  </si>
  <si>
    <t>2024-07-20T09:06:43.142378</t>
  </si>
  <si>
    <t>2024-07-20T09:06:42.927926</t>
  </si>
  <si>
    <t>2024-07-20T09:06:42.928531</t>
  </si>
  <si>
    <t>2024-07-20T09:06:43.229685</t>
  </si>
  <si>
    <t>2024-07-20T09:06:03.238849</t>
  </si>
  <si>
    <t>2024-07-20T09:06:34.157127</t>
  </si>
  <si>
    <t>2024-07-20T09:06:00.208667</t>
  </si>
  <si>
    <t>2024-07-20T09:06:15.208166</t>
  </si>
  <si>
    <t>2024-07-20T09:06:44.153864</t>
  </si>
  <si>
    <t>2024-07-20T09:06:43.940971</t>
  </si>
  <si>
    <t>2024-07-20T09:06:43.892338</t>
  </si>
  <si>
    <t>2024-07-20T09:06:44.248946</t>
  </si>
  <si>
    <t>2024-07-20T09:06:03.665138</t>
  </si>
  <si>
    <t>2024-07-20T09:06:35.059421</t>
  </si>
  <si>
    <t>2024-07-20T09:06:00.419885</t>
  </si>
  <si>
    <t>2024-07-20T09:06:16.108522</t>
  </si>
  <si>
    <t>2024-07-20T09:06:45.169372</t>
  </si>
  <si>
    <t>2024-07-20T09:06:44.969798</t>
  </si>
  <si>
    <t>2024-07-20T09:06:44.901447</t>
  </si>
  <si>
    <t>2024-07-20T09:06:45.217676</t>
  </si>
  <si>
    <t>2024-07-20T09:06:04.005153</t>
  </si>
  <si>
    <t>2024-07-20T09:06:35.964518</t>
  </si>
  <si>
    <t>2024-07-20T09:06:00.468792</t>
  </si>
  <si>
    <t>2024-07-20T09:06:16.179326</t>
  </si>
  <si>
    <t>2024-07-20T09:06:46.191681</t>
  </si>
  <si>
    <t>2024-07-20T09:06:45.987564</t>
  </si>
  <si>
    <t>2024-07-20T09:06:45.917293</t>
  </si>
  <si>
    <t>2024-07-20T09:06:46.237702</t>
  </si>
  <si>
    <t>2024-07-20T09:06:04.260751</t>
  </si>
  <si>
    <t>2024-07-20T09:06:36.864757</t>
  </si>
  <si>
    <t>2024-07-20T09:06:00.720450</t>
  </si>
  <si>
    <t>2024-07-20T09:06:17.081915</t>
  </si>
  <si>
    <t>2024-07-20T09:06:47.215118</t>
  </si>
  <si>
    <t>2024-07-20T09:06:47.012175</t>
  </si>
  <si>
    <t>2024-07-20T09:06:46.930771</t>
  </si>
  <si>
    <t>2024-07-20T09:06:47.247789</t>
  </si>
  <si>
    <t>2024-07-20T09:06:04.328445</t>
  </si>
  <si>
    <t>2024-07-20T09:06:37.767227</t>
  </si>
  <si>
    <t>2024-07-20T09:06:00.827927</t>
  </si>
  <si>
    <t>2024-07-20T09:06:17.984779</t>
  </si>
  <si>
    <t>2024-07-20T09:06:48.239101</t>
  </si>
  <si>
    <t>2024-07-20T09:06:47.984321</t>
  </si>
  <si>
    <t>2024-07-20T09:06:47.946448</t>
  </si>
  <si>
    <t>2024-07-20T09:06:48.267277</t>
  </si>
  <si>
    <t>2024-07-20T09:06:04.960810</t>
  </si>
  <si>
    <t>2024-07-20T09:06:38.676367</t>
  </si>
  <si>
    <t>2024-07-20T09:06:01.091542</t>
  </si>
  <si>
    <t>2024-07-20T09:06:18.594422</t>
  </si>
  <si>
    <t>Mean</t>
  </si>
  <si>
    <t>2024-07-20T09:06:05.097916</t>
  </si>
  <si>
    <t>2024-07-20T09:06:39.573588</t>
  </si>
  <si>
    <t>2024-07-20T09:06:01.821841</t>
  </si>
  <si>
    <t>2024-07-20T09:06:18.704787</t>
  </si>
  <si>
    <t>Standard Deviation</t>
  </si>
  <si>
    <t>2024-07-20T09:06:05.258237</t>
  </si>
  <si>
    <t>2024-07-20T09:06:40.478955</t>
  </si>
  <si>
    <t>2024-07-20T09:06:01.896652</t>
  </si>
  <si>
    <t>2024-07-20T09:06:19.258524</t>
  </si>
  <si>
    <t>Upper boundary</t>
  </si>
  <si>
    <t>2024-07-20T09:06:05.549063</t>
  </si>
  <si>
    <t>2024-07-20T09:06:41.382062</t>
  </si>
  <si>
    <t>2024-07-20T09:06:02.095836</t>
  </si>
  <si>
    <t>2024-07-20T09:06:19.610363</t>
  </si>
  <si>
    <t>Lower boundary</t>
  </si>
  <si>
    <t>2024-07-20T09:06:06.023543</t>
  </si>
  <si>
    <t>2024-07-20T09:06:42.285690</t>
  </si>
  <si>
    <t>2024-07-20T09:06:02.595738</t>
  </si>
  <si>
    <t>2024-07-20T09:06:19.780614</t>
  </si>
  <si>
    <t>2024-07-20T09:06:06.338105</t>
  </si>
  <si>
    <t>2024-07-20T09:06:43.188573</t>
  </si>
  <si>
    <t>2024-07-20T09:06:02.721041</t>
  </si>
  <si>
    <t>2024-07-20T09:06:19.969359</t>
  </si>
  <si>
    <t>Ground Truth - Laser manual  measurement</t>
  </si>
  <si>
    <t>2024-07-20T09:06:06.442736</t>
  </si>
  <si>
    <t>2024-07-20T09:06:44.087431</t>
  </si>
  <si>
    <t>2024-07-20T09:06:02.773195</t>
  </si>
  <si>
    <t>2024-07-20T09:06:20.872373</t>
  </si>
  <si>
    <t>Error</t>
  </si>
  <si>
    <t>2024-07-20T09:06:06.745565</t>
  </si>
  <si>
    <t>2024-07-20T09:06:44.990149</t>
  </si>
  <si>
    <t>2024-07-20T09:06:02.973076</t>
  </si>
  <si>
    <t>2024-07-20T09:06:21.031542</t>
  </si>
  <si>
    <t>Error %</t>
  </si>
  <si>
    <t>2024-07-20T09:06:07.650373</t>
  </si>
  <si>
    <t>2024-07-20T09:06:45.896410</t>
  </si>
  <si>
    <t>2024-07-20T09:06:03.060325</t>
  </si>
  <si>
    <t>2024-07-20T09:06:21.936242</t>
  </si>
  <si>
    <t>2024-07-20T09:06:07.947915</t>
  </si>
  <si>
    <t>2024-07-20T09:06:46.799144</t>
  </si>
  <si>
    <t>2024-07-20T09:06:03.963156</t>
  </si>
  <si>
    <t>2024-07-20T09:06:22.389151</t>
  </si>
  <si>
    <t>Ground Truth - 3D walk measurement</t>
  </si>
  <si>
    <t>2024-07-20T09:06:08.188660</t>
  </si>
  <si>
    <t>2024-07-20T09:06:47.702053</t>
  </si>
  <si>
    <t>2024-07-20T09:06:04.331227</t>
  </si>
  <si>
    <t>2024-07-20T09:06:23.290978</t>
  </si>
  <si>
    <t>2024-07-20T09:06:08.273321</t>
  </si>
  <si>
    <t>2024-07-20T09:06:48.602253</t>
  </si>
  <si>
    <t>2024-07-20T09:06:04.402090</t>
  </si>
  <si>
    <t>2024-07-20T09:06:23.510300</t>
  </si>
  <si>
    <t>2024-07-20T09:06:08.554357</t>
  </si>
  <si>
    <t>2024-07-20T09:06:04.930362</t>
  </si>
  <si>
    <t>2024-07-20T09:06:23.683315</t>
  </si>
  <si>
    <t>2024-07-20T09:06:08.881529</t>
  </si>
  <si>
    <t>2024-07-20T09:06:05.057974</t>
  </si>
  <si>
    <t>2024-07-20T09:06:23.787475</t>
  </si>
  <si>
    <t>Ground Truth - 3D model measurement</t>
  </si>
  <si>
    <t>2024-07-20T09:06:08.971373</t>
  </si>
  <si>
    <t>2024-07-20T09:06:05.245417</t>
  </si>
  <si>
    <t>2024-07-20T09:06:24.358148</t>
  </si>
  <si>
    <t>2024-07-20T09:06:09.380528</t>
  </si>
  <si>
    <t>2024-07-20T09:06:05.514995</t>
  </si>
  <si>
    <t>2024-07-20T09:06:24.988492</t>
  </si>
  <si>
    <t>2024-07-20T09:06:09.767790</t>
  </si>
  <si>
    <t>2024-07-20T09:06:05.791162</t>
  </si>
  <si>
    <t>2024-07-20T09:06:25.893605</t>
  </si>
  <si>
    <t>2024-07-20T09:06:09.908195</t>
  </si>
  <si>
    <t>2024-07-20T09:06:06.360638</t>
  </si>
  <si>
    <t>2024-07-20T09:06:26.225917</t>
  </si>
  <si>
    <t>2024-07-20T09:06:10.062803</t>
  </si>
  <si>
    <t>2024-07-20T09:06:06.484659</t>
  </si>
  <si>
    <t>2024-07-20T09:06:26.371465</t>
  </si>
  <si>
    <t>2024-07-20T09:06:10.323658</t>
  </si>
  <si>
    <t>2024-07-20T09:06:06.765606</t>
  </si>
  <si>
    <t>2024-07-20T09:06:27.274040</t>
  </si>
  <si>
    <t>2024-07-20T09:06:10.384632</t>
  </si>
  <si>
    <t>2024-07-20T09:06:07.469063</t>
  </si>
  <si>
    <t>2024-07-20T09:06:27.452391</t>
  </si>
  <si>
    <t>2024-07-20T09:06:10.519030</t>
  </si>
  <si>
    <t>2024-07-20T09:06:07.941553</t>
  </si>
  <si>
    <t>2024-07-20T09:06:27.742328</t>
  </si>
  <si>
    <t>2024-07-20T09:06:11.415955</t>
  </si>
  <si>
    <t>2024-07-20T09:06:08.039642</t>
  </si>
  <si>
    <t>2024-07-20T09:06:27.931596</t>
  </si>
  <si>
    <t>2024-07-20T09:06:11.731023</t>
  </si>
  <si>
    <t>2024-07-20T09:06:08.243072</t>
  </si>
  <si>
    <t>2024-07-20T09:06:28.312706</t>
  </si>
  <si>
    <t>2024-07-20T09:06:11.849044</t>
  </si>
  <si>
    <t>2024-07-20T09:06:08.353199</t>
  </si>
  <si>
    <t>2024-07-20T09:06:29.045400</t>
  </si>
  <si>
    <t>2024-07-20T09:06:12.034795</t>
  </si>
  <si>
    <t>2024-07-20T09:06:08.549836</t>
  </si>
  <si>
    <t>2024-07-20T09:06:29.236055</t>
  </si>
  <si>
    <t>2024-07-20T09:06:12.284909</t>
  </si>
  <si>
    <t>2024-07-20T09:06:08.684255</t>
  </si>
  <si>
    <t>2024-07-20T09:06:30.021576</t>
  </si>
  <si>
    <t>2024-07-20T09:06:12.404235</t>
  </si>
  <si>
    <t>2024-07-20T09:06:08.773012</t>
  </si>
  <si>
    <t>2024-07-20T09:06:30.929221</t>
  </si>
  <si>
    <t>2024-07-20T09:06:12.482227</t>
  </si>
  <si>
    <t>2024-07-20T09:06:08.922634</t>
  </si>
  <si>
    <t>2024-07-20T09:06:31.827333</t>
  </si>
  <si>
    <t>2024-07-20T09:06:13.007877</t>
  </si>
  <si>
    <t>2024-07-20T09:06:08.974234</t>
  </si>
  <si>
    <t>2024-07-20T09:06:32.227895</t>
  </si>
  <si>
    <t>2024-07-20T09:06:13.218912</t>
  </si>
  <si>
    <t>2024-07-20T09:06:09.273773</t>
  </si>
  <si>
    <t>2024-07-20T09:06:33.130821</t>
  </si>
  <si>
    <t>2024-07-20T09:06:13.415809</t>
  </si>
  <si>
    <t>2024-07-20T09:06:09.419541</t>
  </si>
  <si>
    <t>2024-07-20T09:06:34.035403</t>
  </si>
  <si>
    <t>2024-07-20T09:06:13.610372</t>
  </si>
  <si>
    <t>2024-07-20T09:06:09.501034</t>
  </si>
  <si>
    <t>2024-07-20T09:06:34.236828</t>
  </si>
  <si>
    <t>2024-07-20T09:06:13.759907</t>
  </si>
  <si>
    <t>2024-07-20T09:06:09.784633</t>
  </si>
  <si>
    <t>2024-07-20T09:06:35.142363</t>
  </si>
  <si>
    <t>2024-07-20T09:06:14.005477</t>
  </si>
  <si>
    <t>2024-07-20T09:06:10.045624</t>
  </si>
  <si>
    <t>2024-07-20T09:06:36.045773</t>
  </si>
  <si>
    <t>2024-07-20T09:06:14.303045</t>
  </si>
  <si>
    <t>2024-07-20T09:06:10.203932</t>
  </si>
  <si>
    <t>2024-07-20T09:06:36.234544</t>
  </si>
  <si>
    <t>2024-07-20T09:06:14.397719</t>
  </si>
  <si>
    <t>2024-07-20T09:06:10.303477</t>
  </si>
  <si>
    <t>2024-07-20T09:06:36.662889</t>
  </si>
  <si>
    <t>2024-07-20T09:06:14.641165</t>
  </si>
  <si>
    <t>2024-07-20T09:06:10.449083</t>
  </si>
  <si>
    <t>2024-07-20T09:06:37.546029</t>
  </si>
  <si>
    <t>2024-07-20T09:06:15.543164</t>
  </si>
  <si>
    <t>2024-07-20T09:06:10.780940</t>
  </si>
  <si>
    <t>2024-07-20T09:06:37.817624</t>
  </si>
  <si>
    <t>2024-07-20T09:06:15.647535</t>
  </si>
  <si>
    <t>2024-07-20T09:06:10.839753</t>
  </si>
  <si>
    <t>2024-07-20T09:06:37.904488</t>
  </si>
  <si>
    <t>2024-07-20T09:06:15.808561</t>
  </si>
  <si>
    <t>2024-07-20T09:06:10.901993</t>
  </si>
  <si>
    <t>2024-07-20T09:06:38.658332</t>
  </si>
  <si>
    <t>2024-07-20T09:06:15.959710</t>
  </si>
  <si>
    <t>2024-07-20T09:06:10.991431</t>
  </si>
  <si>
    <t>2024-07-20T09:06:39.534943</t>
  </si>
  <si>
    <t>2024-07-20T09:06:16.133304</t>
  </si>
  <si>
    <t>2024-07-20T09:06:11.464387</t>
  </si>
  <si>
    <t>2024-07-20T09:06:39.690615</t>
  </si>
  <si>
    <t>2024-07-20T09:06:16.254358</t>
  </si>
  <si>
    <t>2024-07-20T09:06:11.497681</t>
  </si>
  <si>
    <t>2024-07-20T09:06:39.975446</t>
  </si>
  <si>
    <t>2024-07-20T09:06:16.693963</t>
  </si>
  <si>
    <t>2024-07-20T09:06:11.757698</t>
  </si>
  <si>
    <t>2024-07-20T09:06:40.877793</t>
  </si>
  <si>
    <t>2024-07-20T09:06:17.045985</t>
  </si>
  <si>
    <t>2024-07-20T09:06:11.924655</t>
  </si>
  <si>
    <t>2024-07-20T09:06:41.569529</t>
  </si>
  <si>
    <t>2024-07-20T09:06:17.685533</t>
  </si>
  <si>
    <t>2024-07-20T09:06:12.216127</t>
  </si>
  <si>
    <t>2024-07-20T09:06:42.374916</t>
  </si>
  <si>
    <t>2024-07-20T09:06:18.591243</t>
  </si>
  <si>
    <t>2024-07-20T09:06:12.450287</t>
  </si>
  <si>
    <t>2024-07-20T09:06:42.640326</t>
  </si>
  <si>
    <t>2024-07-20T09:06:18.680495</t>
  </si>
  <si>
    <t>2024-07-20T09:06:12.496720</t>
  </si>
  <si>
    <t>2024-07-20T09:06:42.711680</t>
  </si>
  <si>
    <t>2024-07-20T09:06:19.092274</t>
  </si>
  <si>
    <t>2024-07-20T09:06:12.635678</t>
  </si>
  <si>
    <t>2024-07-20T09:06:43.019213</t>
  </si>
  <si>
    <t>2024-07-20T09:06:19.202650</t>
  </si>
  <si>
    <t>2024-07-20T09:06:13.276336</t>
  </si>
  <si>
    <t>2024-07-20T09:06:43.927068</t>
  </si>
  <si>
    <t>2024-07-20T09:06:19.306186</t>
  </si>
  <si>
    <t>2024-07-20T09:06:13.393168</t>
  </si>
  <si>
    <t>2024-07-20T09:06:44.538242</t>
  </si>
  <si>
    <t>2024-07-20T09:06:19.386584</t>
  </si>
  <si>
    <t>2024-07-20T09:06:13.658023</t>
  </si>
  <si>
    <t>2024-07-20T09:06:44.674234</t>
  </si>
  <si>
    <t>2024-07-20T09:06:19.588350</t>
  </si>
  <si>
    <t>2024-07-20T09:06:13.945934</t>
  </si>
  <si>
    <t>2024-07-20T09:06:44.779723</t>
  </si>
  <si>
    <t>2024-07-20T09:06:19.736456</t>
  </si>
  <si>
    <t>2024-07-20T09:06:14.279410</t>
  </si>
  <si>
    <t>2024-07-20T09:06:45.106711</t>
  </si>
  <si>
    <t>2024-07-20T09:06:20.265968</t>
  </si>
  <si>
    <t>2024-07-20T09:06:14.384983</t>
  </si>
  <si>
    <t>2024-07-20T09:06:46.009529</t>
  </si>
  <si>
    <t>2024-07-20T09:06:20.455285</t>
  </si>
  <si>
    <t>2024-07-20T09:06:14.682768</t>
  </si>
  <si>
    <t>2024-07-20T09:06:46.844413</t>
  </si>
  <si>
    <t>2024-07-20T09:06:20.930968</t>
  </si>
  <si>
    <t>2024-07-20T09:06:14.908143</t>
  </si>
  <si>
    <t>2024-07-20T09:06:47.305894</t>
  </si>
  <si>
    <t>2024-07-20T09:06:21.048369</t>
  </si>
  <si>
    <t>2024-07-20T09:06:15.214013</t>
  </si>
  <si>
    <t>2024-07-20T09:06:48.209599</t>
  </si>
  <si>
    <t>2024-07-20T09:06:21.331930</t>
  </si>
  <si>
    <t>2024-07-20T09:06:15.635938</t>
  </si>
  <si>
    <t>2024-07-20T09:06:48.738992</t>
  </si>
  <si>
    <t>2024-07-20T09:06:21.416945</t>
  </si>
  <si>
    <t>2024-07-20T09:06:15.821904</t>
  </si>
  <si>
    <t>2024-07-20T09:06:21.846894</t>
  </si>
  <si>
    <t>2024-07-20T09:06:15.893219</t>
  </si>
  <si>
    <t>2024-07-20T09:06:22.386195</t>
  </si>
  <si>
    <t>2024-07-20T09:06:16.044573</t>
  </si>
  <si>
    <t>2024-07-20T09:06:22.974631</t>
  </si>
  <si>
    <t>2024-07-20T09:06:16.186195</t>
  </si>
  <si>
    <t>2024-07-20T09:06:23.514057</t>
  </si>
  <si>
    <t>2024-07-20T09:06:16.255053</t>
  </si>
  <si>
    <t>2024-07-20T09:06:23.723671</t>
  </si>
  <si>
    <t>2024-07-20T09:06:16.979972</t>
  </si>
  <si>
    <t>2024-07-20T09:06:23.861754</t>
  </si>
  <si>
    <t>2024-07-20T09:06:17.038759</t>
  </si>
  <si>
    <t>2024-07-20T09:06:24.417872</t>
  </si>
  <si>
    <t>2024-07-20T09:06:17.708168</t>
  </si>
  <si>
    <t>2024-07-20T09:06:24.627487</t>
  </si>
  <si>
    <t>2024-07-20T09:06:18.356477</t>
  </si>
  <si>
    <t>2024-07-20T09:06:25.024867</t>
  </si>
  <si>
    <t>2024-07-20T09:06:18.651839</t>
  </si>
  <si>
    <t>2024-07-20T09:06:25.396892</t>
  </si>
  <si>
    <t>2024-07-20T09:06:18.768377</t>
  </si>
  <si>
    <t>2024-07-20T09:06:25.583590</t>
  </si>
  <si>
    <t>2024-07-20T09:06:19.068618</t>
  </si>
  <si>
    <t>2024-07-20T09:06:25.893035</t>
  </si>
  <si>
    <t>2024-07-20T09:06:19.193782</t>
  </si>
  <si>
    <t>2024-07-20T09:06:26.212552</t>
  </si>
  <si>
    <t>2024-07-20T09:06:19.255320</t>
  </si>
  <si>
    <t>2024-07-20T09:06:26.398839</t>
  </si>
  <si>
    <t>2024-07-20T09:06:19.317154</t>
  </si>
  <si>
    <t>2024-07-20T09:06:26.545218</t>
  </si>
  <si>
    <t>2024-07-20T09:06:19.502104</t>
  </si>
  <si>
    <t>2024-07-20T09:06:27.314451</t>
  </si>
  <si>
    <t>2024-07-20T09:06:19.719551</t>
  </si>
  <si>
    <t>2024-07-20T09:06:27.689013</t>
  </si>
  <si>
    <t>2024-07-20T09:06:19.813124</t>
  </si>
  <si>
    <t>2024-07-20T09:06:27.817511</t>
  </si>
  <si>
    <t>2024-07-20T09:06:19.940999</t>
  </si>
  <si>
    <t>2024-07-20T09:06:28.721607</t>
  </si>
  <si>
    <t>2024-07-20T09:06:20.046948</t>
  </si>
  <si>
    <t>2024-07-20T09:06:28.826138</t>
  </si>
  <si>
    <t>2024-07-20T09:06:20.282195</t>
  </si>
  <si>
    <t>2024-07-20T09:06:28.880724</t>
  </si>
  <si>
    <t>2024-07-20T09:06:20.389991</t>
  </si>
  <si>
    <t>2024-07-20T09:06:29.129008</t>
  </si>
  <si>
    <t>2024-07-20T09:06:20.478527</t>
  </si>
  <si>
    <t>2024-07-20T09:06:29.242068</t>
  </si>
  <si>
    <t>2024-07-20T09:06:20.952653</t>
  </si>
  <si>
    <t>2024-07-20T09:06:29.471930</t>
  </si>
  <si>
    <t>2024-07-20T09:06:21.303526</t>
  </si>
  <si>
    <t>2024-07-20T09:06:29.656433</t>
  </si>
  <si>
    <t>2024-07-20T09:06:21.793489</t>
  </si>
  <si>
    <t>2024-07-20T09:06:29.938942</t>
  </si>
  <si>
    <t>2024-07-20T09:06:21.867682</t>
  </si>
  <si>
    <t>2024-07-20T09:06:30.161193</t>
  </si>
  <si>
    <t>2024-07-20T09:06:22.047241</t>
  </si>
  <si>
    <t>2024-07-20T09:06:30.936081</t>
  </si>
  <si>
    <t>2024-07-20T09:06:22.200076</t>
  </si>
  <si>
    <t>2024-07-20T09:06:31.813316</t>
  </si>
  <si>
    <t>2024-07-20T09:06:22.565293</t>
  </si>
  <si>
    <t>2024-07-20T09:06:32.233217</t>
  </si>
  <si>
    <t>2024-07-20T09:06:22.705977</t>
  </si>
  <si>
    <t>2024-07-20T09:06:32.709564</t>
  </si>
  <si>
    <t>2024-07-20T09:06:22.819934</t>
  </si>
  <si>
    <t>2024-07-20T09:06:33.324625</t>
  </si>
  <si>
    <t>2024-07-20T09:06:23.077464</t>
  </si>
  <si>
    <t>2024-07-20T09:06:33.860060</t>
  </si>
  <si>
    <t>2024-07-20T09:06:23.175746</t>
  </si>
  <si>
    <t>2024-07-20T09:06:33.990704</t>
  </si>
  <si>
    <t>2024-07-20T09:06:23.466798</t>
  </si>
  <si>
    <t>2024-07-20T09:06:34.284138</t>
  </si>
  <si>
    <t>2024-07-20T09:06:23.530989</t>
  </si>
  <si>
    <t>2024-07-20T09:06:34.408491</t>
  </si>
  <si>
    <t>2024-07-20T09:06:23.646425</t>
  </si>
  <si>
    <t>2024-07-20T09:06:34.561857</t>
  </si>
  <si>
    <t>2024-07-20T09:06:23.754735</t>
  </si>
  <si>
    <t>2024-07-20T09:06:34.687423</t>
  </si>
  <si>
    <t>2024-07-20T09:06:23.853469</t>
  </si>
  <si>
    <t>2024-07-20T09:06:34.825429</t>
  </si>
  <si>
    <t>2024-07-20T09:06:23.988718</t>
  </si>
  <si>
    <t>2024-07-20T09:06:35.161480</t>
  </si>
  <si>
    <t>2024-07-20T09:06:24.398962</t>
  </si>
  <si>
    <t>2024-07-20T09:06:36.067120</t>
  </si>
  <si>
    <t>2024-07-20T09:06:24.969445</t>
  </si>
  <si>
    <t>2024-07-20T09:06:36.420620</t>
  </si>
  <si>
    <t>2024-07-20T09:06:25.718051</t>
  </si>
  <si>
    <t>2024-07-20T09:06:36.634583</t>
  </si>
  <si>
    <t>2024-07-20T09:06:26.168505</t>
  </si>
  <si>
    <t>2024-07-20T09:06:36.763419</t>
  </si>
  <si>
    <t>2024-07-20T09:06:26.440810</t>
  </si>
  <si>
    <t>2024-07-20T09:06:37.180962</t>
  </si>
  <si>
    <t>2024-07-20T09:06:26.529143</t>
  </si>
  <si>
    <t>2024-07-20T09:06:37.268551</t>
  </si>
  <si>
    <t>2024-07-20T09:06:27.434930</t>
  </si>
  <si>
    <t>2024-07-20T09:06:37.352315</t>
  </si>
  <si>
    <t>2024-07-20T09:06:27.640669</t>
  </si>
  <si>
    <t>2024-07-20T09:06:37.519803</t>
  </si>
  <si>
    <t>2024-07-20T09:06:27.690760</t>
  </si>
  <si>
    <t>2024-07-20T09:06:37.782386</t>
  </si>
  <si>
    <t>2024-07-20T09:06:27.799252</t>
  </si>
  <si>
    <t>2024-07-20T09:06:37.909027</t>
  </si>
  <si>
    <t>2024-07-20T09:06:27.854568</t>
  </si>
  <si>
    <t>2024-07-20T09:06:38.246951</t>
  </si>
  <si>
    <t>2024-07-20T09:06:28.174327</t>
  </si>
  <si>
    <t>2024-07-20T09:06:38.578421</t>
  </si>
  <si>
    <t>2024-07-20T09:06:28.356202</t>
  </si>
  <si>
    <t>2024-07-20T09:06:38.684657</t>
  </si>
  <si>
    <t>2024-07-20T09:06:28.859419</t>
  </si>
  <si>
    <t>2024-07-20T09:06:39.083214</t>
  </si>
  <si>
    <t>2024-07-20T09:06:29.013902</t>
  </si>
  <si>
    <t>2024-07-20T09:06:39.467522</t>
  </si>
  <si>
    <t>2024-07-20T09:06:29.120176</t>
  </si>
  <si>
    <t>2024-07-20T09:06:39.802842</t>
  </si>
  <si>
    <t>2024-07-20T09:06:29.234726</t>
  </si>
  <si>
    <t>2024-07-20T09:06:40.705647</t>
  </si>
  <si>
    <t>2024-07-20T09:06:29.347013</t>
  </si>
  <si>
    <t>2024-07-20T09:06:40.889691</t>
  </si>
  <si>
    <t>2024-07-20T09:06:29.462536</t>
  </si>
  <si>
    <t>2024-07-20T09:06:41.101418</t>
  </si>
  <si>
    <t>2024-07-20T09:06:29.527572</t>
  </si>
  <si>
    <t>2024-07-20T09:06:41.251141</t>
  </si>
  <si>
    <t>2024-07-20T09:06:29.655696</t>
  </si>
  <si>
    <t>2024-07-20T09:06:41.455108</t>
  </si>
  <si>
    <t>2024-07-20T09:06:29.894638</t>
  </si>
  <si>
    <t>2024-07-20T09:06:41.567280</t>
  </si>
  <si>
    <t>2024-07-20T09:06:29.983040</t>
  </si>
  <si>
    <t>2024-07-20T09:06:41.868530</t>
  </si>
  <si>
    <t>2024-07-20T09:06:30.098745</t>
  </si>
  <si>
    <t>2024-07-20T09:06:41.960022</t>
  </si>
  <si>
    <t>2024-07-20T09:06:30.162636</t>
  </si>
  <si>
    <t>2024-07-20T09:06:42.174568</t>
  </si>
  <si>
    <t>2024-07-20T09:06:30.933758</t>
  </si>
  <si>
    <t>2024-07-20T09:06:42.366870</t>
  </si>
  <si>
    <t>2024-07-20T09:06:31.832626</t>
  </si>
  <si>
    <t>2024-07-20T09:06:42.483014</t>
  </si>
  <si>
    <t>2024-07-20T09:06:32.209292</t>
  </si>
  <si>
    <t>2024-07-20T09:06:42.640473</t>
  </si>
  <si>
    <t>2024-07-20T09:06:32.432870</t>
  </si>
  <si>
    <t>2024-07-20T09:06:42.693070</t>
  </si>
  <si>
    <t>2024-07-20T09:06:32.509950</t>
  </si>
  <si>
    <t>2024-07-20T09:06:42.851535</t>
  </si>
  <si>
    <t>2024-07-20T09:06:32.706946</t>
  </si>
  <si>
    <t>2024-07-20T09:06:43.041966</t>
  </si>
  <si>
    <t>2024-07-20T09:06:33.324043</t>
  </si>
  <si>
    <t>2024-07-20T09:06:43.138566</t>
  </si>
  <si>
    <t>2024-07-20T09:06:33.992835</t>
  </si>
  <si>
    <t>2024-07-20T09:06:43.190154</t>
  </si>
  <si>
    <t>2024-07-20T09:06:34.124817</t>
  </si>
  <si>
    <t>2024-07-20T09:06:43.459303</t>
  </si>
  <si>
    <t>2024-07-20T09:06:34.282754</t>
  </si>
  <si>
    <t>2024-07-20T09:06:43.638208</t>
  </si>
  <si>
    <t>2024-07-20T09:06:34.787514</t>
  </si>
  <si>
    <t>2024-07-20T09:06:43.927007</t>
  </si>
  <si>
    <t>2024-07-20T09:06:35.158533</t>
  </si>
  <si>
    <t>2024-07-20T09:06:44.339595</t>
  </si>
  <si>
    <t>2024-07-20T09:06:36.055039</t>
  </si>
  <si>
    <t>2024-07-20T09:06:44.839974</t>
  </si>
  <si>
    <t>2024-07-20T09:06:36.164446</t>
  </si>
  <si>
    <t>2024-07-20T09:06:44.960763</t>
  </si>
  <si>
    <t>2024-07-20T09:06:36.255978</t>
  </si>
  <si>
    <t>2024-07-20T09:06:45.174411</t>
  </si>
  <si>
    <t>2024-07-20T09:06:36.533790</t>
  </si>
  <si>
    <t>2024-07-20T09:06:46.054449</t>
  </si>
  <si>
    <t>2024-07-20T09:06:36.636725</t>
  </si>
  <si>
    <t>2024-07-20T09:06:46.137371</t>
  </si>
  <si>
    <t>2024-07-20T09:06:36.711362</t>
  </si>
  <si>
    <t>2024-07-20T09:06:46.836877</t>
  </si>
  <si>
    <t>2024-07-20T09:06:36.813928</t>
  </si>
  <si>
    <t>2024-07-20T09:06:46.944922</t>
  </si>
  <si>
    <t>2024-07-20T09:06:36.879035</t>
  </si>
  <si>
    <t>2024-07-20T09:06:47.329702</t>
  </si>
  <si>
    <t>2024-07-20T09:06:37.259375</t>
  </si>
  <si>
    <t>2024-07-20T09:06:48.232175</t>
  </si>
  <si>
    <t>2024-07-20T09:06:37.332634</t>
  </si>
  <si>
    <t>2024-07-20T09:06:48.366417</t>
  </si>
  <si>
    <t>2024-07-20T09:06:37.383595</t>
  </si>
  <si>
    <t>2024-07-20T09:06:49.268951</t>
  </si>
  <si>
    <t>2024-07-20T09:06:37.511175</t>
  </si>
  <si>
    <t>2024-07-20T09:06:37.565178</t>
  </si>
  <si>
    <t>2024-07-20T09:06:37.905744</t>
  </si>
  <si>
    <t>2024-07-20T09:06:38.221678</t>
  </si>
  <si>
    <t>2024-07-20T09:06:38.359687</t>
  </si>
  <si>
    <t>2024-07-20T09:06:38.630103</t>
  </si>
  <si>
    <t>2024-07-20T09:06:38.823121</t>
  </si>
  <si>
    <t>2024-07-20T09:06:38.874401</t>
  </si>
  <si>
    <t>2024-07-20T09:06:39.067303</t>
  </si>
  <si>
    <t>2024-07-20T09:06:39.479296</t>
  </si>
  <si>
    <t>2024-07-20T09:06:39.583324</t>
  </si>
  <si>
    <t>2024-07-20T09:06:39.655830</t>
  </si>
  <si>
    <t>2024-07-20T09:06:39.777892</t>
  </si>
  <si>
    <t>2024-07-20T09:06:39.966487</t>
  </si>
  <si>
    <t>2024-07-20T09:06:40.052061</t>
  </si>
  <si>
    <t>2024-07-20T09:06:40.425056</t>
  </si>
  <si>
    <t>2024-07-20T09:06:40.913363</t>
  </si>
  <si>
    <t>2024-07-20T09:06:41.098740</t>
  </si>
  <si>
    <t>2024-07-20T09:06:41.186489</t>
  </si>
  <si>
    <t>2024-07-20T09:06:41.473862</t>
  </si>
  <si>
    <t>2024-07-20T09:06:41.552605</t>
  </si>
  <si>
    <t>2024-07-20T09:06:41.944430</t>
  </si>
  <si>
    <t>2024-07-20T09:06:42.233126</t>
  </si>
  <si>
    <t>2024-07-20T09:06:42.371375</t>
  </si>
  <si>
    <t>2024-07-20T09:06:42.488377</t>
  </si>
  <si>
    <t>2024-07-20T09:06:42.718691</t>
  </si>
  <si>
    <t>2024-07-20T09:06:42.993544</t>
  </si>
  <si>
    <t>2024-07-20T09:06:43.070752</t>
  </si>
  <si>
    <t>2024-07-20T09:06:43.473996</t>
  </si>
  <si>
    <t>2024-07-20T09:06:43.660202</t>
  </si>
  <si>
    <t>2024-07-20T09:06:43.746840</t>
  </si>
  <si>
    <t>2024-07-20T09:06:44.337914</t>
  </si>
  <si>
    <t>2024-07-20T09:06:44.444764</t>
  </si>
  <si>
    <t>2024-07-20T09:06:44.798754</t>
  </si>
  <si>
    <t>2024-07-20T09:06:44.973045</t>
  </si>
  <si>
    <t>2024-07-20T09:06:45.158848</t>
  </si>
  <si>
    <t>2024-07-20T09:06:45.294139</t>
  </si>
  <si>
    <t>2024-07-20T09:06:45.921902</t>
  </si>
  <si>
    <t>2024-07-20T09:06:45.971129</t>
  </si>
  <si>
    <t>2024-07-20T09:06:46.050307</t>
  </si>
  <si>
    <t>2024-07-20T09:06:46.164231</t>
  </si>
  <si>
    <t>2024-07-20T09:06:46.924778</t>
  </si>
  <si>
    <t>2024-07-20T09:06:47.319798</t>
  </si>
  <si>
    <t>2024-07-20T09:06:47.430106</t>
  </si>
  <si>
    <t>2024-07-20T09:06:47.798109</t>
  </si>
  <si>
    <t>2024-07-20T09:06:48.381809</t>
  </si>
  <si>
    <t>2024-07-20T09:06:48.780323</t>
  </si>
  <si>
    <t>2024-07-20_11-05-49</t>
  </si>
  <si>
    <t>2024-07-20_11-05-54</t>
  </si>
  <si>
    <t>2024-07-20_11-05-59</t>
  </si>
  <si>
    <t>2024-07-20_11-06-04</t>
  </si>
  <si>
    <t>2024-07-20_11-06-45</t>
  </si>
  <si>
    <t>Mean unfiltered</t>
  </si>
  <si>
    <t>Mean filtered</t>
  </si>
  <si>
    <t>2024-07-20_11-06-09</t>
  </si>
  <si>
    <t>2024-07-20_11-06-24</t>
  </si>
  <si>
    <t>2024-07-20_11-06-14</t>
  </si>
  <si>
    <t>2024-07-20_11-06-29</t>
  </si>
  <si>
    <t>2024-07-20_11-06-19</t>
  </si>
  <si>
    <t>2024-07-20_11-06-34</t>
  </si>
  <si>
    <t>2024-07-20_11-06-39</t>
  </si>
  <si>
    <t>Error [m]</t>
  </si>
  <si>
    <t>Error [%]</t>
  </si>
  <si>
    <t>2024-07-20T09:07:14.032464</t>
  </si>
  <si>
    <t>2024-07-20T09:07:14.328041</t>
  </si>
  <si>
    <t>2024-07-20T09:07:13.882531</t>
  </si>
  <si>
    <t>2024-07-20T09:07:13.835584</t>
  </si>
  <si>
    <t>2024-07-20T09:07:14.642694</t>
  </si>
  <si>
    <t>2024-07-20T09:07:14.350467</t>
  </si>
  <si>
    <t>2024-07-20T09:07:14.339616</t>
  </si>
  <si>
    <t>2024-07-20T09:07:14.070049</t>
  </si>
  <si>
    <t>2024-07-20T09:07:15.231166</t>
  </si>
  <si>
    <t>2024-07-20T09:07:14.103847</t>
  </si>
  <si>
    <t>2024-07-20T09:07:14.056972</t>
  </si>
  <si>
    <t>2024-07-20T09:07:15.668356</t>
  </si>
  <si>
    <t>2024-07-20T09:07:15.366674</t>
  </si>
  <si>
    <t>2024-07-20T09:07:15.299624</t>
  </si>
  <si>
    <t>2024-07-20T09:07:14.975673</t>
  </si>
  <si>
    <t>2024-07-20T09:07:16.137175</t>
  </si>
  <si>
    <t>2024-07-20T09:07:14.189932</t>
  </si>
  <si>
    <t>2024-07-20T09:07:14.320895</t>
  </si>
  <si>
    <t>2024-07-20T09:07:16.690376</t>
  </si>
  <si>
    <t>2024-07-20T09:07:16.380186</t>
  </si>
  <si>
    <t>2024-07-20T09:07:16.318189</t>
  </si>
  <si>
    <t>2024-07-20T09:07:15.062615</t>
  </si>
  <si>
    <t>2024-07-20T09:07:17.038167</t>
  </si>
  <si>
    <t>2024-07-20T09:07:14.269183</t>
  </si>
  <si>
    <t>2024-07-20T09:07:14.698344</t>
  </si>
  <si>
    <t>2024-07-20T09:07:17.710797</t>
  </si>
  <si>
    <t>2024-07-20T09:07:17.403662</t>
  </si>
  <si>
    <t>2024-07-20T09:07:17.330739</t>
  </si>
  <si>
    <t>2024-07-20T09:07:15.120615</t>
  </si>
  <si>
    <t>2024-07-20T09:07:17.940901</t>
  </si>
  <si>
    <t>2024-07-20T09:07:14.360720</t>
  </si>
  <si>
    <t>2024-07-20T09:07:15.093358</t>
  </si>
  <si>
    <t>2024-07-20T09:07:18.734938</t>
  </si>
  <si>
    <t>2024-07-20T09:07:18.428374</t>
  </si>
  <si>
    <t>2024-07-20T09:07:18.343412</t>
  </si>
  <si>
    <t>2024-07-20T09:07:15.188477</t>
  </si>
  <si>
    <t>2024-07-20T09:07:18.847360</t>
  </si>
  <si>
    <t>2024-07-20T09:07:14.685427</t>
  </si>
  <si>
    <t>2024-07-20T09:07:15.472858</t>
  </si>
  <si>
    <t>2024-07-20T09:07:19.757309</t>
  </si>
  <si>
    <t>2024-07-20T09:07:19.454263</t>
  </si>
  <si>
    <t>2024-07-20T09:07:19.357268</t>
  </si>
  <si>
    <t>2024-07-20T09:07:15.394395</t>
  </si>
  <si>
    <t>2024-07-20T09:07:19.746987</t>
  </si>
  <si>
    <t>2024-07-20T09:07:14.740965</t>
  </si>
  <si>
    <t>2024-07-20T09:07:15.904901</t>
  </si>
  <si>
    <t>2024-07-20T09:07:20.731498</t>
  </si>
  <si>
    <t>2024-07-20T09:07:20.478507</t>
  </si>
  <si>
    <t>2024-07-20T09:07:20.376880</t>
  </si>
  <si>
    <t>2024-07-20T09:07:15.867673</t>
  </si>
  <si>
    <t>2024-07-20T09:07:20.653048</t>
  </si>
  <si>
    <t>2024-07-20T09:07:14.986208</t>
  </si>
  <si>
    <t>2024-07-20T09:07:16.810710</t>
  </si>
  <si>
    <t>2024-07-20T09:07:21.743412</t>
  </si>
  <si>
    <t>2024-07-20T09:07:21.498983</t>
  </si>
  <si>
    <t>2024-07-20T09:07:21.399211</t>
  </si>
  <si>
    <t>2024-07-20T09:07:16.150325</t>
  </si>
  <si>
    <t>2024-07-20T09:07:21.553349</t>
  </si>
  <si>
    <t>2024-07-20T09:07:15.117130</t>
  </si>
  <si>
    <t>2024-07-20T09:07:17.240573</t>
  </si>
  <si>
    <t>2024-07-20T09:07:22.761057</t>
  </si>
  <si>
    <t>2024-07-20T09:07:22.462121</t>
  </si>
  <si>
    <t>2024-07-20T09:07:22.422545</t>
  </si>
  <si>
    <t>2024-07-20T09:07:16.828056</t>
  </si>
  <si>
    <t>2024-07-20T09:07:22.455595</t>
  </si>
  <si>
    <t>2024-07-20T09:07:15.474131</t>
  </si>
  <si>
    <t>2024-07-20T09:07:17.545937</t>
  </si>
  <si>
    <t>2024-07-20T09:07:23.773607</t>
  </si>
  <si>
    <t>2024-07-20T09:07:23.480372</t>
  </si>
  <si>
    <t>2024-07-20T09:07:23.443004</t>
  </si>
  <si>
    <t>2024-07-20T09:07:17.074478</t>
  </si>
  <si>
    <t>2024-07-20T09:07:23.358738</t>
  </si>
  <si>
    <t>2024-07-20T09:07:15.544970</t>
  </si>
  <si>
    <t>2024-07-20T09:07:17.652618</t>
  </si>
  <si>
    <t>2024-07-20T09:07:24.790331</t>
  </si>
  <si>
    <t>2024-07-20T09:07:24.488695</t>
  </si>
  <si>
    <t>2024-07-20T09:07:24.465446</t>
  </si>
  <si>
    <t>2024-07-20T09:07:17.243954</t>
  </si>
  <si>
    <t>2024-07-20T09:07:24.261408</t>
  </si>
  <si>
    <t>2024-07-20T09:07:15.831873</t>
  </si>
  <si>
    <t>2024-07-20T09:07:17.975300</t>
  </si>
  <si>
    <t>2024-07-20T09:07:25.803224</t>
  </si>
  <si>
    <t>2024-07-20T09:07:25.530676</t>
  </si>
  <si>
    <t>2024-07-20T09:07:25.435971</t>
  </si>
  <si>
    <t>2024-07-20T09:07:17.469732</t>
  </si>
  <si>
    <t>2024-07-20T09:07:24.798505</t>
  </si>
  <si>
    <t>2024-07-20T09:07:15.945587</t>
  </si>
  <si>
    <t>2024-07-20T09:07:18.434369</t>
  </si>
  <si>
    <t>2024-07-20T09:07:26.818559</t>
  </si>
  <si>
    <t>2024-07-20T09:07:26.518045</t>
  </si>
  <si>
    <t>2024-07-20T09:07:26.450845</t>
  </si>
  <si>
    <t>2024-07-20T09:07:17.597112</t>
  </si>
  <si>
    <t>2024-07-20T09:07:25.705578</t>
  </si>
  <si>
    <t>2024-07-20T09:07:16.815685</t>
  </si>
  <si>
    <t>2024-07-20T09:07:18.874160</t>
  </si>
  <si>
    <t>2024-07-20T09:07:27.841556</t>
  </si>
  <si>
    <t>2024-07-20T09:07:27.535130</t>
  </si>
  <si>
    <t>2024-07-20T09:07:27.464973</t>
  </si>
  <si>
    <t>2024-07-20T09:07:17.700307</t>
  </si>
  <si>
    <t>2024-07-20T09:07:26.567646</t>
  </si>
  <si>
    <t>2024-07-20T09:07:16.929729</t>
  </si>
  <si>
    <t>2024-07-20T09:07:19.060045</t>
  </si>
  <si>
    <t>2024-07-20T09:07:28.869834</t>
  </si>
  <si>
    <t>2024-07-20T09:07:28.559421</t>
  </si>
  <si>
    <t>2024-07-20T09:07:28.480479</t>
  </si>
  <si>
    <t>2024-07-20T09:07:17.968127</t>
  </si>
  <si>
    <t>2024-07-20T09:07:27.470647</t>
  </si>
  <si>
    <t>2024-07-20T09:07:16.979542</t>
  </si>
  <si>
    <t>2024-07-20T09:07:19.793759</t>
  </si>
  <si>
    <t>2024-07-20T09:07:29.887871</t>
  </si>
  <si>
    <t>2024-07-20T09:07:29.581644</t>
  </si>
  <si>
    <t>2024-07-20T09:07:29.491783</t>
  </si>
  <si>
    <t>2024-07-20T09:07:18.163212</t>
  </si>
  <si>
    <t>2024-07-20T09:07:28.373491</t>
  </si>
  <si>
    <t>2024-07-20T09:07:17.034272</t>
  </si>
  <si>
    <t>2024-07-20T09:07:20.687908</t>
  </si>
  <si>
    <t>2024-07-20T09:07:30.912804</t>
  </si>
  <si>
    <t>2024-07-20T09:07:30.609548</t>
  </si>
  <si>
    <t>2024-07-20T09:07:30.507837</t>
  </si>
  <si>
    <t>2024-07-20T09:07:18.458022</t>
  </si>
  <si>
    <t>2024-07-20T09:07:29.281843</t>
  </si>
  <si>
    <t>2024-07-20T09:07:17.109364</t>
  </si>
  <si>
    <t>2024-07-20T09:07:20.872849</t>
  </si>
  <si>
    <t>2024-07-20T09:07:31.936315</t>
  </si>
  <si>
    <t>2024-07-20T09:07:31.629438</t>
  </si>
  <si>
    <t>2024-07-20T09:07:31.527803</t>
  </si>
  <si>
    <t>2024-07-20T09:07:18.523910</t>
  </si>
  <si>
    <t>2024-07-20T09:07:29.421057</t>
  </si>
  <si>
    <t>2024-07-20T09:07:17.281650</t>
  </si>
  <si>
    <t>2024-07-20T09:07:21.245586</t>
  </si>
  <si>
    <t>2024-07-20T09:07:32.901146</t>
  </si>
  <si>
    <t>2024-07-20T09:07:32.597914</t>
  </si>
  <si>
    <t>2024-07-20T09:07:32.548906</t>
  </si>
  <si>
    <t>2024-07-20T09:07:18.870032</t>
  </si>
  <si>
    <t>2024-07-20T09:07:30.323310</t>
  </si>
  <si>
    <t>2024-07-20T09:07:17.378437</t>
  </si>
  <si>
    <t>2024-07-20T09:07:21.666806</t>
  </si>
  <si>
    <t>2024-07-20T09:07:33.916214</t>
  </si>
  <si>
    <t>2024-07-20T09:07:33.629522</t>
  </si>
  <si>
    <t>2024-07-20T09:07:33.575918</t>
  </si>
  <si>
    <t>2024-07-20T09:07:19.766268</t>
  </si>
  <si>
    <t>2024-07-20T09:07:31.226449</t>
  </si>
  <si>
    <t>2024-07-20T09:07:17.468984</t>
  </si>
  <si>
    <t>2024-07-20T09:07:21.947342</t>
  </si>
  <si>
    <t>2024-07-20T09:07:34.929879</t>
  </si>
  <si>
    <t>2024-07-20T09:07:34.626757</t>
  </si>
  <si>
    <t>2024-07-20T09:07:34.597367</t>
  </si>
  <si>
    <t>2024-07-20T09:07:19.885004</t>
  </si>
  <si>
    <t>2024-07-20T09:07:31.481952</t>
  </si>
  <si>
    <t>2024-07-20T09:07:17.536523</t>
  </si>
  <si>
    <t>2024-07-20T09:07:22.478520</t>
  </si>
  <si>
    <t>2024-07-20T09:07:35.942916</t>
  </si>
  <si>
    <t>2024-07-20T09:07:35.642247</t>
  </si>
  <si>
    <t>2024-07-20T09:07:35.618613</t>
  </si>
  <si>
    <t>2024-07-20T09:07:20.724144</t>
  </si>
  <si>
    <t>2024-07-20T09:07:32.381889</t>
  </si>
  <si>
    <t>2024-07-20T09:07:17.632989</t>
  </si>
  <si>
    <t>2024-07-20T09:07:23.136280</t>
  </si>
  <si>
    <t>2024-07-20T09:07:36.961606</t>
  </si>
  <si>
    <t>2024-07-20T09:07:36.654987</t>
  </si>
  <si>
    <t>2024-07-20T09:07:36.588966</t>
  </si>
  <si>
    <t>2024-07-20T09:07:20.872728</t>
  </si>
  <si>
    <t>2024-07-20T09:07:33.288024</t>
  </si>
  <si>
    <t>2024-07-20T09:07:17.961341</t>
  </si>
  <si>
    <t>2024-07-20T09:07:23.332392</t>
  </si>
  <si>
    <t>2024-07-20T09:07:37.976785</t>
  </si>
  <si>
    <t>2024-07-20T09:07:37.674076</t>
  </si>
  <si>
    <t>2024-07-20T09:07:37.602878</t>
  </si>
  <si>
    <t>2024-07-20T09:07:21.183494</t>
  </si>
  <si>
    <t>2024-07-20T09:07:34.189009</t>
  </si>
  <si>
    <t>2024-07-20T09:07:18.168112</t>
  </si>
  <si>
    <t>2024-07-20T09:07:24.103350</t>
  </si>
  <si>
    <t>2024-07-20T09:07:39.003297</t>
  </si>
  <si>
    <t>2024-07-20T09:07:38.692059</t>
  </si>
  <si>
    <t>2024-07-20T09:07:38.632858</t>
  </si>
  <si>
    <t>2024-07-20T09:07:21.599292</t>
  </si>
  <si>
    <t>2024-07-20T09:07:35.091160</t>
  </si>
  <si>
    <t>2024-07-20T09:07:18.246587</t>
  </si>
  <si>
    <t>2024-07-20T09:07:24.166271</t>
  </si>
  <si>
    <t>2024-07-20T09:07:40.018892</t>
  </si>
  <si>
    <t>2024-07-20T09:07:39.714486</t>
  </si>
  <si>
    <t>2024-07-20T09:07:39.632188</t>
  </si>
  <si>
    <t>2024-07-20T09:07:21.895273</t>
  </si>
  <si>
    <t>2024-07-20T09:07:35.993874</t>
  </si>
  <si>
    <t>2024-07-20T09:07:18.444673</t>
  </si>
  <si>
    <t>2024-07-20T09:07:25.072974</t>
  </si>
  <si>
    <t>2024-07-20T09:07:41.045733</t>
  </si>
  <si>
    <t>2024-07-20T09:07:40.740533</t>
  </si>
  <si>
    <t>2024-07-20T09:07:40.646290</t>
  </si>
  <si>
    <t>2024-07-20T09:07:22.798178</t>
  </si>
  <si>
    <t>2024-07-20T09:07:36.898578</t>
  </si>
  <si>
    <t>2024-07-20T09:07:19.078894</t>
  </si>
  <si>
    <t>2024-07-20T09:07:25.428547</t>
  </si>
  <si>
    <t>2024-07-20T09:07:42.065295</t>
  </si>
  <si>
    <t>2024-07-20T09:07:41.763482</t>
  </si>
  <si>
    <t>2024-07-20T09:07:41.662488</t>
  </si>
  <si>
    <t>2024-07-20T09:07:23.140255</t>
  </si>
  <si>
    <t>2024-07-20T09:07:37.800518</t>
  </si>
  <si>
    <t>2024-07-20T09:07:19.789707</t>
  </si>
  <si>
    <t>2024-07-20T09:07:26.334456</t>
  </si>
  <si>
    <t>2024-07-20T09:07:43.089166</t>
  </si>
  <si>
    <t>2024-07-20T09:07:42.790703</t>
  </si>
  <si>
    <t>2024-07-20T09:07:42.685791</t>
  </si>
  <si>
    <t>2024-07-20T09:07:24.045622</t>
  </si>
  <si>
    <t>2024-07-20T09:07:38.709968</t>
  </si>
  <si>
    <t>2024-07-20T09:07:19.862109</t>
  </si>
  <si>
    <t>2024-07-20T09:07:26.608882</t>
  </si>
  <si>
    <t>2024-07-20T09:07:44.061786</t>
  </si>
  <si>
    <t>2024-07-20T09:07:43.814105</t>
  </si>
  <si>
    <t>2024-07-20T09:07:43.715092</t>
  </si>
  <si>
    <t>2024-07-20T09:07:24.329974</t>
  </si>
  <si>
    <t>2024-07-20T09:07:39.611705</t>
  </si>
  <si>
    <t>2024-07-20T09:07:20.667791</t>
  </si>
  <si>
    <t>2024-07-20T09:07:27.282418</t>
  </si>
  <si>
    <t>2024-07-20T09:07:45.081940</t>
  </si>
  <si>
    <t>2024-07-20T09:07:44.774511</t>
  </si>
  <si>
    <t>2024-07-20T09:07:44.729476</t>
  </si>
  <si>
    <t>2024-07-20T09:07:24.710681</t>
  </si>
  <si>
    <t>2024-07-20T09:07:40.509138</t>
  </si>
  <si>
    <t>2024-07-20T09:07:20.844388</t>
  </si>
  <si>
    <t>2024-07-20T09:07:28.188238</t>
  </si>
  <si>
    <t>2024-07-20T09:07:46.093078</t>
  </si>
  <si>
    <t>2024-07-20T09:07:45.786225</t>
  </si>
  <si>
    <t>2024-07-20T09:07:45.755606</t>
  </si>
  <si>
    <t>2024-07-20T09:07:25.181074</t>
  </si>
  <si>
    <t>2024-07-20T09:07:41.414904</t>
  </si>
  <si>
    <t>2024-07-20T09:07:21.145035</t>
  </si>
  <si>
    <t>2024-07-20T09:07:28.480059</t>
  </si>
  <si>
    <t>2024-07-20T09:07:47.109806</t>
  </si>
  <si>
    <t>2024-07-20T09:07:46.799894</t>
  </si>
  <si>
    <t>2024-07-20T09:07:46.777723</t>
  </si>
  <si>
    <t>2024-07-20T09:07:25.728968</t>
  </si>
  <si>
    <t>2024-07-20T09:07:42.315342</t>
  </si>
  <si>
    <t>2024-07-20T09:07:21.561857</t>
  </si>
  <si>
    <t>2024-07-20T09:07:29.382674</t>
  </si>
  <si>
    <t>2024-07-20T09:07:48.121160</t>
  </si>
  <si>
    <t>2024-07-20T09:07:47.816302</t>
  </si>
  <si>
    <t>2024-07-20T09:07:47.745587</t>
  </si>
  <si>
    <t>2024-07-20T09:07:26.361250</t>
  </si>
  <si>
    <t>2024-07-20T09:07:43.218058</t>
  </si>
  <si>
    <t>2024-07-20T09:07:21.623818</t>
  </si>
  <si>
    <t>2024-07-20T09:07:29.528840</t>
  </si>
  <si>
    <t>2024-07-20T09:07:49.141237</t>
  </si>
  <si>
    <t>2024-07-20T09:07:48.831596</t>
  </si>
  <si>
    <t>2024-07-20T09:07:48.820257</t>
  </si>
  <si>
    <t>2024-07-20T09:07:27.266541</t>
  </si>
  <si>
    <t>2024-07-20T09:07:44.122595</t>
  </si>
  <si>
    <t>2024-07-20T09:07:21.696277</t>
  </si>
  <si>
    <t>2024-07-20T09:07:30.431615</t>
  </si>
  <si>
    <t>2024-07-20T09:07:50.150283</t>
  </si>
  <si>
    <t>2024-07-20T09:07:49.855057</t>
  </si>
  <si>
    <t>2024-07-20T09:07:49.779539</t>
  </si>
  <si>
    <t>2024-07-20T09:07:27.470766</t>
  </si>
  <si>
    <t>2024-07-20T09:07:44.326922</t>
  </si>
  <si>
    <t>2024-07-20T09:07:22.046238</t>
  </si>
  <si>
    <t>2024-07-20T09:07:30.610599</t>
  </si>
  <si>
    <t>2024-07-20T09:07:51.176996</t>
  </si>
  <si>
    <t>2024-07-20T09:07:50.869593</t>
  </si>
  <si>
    <t>2024-07-20T09:07:50.785520</t>
  </si>
  <si>
    <t>2024-07-20T09:07:27.833933</t>
  </si>
  <si>
    <t>2024-07-20T09:07:45.230599</t>
  </si>
  <si>
    <t>2024-07-20T09:07:22.481978</t>
  </si>
  <si>
    <t>2024-07-20T09:07:31.368554</t>
  </si>
  <si>
    <t>2024-07-20T09:07:52.205574</t>
  </si>
  <si>
    <t>2024-07-20T09:07:51.892262</t>
  </si>
  <si>
    <t>2024-07-20T09:07:51.800306</t>
  </si>
  <si>
    <t>2024-07-20T09:07:28.206884</t>
  </si>
  <si>
    <t>2024-07-20T09:07:46.135103</t>
  </si>
  <si>
    <t>2024-07-20T09:07:22.583959</t>
  </si>
  <si>
    <t>2024-07-20T09:07:31.796240</t>
  </si>
  <si>
    <t>2024-07-20T09:07:53.224711</t>
  </si>
  <si>
    <t>2024-07-20T09:07:52.912957</t>
  </si>
  <si>
    <t>2024-07-20T09:07:52.816357</t>
  </si>
  <si>
    <t>2024-07-20T09:07:28.514340</t>
  </si>
  <si>
    <t>2024-07-20T09:07:47.035946</t>
  </si>
  <si>
    <t>2024-07-20T09:07:22.989605</t>
  </si>
  <si>
    <t>2024-07-20T09:07:32.698672</t>
  </si>
  <si>
    <t>2024-07-20T09:07:54.243595</t>
  </si>
  <si>
    <t>2024-07-20T09:07:53.939694</t>
  </si>
  <si>
    <t>2024-07-20T09:07:53.837663</t>
  </si>
  <si>
    <t>2024-07-20T09:07:28.646366</t>
  </si>
  <si>
    <t>2024-07-20T09:07:47.942033</t>
  </si>
  <si>
    <t>2024-07-20T09:07:23.142525</t>
  </si>
  <si>
    <t>2024-07-20T09:07:33.212385</t>
  </si>
  <si>
    <t>2024-07-20T09:07:55.268749</t>
  </si>
  <si>
    <t>2024-07-20T09:07:54.961761</t>
  </si>
  <si>
    <t>2024-07-20T09:07:54.860611</t>
  </si>
  <si>
    <t>2024-07-20T09:07:29.194369</t>
  </si>
  <si>
    <t>2024-07-20T09:07:48.850262</t>
  </si>
  <si>
    <t>2024-07-20T09:07:23.344411</t>
  </si>
  <si>
    <t>2024-07-20T09:07:34.005452</t>
  </si>
  <si>
    <t>2024-07-20T09:07:56.235703</t>
  </si>
  <si>
    <t>2024-07-20T09:07:55.935945</t>
  </si>
  <si>
    <t>2024-07-20T09:07:55.892914</t>
  </si>
  <si>
    <t>2024-07-20T09:07:29.386834</t>
  </si>
  <si>
    <t>2024-07-20T09:07:49.567489</t>
  </si>
  <si>
    <t>2024-07-20T09:07:23.482265</t>
  </si>
  <si>
    <t>2024-07-20T09:07:34.233814</t>
  </si>
  <si>
    <t>2024-07-20T09:07:57.250254</t>
  </si>
  <si>
    <t>2024-07-20T09:07:56.949824</t>
  </si>
  <si>
    <t>2024-07-20T09:07:56.907200</t>
  </si>
  <si>
    <t>2024-07-20T09:07:29.548489</t>
  </si>
  <si>
    <t>2024-07-20T09:07:50.470273</t>
  </si>
  <si>
    <t>2024-07-20T09:07:24.300475</t>
  </si>
  <si>
    <t>2024-07-20T09:07:35.141048</t>
  </si>
  <si>
    <t>2024-07-20T09:07:58.262462</t>
  </si>
  <si>
    <t>2024-07-20T09:07:57.967690</t>
  </si>
  <si>
    <t>2024-07-20T09:07:57.879745</t>
  </si>
  <si>
    <t>2024-07-20T09:07:30.372040</t>
  </si>
  <si>
    <t>2024-07-20T09:07:51.376178</t>
  </si>
  <si>
    <t>2024-07-20T09:07:24.698228</t>
  </si>
  <si>
    <t>2024-07-20T09:07:35.422102</t>
  </si>
  <si>
    <t>2024-07-20T09:07:59.288286</t>
  </si>
  <si>
    <t>2024-07-20T09:07:58.974970</t>
  </si>
  <si>
    <t>2024-07-20T09:07:58.892562</t>
  </si>
  <si>
    <t>2024-07-20T09:07:31.278142</t>
  </si>
  <si>
    <t>2024-07-20T09:07:52.275475</t>
  </si>
  <si>
    <t>2024-07-20T09:07:24.808334</t>
  </si>
  <si>
    <t>2024-07-20T09:07:35.989240</t>
  </si>
  <si>
    <t>2024-07-20T09:08:00.294292</t>
  </si>
  <si>
    <t>2024-07-20T09:07:59.992816</t>
  </si>
  <si>
    <t>2024-07-20T09:07:59.902322</t>
  </si>
  <si>
    <t>2024-07-20T09:07:31.376721</t>
  </si>
  <si>
    <t>2024-07-20T09:07:53.178755</t>
  </si>
  <si>
    <t>2024-07-20T09:07:24.988164</t>
  </si>
  <si>
    <t>2024-07-20T09:07:36.291537</t>
  </si>
  <si>
    <t>2024-07-20T09:08:01.313355</t>
  </si>
  <si>
    <t>2024-07-20T09:08:01.003778</t>
  </si>
  <si>
    <t>2024-07-20T09:08:00.918801</t>
  </si>
  <si>
    <t>2024-07-20T09:07:32.132799</t>
  </si>
  <si>
    <t>2024-07-20T09:07:54.081566</t>
  </si>
  <si>
    <t>2024-07-20T09:07:25.096000</t>
  </si>
  <si>
    <t>2024-07-20T09:07:36.550883</t>
  </si>
  <si>
    <t>2024-07-20T09:08:02.327700</t>
  </si>
  <si>
    <t>2024-07-20T09:08:02.027248</t>
  </si>
  <si>
    <t>2024-07-20T09:08:01.935217</t>
  </si>
  <si>
    <t>2024-07-20T09:07:32.411012</t>
  </si>
  <si>
    <t>2024-07-20T09:07:54.409864</t>
  </si>
  <si>
    <t>2024-07-20T09:07:25.465374</t>
  </si>
  <si>
    <t>2024-07-20T09:07:37.453529</t>
  </si>
  <si>
    <t>2024-07-20T09:08:03.356004</t>
  </si>
  <si>
    <t>2024-07-20T09:08:03.053202</t>
  </si>
  <si>
    <t>2024-07-20T09:08:02.957008</t>
  </si>
  <si>
    <t>2024-07-20T09:07:32.485917</t>
  </si>
  <si>
    <t>2024-07-20T09:07:55.311748</t>
  </si>
  <si>
    <t>2024-07-20T09:07:25.538890</t>
  </si>
  <si>
    <t>2024-07-20T09:07:37.676994</t>
  </si>
  <si>
    <t>2024-07-20T09:08:04.374336</t>
  </si>
  <si>
    <t>2024-07-20T09:08:04.068507</t>
  </si>
  <si>
    <t>2024-07-20T09:08:03.966324</t>
  </si>
  <si>
    <t>2024-07-20T09:07:32.568204</t>
  </si>
  <si>
    <t>2024-07-20T09:07:56.214627</t>
  </si>
  <si>
    <t>2024-07-20T09:07:26.345234</t>
  </si>
  <si>
    <t>2024-07-20T09:07:38.182863</t>
  </si>
  <si>
    <t>2024-07-20T09:08:05.398345</t>
  </si>
  <si>
    <t>2024-07-20T09:08:05.095746</t>
  </si>
  <si>
    <t>2024-07-20T09:08:05.006056</t>
  </si>
  <si>
    <t>2024-07-20T09:07:32.776577</t>
  </si>
  <si>
    <t>2024-07-20T09:07:57.116959</t>
  </si>
  <si>
    <t>2024-07-20T09:07:26.566512</t>
  </si>
  <si>
    <t>2024-07-20T09:07:39.036551</t>
  </si>
  <si>
    <t>2024-07-20T09:08:06.421058</t>
  </si>
  <si>
    <t>2024-07-20T09:08:06.119085</t>
  </si>
  <si>
    <t>2024-07-20T09:08:06.013629</t>
  </si>
  <si>
    <t>2024-07-20T09:07:33.223535</t>
  </si>
  <si>
    <t>2024-07-20T09:07:58.022664</t>
  </si>
  <si>
    <t>2024-07-20T09:07:27.305415</t>
  </si>
  <si>
    <t>2024-07-20T09:07:39.939387</t>
  </si>
  <si>
    <t>2024-07-20T09:08:07.392137</t>
  </si>
  <si>
    <t>2024-07-20T09:08:07.085314</t>
  </si>
  <si>
    <t>2024-07-20T09:08:07.039826</t>
  </si>
  <si>
    <t>2024-07-20T09:07:34.001326</t>
  </si>
  <si>
    <t>2024-07-20T09:07:58.923439</t>
  </si>
  <si>
    <t>2024-07-20T09:07:27.498058</t>
  </si>
  <si>
    <t>2024-07-20T09:07:40.430411</t>
  </si>
  <si>
    <t>2024-07-20T09:08:08.403562</t>
  </si>
  <si>
    <t>2024-07-20T09:08:08.098171</t>
  </si>
  <si>
    <t>2024-07-20T09:08:08.013153</t>
  </si>
  <si>
    <t>2024-07-20T09:07:34.088944</t>
  </si>
  <si>
    <t>2024-07-20T09:07:59.826012</t>
  </si>
  <si>
    <t>2024-07-20T09:07:27.849831</t>
  </si>
  <si>
    <t>2024-07-20T09:07:40.696463</t>
  </si>
  <si>
    <t>2024-07-20T09:08:09.422278</t>
  </si>
  <si>
    <t>2024-07-20T09:08:09.111714</t>
  </si>
  <si>
    <t>2024-07-20T09:08:09.024622</t>
  </si>
  <si>
    <t>2024-07-20T09:07:34.250259</t>
  </si>
  <si>
    <t>2024-07-20T09:08:00.731436</t>
  </si>
  <si>
    <t>2024-07-20T09:07:28.372311</t>
  </si>
  <si>
    <t>2024-07-20T09:07:41.596194</t>
  </si>
  <si>
    <t>2024-07-20T09:08:10.435447</t>
  </si>
  <si>
    <t>2024-07-20T09:08:10.128979</t>
  </si>
  <si>
    <t>2024-07-20T09:08:10.039014</t>
  </si>
  <si>
    <t>2024-07-20T09:07:34.511981</t>
  </si>
  <si>
    <t>2024-07-20T09:08:01.548892</t>
  </si>
  <si>
    <t>2024-07-20T09:07:28.552646</t>
  </si>
  <si>
    <t>2024-07-20T09:07:42.501463</t>
  </si>
  <si>
    <t>2024-07-20T09:08:11.449712</t>
  </si>
  <si>
    <t>2024-07-20T09:08:11.137980</t>
  </si>
  <si>
    <t>2024-07-20T09:08:11.054627</t>
  </si>
  <si>
    <t>2024-07-20T09:07:34.576777</t>
  </si>
  <si>
    <t>2024-07-20T09:08:02.448345</t>
  </si>
  <si>
    <t>2024-07-20T09:07:28.914090</t>
  </si>
  <si>
    <t>2024-07-20T09:07:42.709027</t>
  </si>
  <si>
    <t>2024-07-20T09:08:12.464581</t>
  </si>
  <si>
    <t>2024-07-20T09:08:12.154451</t>
  </si>
  <si>
    <t>2024-07-20T09:08:12.063392</t>
  </si>
  <si>
    <t>2024-07-20T09:07:35.095075</t>
  </si>
  <si>
    <t>2024-07-20T09:08:03.355944</t>
  </si>
  <si>
    <t>2024-07-20T09:07:29.189547</t>
  </si>
  <si>
    <t>2024-07-20T09:07:43.637776</t>
  </si>
  <si>
    <t>2024-07-20T09:08:13.482054</t>
  </si>
  <si>
    <t>2024-07-20T09:08:13.176209</t>
  </si>
  <si>
    <t>2024-07-20T09:08:13.086209</t>
  </si>
  <si>
    <t>2024-07-20T09:07:35.618553</t>
  </si>
  <si>
    <t>2024-07-20T09:08:03.599170</t>
  </si>
  <si>
    <t>2024-07-20T09:07:29.230555</t>
  </si>
  <si>
    <t>2024-07-20T09:07:43.767559</t>
  </si>
  <si>
    <t>2024-07-20T09:07:35.742932</t>
  </si>
  <si>
    <t>2024-07-20T09:08:04.504475</t>
  </si>
  <si>
    <t>2024-07-20T09:07:29.428880</t>
  </si>
  <si>
    <t>2024-07-20T09:07:44.439406</t>
  </si>
  <si>
    <t>2024-07-20T09:07:36.036899</t>
  </si>
  <si>
    <t>2024-07-20T09:08:05.405862</t>
  </si>
  <si>
    <t>2024-07-20T09:07:29.515260</t>
  </si>
  <si>
    <t>2024-07-20T09:07:44.515734</t>
  </si>
  <si>
    <t>2024-07-20T09:07:36.218314</t>
  </si>
  <si>
    <t>2024-07-20T09:08:06.311319</t>
  </si>
  <si>
    <t>2024-07-20T09:07:29.877461</t>
  </si>
  <si>
    <t>2024-07-20T09:07:45.126328</t>
  </si>
  <si>
    <t>2024-07-20T09:07:36.350759</t>
  </si>
  <si>
    <t>2024-07-20T09:08:07.214473</t>
  </si>
  <si>
    <t>2024-07-20T09:07:30.336663</t>
  </si>
  <si>
    <t>2024-07-20T09:07:45.564328</t>
  </si>
  <si>
    <t>2024-07-20T09:07:37.255715</t>
  </si>
  <si>
    <t>2024-07-20T09:08:08.035341</t>
  </si>
  <si>
    <t>2024-07-20T09:07:30.402435</t>
  </si>
  <si>
    <t>2024-07-20T09:07:45.805473</t>
  </si>
  <si>
    <t>2024-07-20T09:07:37.751563</t>
  </si>
  <si>
    <t>2024-07-20T09:08:08.939665</t>
  </si>
  <si>
    <t>2024-07-20T09:07:30.470016</t>
  </si>
  <si>
    <t>2024-07-20T09:07:46.065392</t>
  </si>
  <si>
    <t>2024-07-20T09:07:38.189080</t>
  </si>
  <si>
    <t>2024-07-20T09:08:09.706266</t>
  </si>
  <si>
    <t>2024-07-20T09:07:30.524288</t>
  </si>
  <si>
    <t>2024-07-20T09:07:46.279092</t>
  </si>
  <si>
    <t>2024-07-20T09:07:38.940246</t>
  </si>
  <si>
    <t>2024-07-20T09:08:10.604156</t>
  </si>
  <si>
    <t>2024-07-20T09:07:30.610661</t>
  </si>
  <si>
    <t>2024-07-20T09:07:46.566540</t>
  </si>
  <si>
    <t>2024-07-20T09:07:39.524834</t>
  </si>
  <si>
    <t>2024-07-20T09:08:11.506534</t>
  </si>
  <si>
    <t>2024-07-20T09:07:31.432069</t>
  </si>
  <si>
    <t>2024-07-20T09:07:46.713913</t>
  </si>
  <si>
    <t>2024-07-20T09:07:39.575730</t>
  </si>
  <si>
    <t>2024-07-20T09:08:12.408933</t>
  </si>
  <si>
    <t>2024-07-20T09:07:31.850523</t>
  </si>
  <si>
    <t>2024-07-20T09:07:46.889879</t>
  </si>
  <si>
    <t>2024-07-20T09:07:40.001289</t>
  </si>
  <si>
    <t>2024-07-20T09:08:13.315060</t>
  </si>
  <si>
    <t>2024-07-20T09:07:32.091873</t>
  </si>
  <si>
    <t>2024-07-20T09:07:47.395090</t>
  </si>
  <si>
    <t>2024-07-20T09:07:40.085198</t>
  </si>
  <si>
    <t>2024-07-20T09:08:14.215534</t>
  </si>
  <si>
    <t>2024-07-20T09:07:32.175760</t>
  </si>
  <si>
    <t>2024-07-20T09:07:48.110519</t>
  </si>
  <si>
    <t>2024-07-20T09:07:40.701707</t>
  </si>
  <si>
    <t>2024-07-20T09:07:32.400943</t>
  </si>
  <si>
    <t>2024-07-20T09:07:48.407377</t>
  </si>
  <si>
    <t>2024-07-20T09:07:40.753470</t>
  </si>
  <si>
    <t>2024-07-20T09:07:32.512507</t>
  </si>
  <si>
    <t>2024-07-20T09:07:49.310109</t>
  </si>
  <si>
    <t>2024-07-20T09:07:41.155588</t>
  </si>
  <si>
    <t>2024-07-20T09:07:32.610153</t>
  </si>
  <si>
    <t>2024-07-20T09:07:49.691630</t>
  </si>
  <si>
    <t>2024-07-20T09:07:41.297743</t>
  </si>
  <si>
    <t>2024-07-20T09:07:32.727523</t>
  </si>
  <si>
    <t>2024-07-20T09:07:49.901897</t>
  </si>
  <si>
    <t>2024-07-20T09:07:41.583029</t>
  </si>
  <si>
    <t>2024-07-20T09:07:32.775037</t>
  </si>
  <si>
    <t>2024-07-20T09:07:50.010678</t>
  </si>
  <si>
    <t>2024-07-20T09:07:42.488505</t>
  </si>
  <si>
    <t>2024-07-20T09:07:33.175751</t>
  </si>
  <si>
    <t>2024-07-20T09:07:50.370101</t>
  </si>
  <si>
    <t>2024-07-20T09:07:42.699757</t>
  </si>
  <si>
    <t>2024-07-20T09:07:33.322075</t>
  </si>
  <si>
    <t>2024-07-20T09:07:50.628243</t>
  </si>
  <si>
    <t>2024-07-20T09:07:43.168156</t>
  </si>
  <si>
    <t>2024-07-20T09:07:34.004051</t>
  </si>
  <si>
    <t>2024-07-20T09:07:51.388855</t>
  </si>
  <si>
    <t>2024-07-20T09:07:43.285925</t>
  </si>
  <si>
    <t>2024-07-20T09:07:34.197581</t>
  </si>
  <si>
    <t>2024-07-20T09:07:51.805641</t>
  </si>
  <si>
    <t>2024-07-20T09:07:43.458914</t>
  </si>
  <si>
    <t>2024-07-20T09:07:34.392458</t>
  </si>
  <si>
    <t>2024-07-20T09:07:52.708737</t>
  </si>
  <si>
    <t>2024-07-20T09:07:43.747144</t>
  </si>
  <si>
    <t>2024-07-20T09:07:34.539419</t>
  </si>
  <si>
    <t>2024-07-20T09:07:52.898205</t>
  </si>
  <si>
    <t>2024-07-20T09:07:43.917597</t>
  </si>
  <si>
    <t>2024-07-20T09:07:34.608403</t>
  </si>
  <si>
    <t>2024-07-20T09:07:53.178810</t>
  </si>
  <si>
    <t>2024-07-20T09:07:44.015777</t>
  </si>
  <si>
    <t>2024-07-20T09:07:34.753022</t>
  </si>
  <si>
    <t>2024-07-20T09:07:53.596620</t>
  </si>
  <si>
    <t>2024-07-20T09:07:44.468547</t>
  </si>
  <si>
    <t>2024-07-20T09:07:34.852426</t>
  </si>
  <si>
    <t>2024-07-20T09:07:54.496876</t>
  </si>
  <si>
    <t>2024-07-20T09:07:45.059109</t>
  </si>
  <si>
    <t>2024-07-20T09:07:35.051859</t>
  </si>
  <si>
    <t>2024-07-20T09:07:55.325765</t>
  </si>
  <si>
    <t>2024-07-20T09:07:45.469561</t>
  </si>
  <si>
    <t>2024-07-20T09:07:35.224888</t>
  </si>
  <si>
    <t>2024-07-20T09:07:56.228829</t>
  </si>
  <si>
    <t>2024-07-20T09:07:46.021193</t>
  </si>
  <si>
    <t>2024-07-20T09:07:35.381900</t>
  </si>
  <si>
    <t>2024-07-20T09:07:57.131651</t>
  </si>
  <si>
    <t>2024-07-20T09:07:46.150314</t>
  </si>
  <si>
    <t>2024-07-20T09:07:35.640562</t>
  </si>
  <si>
    <t>2024-07-20T09:07:58.038069</t>
  </si>
  <si>
    <t>2024-07-20T09:07:46.779461</t>
  </si>
  <si>
    <t>2024-07-20T09:07:35.799721</t>
  </si>
  <si>
    <t>2024-07-20T09:07:58.464700</t>
  </si>
  <si>
    <t>2024-07-20T09:07:46.901616</t>
  </si>
  <si>
    <t>2024-07-20T09:07:36.176037</t>
  </si>
  <si>
    <t>2024-07-20T09:07:59.116293</t>
  </si>
  <si>
    <t>2024-07-20T09:07:47.042050</t>
  </si>
  <si>
    <t>2024-07-20T09:07:36.336608</t>
  </si>
  <si>
    <t>2024-07-20T09:08:00.019127</t>
  </si>
  <si>
    <t>2024-07-20T09:07:47.329734</t>
  </si>
  <si>
    <t>2024-07-20T09:07:37.238226</t>
  </si>
  <si>
    <t>2024-07-20T09:08:00.112508</t>
  </si>
  <si>
    <t>2024-07-20T09:07:47.965121</t>
  </si>
  <si>
    <t>2024-07-20T09:07:38.144467</t>
  </si>
  <si>
    <t>2024-07-20T09:08:00.377362</t>
  </si>
  <si>
    <t>2024-07-20T09:07:48.192012</t>
  </si>
  <si>
    <t>2024-07-20T09:07:38.190985</t>
  </si>
  <si>
    <t>2024-07-20T09:08:01.127427</t>
  </si>
  <si>
    <t>2024-07-20T09:07:48.533587</t>
  </si>
  <si>
    <t>2024-07-20T09:07:39.042770</t>
  </si>
  <si>
    <t>2024-07-20T09:08:01.354652</t>
  </si>
  <si>
    <t>2024-07-20T09:07:48.646847</t>
  </si>
  <si>
    <t>2024-07-20T09:07:39.142889</t>
  </si>
  <si>
    <t>2024-07-20T09:08:02.257707</t>
  </si>
  <si>
    <t>2024-07-20T09:07:48.794749</t>
  </si>
  <si>
    <t>2024-07-20T09:07:39.378648</t>
  </si>
  <si>
    <t>2024-07-20T09:08:03.161803</t>
  </si>
  <si>
    <t>2024-07-20T09:07:49.056039</t>
  </si>
  <si>
    <t>2024-07-20T09:07:39.574979</t>
  </si>
  <si>
    <t>2024-07-20T09:08:03.843448</t>
  </si>
  <si>
    <t>2024-07-20T09:07:49.431591</t>
  </si>
  <si>
    <t>2024-07-20T09:07:39.898642</t>
  </si>
  <si>
    <t>2024-07-20T09:08:04.136713</t>
  </si>
  <si>
    <t>2024-07-20T09:07:49.515210</t>
  </si>
  <si>
    <t>2024-07-20T09:07:40.032840</t>
  </si>
  <si>
    <t>2024-07-20T09:08:04.401502</t>
  </si>
  <si>
    <t>2024-07-20T09:07:49.693718</t>
  </si>
  <si>
    <t>2024-07-20T09:07:40.107548</t>
  </si>
  <si>
    <t>2024-07-20T09:08:04.521512</t>
  </si>
  <si>
    <t>2024-07-20T09:07:49.906721</t>
  </si>
  <si>
    <t>2024-07-20T09:07:40.173073</t>
  </si>
  <si>
    <t>2024-07-20T09:08:05.424215</t>
  </si>
  <si>
    <t>2024-07-20T09:07:50.087902</t>
  </si>
  <si>
    <t>2024-07-20T09:07:40.216570</t>
  </si>
  <si>
    <t>2024-07-20T09:08:05.823506</t>
  </si>
  <si>
    <t>2024-07-20T09:07:50.171969</t>
  </si>
  <si>
    <t>2024-07-20T09:07:40.640777</t>
  </si>
  <si>
    <t>2024-07-20T09:08:06.725711</t>
  </si>
  <si>
    <t>2024-07-20T09:07:50.290375</t>
  </si>
  <si>
    <t>2024-07-20T09:07:40.809632</t>
  </si>
  <si>
    <t>2024-07-20T09:08:06.888224</t>
  </si>
  <si>
    <t>2024-07-20T09:07:50.337345</t>
  </si>
  <si>
    <t>2024-07-20T09:07:41.237600</t>
  </si>
  <si>
    <t>2024-07-20T09:08:07.792545</t>
  </si>
  <si>
    <t>2024-07-20T09:07:50.481788</t>
  </si>
  <si>
    <t>2024-07-20T09:07:41.522550</t>
  </si>
  <si>
    <t>2024-07-20T09:08:08.693095</t>
  </si>
  <si>
    <t>2024-07-20T09:07:50.628509</t>
  </si>
  <si>
    <t>2024-07-20T09:07:42.065234</t>
  </si>
  <si>
    <t>2024-07-20T09:08:08.837996</t>
  </si>
  <si>
    <t>2024-07-20T09:07:50.964645</t>
  </si>
  <si>
    <t>2024-07-20T09:07:42.211642</t>
  </si>
  <si>
    <t>2024-07-20T09:08:09.565087</t>
  </si>
  <si>
    <t>2024-07-20T09:07:51.114195</t>
  </si>
  <si>
    <t>2024-07-20T09:07:42.332481</t>
  </si>
  <si>
    <t>2024-07-20T09:08:09.914837</t>
  </si>
  <si>
    <t>2024-07-20T09:07:51.437107</t>
  </si>
  <si>
    <t>2024-07-20T09:07:42.393408</t>
  </si>
  <si>
    <t>2024-07-20T09:08:10.817519</t>
  </si>
  <si>
    <t>2024-07-20T09:07:52.035603</t>
  </si>
  <si>
    <t>2024-07-20T09:07:42.729053</t>
  </si>
  <si>
    <t>2024-07-20T09:08:11.279807</t>
  </si>
  <si>
    <t>2024-07-20T09:07:52.261271</t>
  </si>
  <si>
    <t>2024-07-20T09:07:43.105601</t>
  </si>
  <si>
    <t>2024-07-20T09:08:11.396370</t>
  </si>
  <si>
    <t>2024-07-20T09:07:52.795144</t>
  </si>
  <si>
    <t>2024-07-20T09:07:43.168529</t>
  </si>
  <si>
    <t>2024-07-20T09:08:11.631529</t>
  </si>
  <si>
    <t>2024-07-20T09:07:52.874552</t>
  </si>
  <si>
    <t>2024-07-20T09:07:43.241322</t>
  </si>
  <si>
    <t>2024-07-20T09:08:12.534882</t>
  </si>
  <si>
    <t>2024-07-20T09:07:53.159493</t>
  </si>
  <si>
    <t>2024-07-20T09:07:43.331302</t>
  </si>
  <si>
    <t>2024-07-20T09:08:13.373723</t>
  </si>
  <si>
    <t>2024-07-20T09:07:54.062759</t>
  </si>
  <si>
    <t>2024-07-20T09:07:43.611172</t>
  </si>
  <si>
    <t>2024-07-20T09:08:14.264050</t>
  </si>
  <si>
    <t>2024-07-20T09:07:54.116199</t>
  </si>
  <si>
    <t>2024-07-20T09:07:43.769896</t>
  </si>
  <si>
    <t>2024-07-20T09:07:54.270326</t>
  </si>
  <si>
    <t>2024-07-20T09:07:43.924425</t>
  </si>
  <si>
    <t>2024-07-20T09:07:54.525808</t>
  </si>
  <si>
    <t>2024-07-20T09:07:43.972353</t>
  </si>
  <si>
    <t>2024-07-20T09:07:55.157708</t>
  </si>
  <si>
    <t>2024-07-20T09:07:44.333824</t>
  </si>
  <si>
    <t>2024-07-20T09:07:55.242061</t>
  </si>
  <si>
    <t>2024-07-20T09:07:44.408609</t>
  </si>
  <si>
    <t>2024-07-20T09:07:55.358833</t>
  </si>
  <si>
    <t>2024-07-20T09:07:44.513125</t>
  </si>
  <si>
    <t>2024-07-20T09:07:55.682515</t>
  </si>
  <si>
    <t>2024-07-20T09:07:44.590645</t>
  </si>
  <si>
    <t>2024-07-20T09:07:56.125233</t>
  </si>
  <si>
    <t>2024-07-20T09:07:45.090238</t>
  </si>
  <si>
    <t>2024-07-20T09:07:56.206948</t>
  </si>
  <si>
    <t>2024-07-20T09:07:45.209791</t>
  </si>
  <si>
    <t>2024-07-20T09:07:56.331291</t>
  </si>
  <si>
    <t>2024-07-20T09:07:45.432632</t>
  </si>
  <si>
    <t>2024-07-20T09:07:57.231724</t>
  </si>
  <si>
    <t>2024-07-20T09:07:45.533780</t>
  </si>
  <si>
    <t>2024-07-20T09:07:57.441739</t>
  </si>
  <si>
    <t>2024-07-20T09:07:45.601848</t>
  </si>
  <si>
    <t>2024-07-20T09:07:57.532823</t>
  </si>
  <si>
    <t>2024-07-20T09:07:45.757717</t>
  </si>
  <si>
    <t>2024-07-20T09:07:58.171994</t>
  </si>
  <si>
    <t>2024-07-20T09:07:46.049625</t>
  </si>
  <si>
    <t>2024-07-20T09:07:58.213195</t>
  </si>
  <si>
    <t>2024-07-20T09:07:46.174001</t>
  </si>
  <si>
    <t>2024-07-20T09:07:58.428916</t>
  </si>
  <si>
    <t>2024-07-20T09:07:46.284420</t>
  </si>
  <si>
    <t>2024-07-20T09:07:58.750722</t>
  </si>
  <si>
    <t>2024-07-20T09:07:46.429007</t>
  </si>
  <si>
    <t>2024-07-20T09:07:58.993985</t>
  </si>
  <si>
    <t>2024-07-20T09:07:46.569791</t>
  </si>
  <si>
    <t>2024-07-20T09:07:59.295711</t>
  </si>
  <si>
    <t>2024-07-20T09:07:46.667944</t>
  </si>
  <si>
    <t>2024-07-20T09:07:59.541538</t>
  </si>
  <si>
    <t>2024-07-20T09:07:46.744112</t>
  </si>
  <si>
    <t>2024-07-20T09:07:59.639093</t>
  </si>
  <si>
    <t>2024-07-20T09:07:46.822831</t>
  </si>
  <si>
    <t>2024-07-20T09:08:00.090591</t>
  </si>
  <si>
    <t>2024-07-20T09:07:46.926008</t>
  </si>
  <si>
    <t>2024-07-20T09:08:00.996313</t>
  </si>
  <si>
    <t>2024-07-20T09:07:47.001067</t>
  </si>
  <si>
    <t>2024-07-20T09:08:01.210334</t>
  </si>
  <si>
    <t>2024-07-20T09:07:47.072407</t>
  </si>
  <si>
    <t>2024-07-20T09:08:01.378977</t>
  </si>
  <si>
    <t>2024-07-20T09:07:47.188869</t>
  </si>
  <si>
    <t>2024-07-20T09:08:01.867943</t>
  </si>
  <si>
    <t>2024-07-20T09:07:47.345999</t>
  </si>
  <si>
    <t>2024-07-20T09:08:02.549548</t>
  </si>
  <si>
    <t>2024-07-20T09:07:47.972653</t>
  </si>
  <si>
    <t>2024-07-20T09:08:02.983047</t>
  </si>
  <si>
    <t>2024-07-20T09:07:48.214487</t>
  </si>
  <si>
    <t>2024-07-20T09:08:03.214334</t>
  </si>
  <si>
    <t>2024-07-20T09:07:48.295811</t>
  </si>
  <si>
    <t>2024-07-20T09:08:03.450140</t>
  </si>
  <si>
    <t>2024-07-20T09:07:48.437496</t>
  </si>
  <si>
    <t>2024-07-20T09:08:03.967125</t>
  </si>
  <si>
    <t>2024-07-20T09:07:48.495465</t>
  </si>
  <si>
    <t>2024-07-20T09:08:04.056469</t>
  </si>
  <si>
    <t>2024-07-20T09:07:48.643960</t>
  </si>
  <si>
    <t>2024-07-20T09:08:04.128556</t>
  </si>
  <si>
    <t>2024-07-20T09:07:48.698418</t>
  </si>
  <si>
    <t>2024-07-20T09:08:04.282084</t>
  </si>
  <si>
    <t>2024-07-20T09:07:49.423065</t>
  </si>
  <si>
    <t>2024-07-20T09:08:04.412993</t>
  </si>
  <si>
    <t>2024-07-20T09:07:49.531728</t>
  </si>
  <si>
    <t>2024-07-20T09:08:05.216826</t>
  </si>
  <si>
    <t>2024-07-20T09:07:49.681956</t>
  </si>
  <si>
    <t>2024-07-20T09:08:05.864569</t>
  </si>
  <si>
    <t>2024-07-20T09:07:49.779372</t>
  </si>
  <si>
    <t>2024-07-20T09:08:05.915169</t>
  </si>
  <si>
    <t>2024-07-20T09:07:49.830513</t>
  </si>
  <si>
    <t>2024-07-20T09:08:06.594587</t>
  </si>
  <si>
    <t>2024-07-20T09:07:49.891063</t>
  </si>
  <si>
    <t>2024-07-20T09:08:06.756551</t>
  </si>
  <si>
    <t>2024-07-20T09:07:49.952040</t>
  </si>
  <si>
    <t>2024-07-20T09:08:07.660142</t>
  </si>
  <si>
    <t>2024-07-20T09:07:50.018815</t>
  </si>
  <si>
    <t>2024-07-20T09:08:07.917117</t>
  </si>
  <si>
    <t>2024-07-20T09:07:50.102880</t>
  </si>
  <si>
    <t>2024-07-20T09:08:08.822358</t>
  </si>
  <si>
    <t>2024-07-20T09:07:50.186090</t>
  </si>
  <si>
    <t>2024-07-20T09:08:09.005830</t>
  </si>
  <si>
    <t>2024-07-20T09:07:50.297611</t>
  </si>
  <si>
    <t>2024-07-20T09:08:09.284669</t>
  </si>
  <si>
    <t>2024-07-20T09:07:51.107421</t>
  </si>
  <si>
    <t>2024-07-20T09:08:09.346477</t>
  </si>
  <si>
    <t>2024-07-20T09:07:51.311841</t>
  </si>
  <si>
    <t>2024-07-20T09:08:09.560441</t>
  </si>
  <si>
    <t>2024-07-20T09:07:51.420778</t>
  </si>
  <si>
    <t>2024-07-20T09:08:10.462987</t>
  </si>
  <si>
    <t>2024-07-20T09:07:51.809322</t>
  </si>
  <si>
    <t>2024-07-20T09:08:11.194990</t>
  </si>
  <si>
    <t>2024-07-20T09:07:51.968514</t>
  </si>
  <si>
    <t>2024-07-20T09:08:11.258691</t>
  </si>
  <si>
    <t>2024-07-20T09:07:52.049741</t>
  </si>
  <si>
    <t>2024-07-20T09:08:11.449595</t>
  </si>
  <si>
    <t>2024-07-20T09:07:52.241451</t>
  </si>
  <si>
    <t>2024-07-20T09:08:11.619763</t>
  </si>
  <si>
    <t>2024-07-20T09:07:52.338299</t>
  </si>
  <si>
    <t>2024-07-20T09:08:11.850795</t>
  </si>
  <si>
    <t>2024-07-20T09:07:52.731638</t>
  </si>
  <si>
    <t>2024-07-20T09:08:12.337520</t>
  </si>
  <si>
    <t>2024-07-20T09:07:52.822783</t>
  </si>
  <si>
    <t>2024-07-20T09:08:12.497060</t>
  </si>
  <si>
    <t>2024-07-20T09:07:53.261050</t>
  </si>
  <si>
    <t>2024-07-20T09:08:13.401570</t>
  </si>
  <si>
    <t>2024-07-20T09:07:53.485602</t>
  </si>
  <si>
    <t>2024-07-20T09:08:13.770718</t>
  </si>
  <si>
    <t>2024-07-20T09:07:54.060345</t>
  </si>
  <si>
    <t>2024-07-20T09:07:54.239744</t>
  </si>
  <si>
    <t>2024-07-20T09:07:54.522910</t>
  </si>
  <si>
    <t>2024-07-20T09:07:55.192219</t>
  </si>
  <si>
    <t>2024-07-20T09:07:55.293775</t>
  </si>
  <si>
    <t>2024-07-20T09:07:55.359270</t>
  </si>
  <si>
    <t>2024-07-20T09:07:55.681895</t>
  </si>
  <si>
    <t>Ground Truth</t>
  </si>
  <si>
    <t>2024-07-20T09:07:55.833949</t>
  </si>
  <si>
    <t>2024-07-20T09:07:55.917664</t>
  </si>
  <si>
    <t>2024-07-20T09:07:56.001140</t>
  </si>
  <si>
    <t>2024-07-20T09:07:56.064778</t>
  </si>
  <si>
    <t>2024-07-20T09:07:56.125415</t>
  </si>
  <si>
    <t>2024-07-20T09:07:56.278380</t>
  </si>
  <si>
    <t>2024-07-20T09:07:57.177798</t>
  </si>
  <si>
    <t>2024-07-20T09:07:57.391113</t>
  </si>
  <si>
    <t>2024-07-20T09:07:57.446696</t>
  </si>
  <si>
    <t>2024-07-20T09:07:57.879682</t>
  </si>
  <si>
    <t>2024-07-20T09:07:58.006905</t>
  </si>
  <si>
    <t>2024-07-20T09:07:58.241582</t>
  </si>
  <si>
    <t>2024-07-20T09:07:58.456705</t>
  </si>
  <si>
    <t>2024-07-20T09:07:58.773712</t>
  </si>
  <si>
    <t>2024-07-20T09:07:58.929507</t>
  </si>
  <si>
    <t>2024-07-20T09:07:58.979463</t>
  </si>
  <si>
    <t>2024-07-20T09:07:59.069812</t>
  </si>
  <si>
    <t>2024-07-20T09:07:59.177531</t>
  </si>
  <si>
    <t>2024-07-20T09:07:59.399719</t>
  </si>
  <si>
    <t>2024-07-20T09:07:59.559366</t>
  </si>
  <si>
    <t>2024-07-20T09:07:59.766865</t>
  </si>
  <si>
    <t>2024-07-20T09:07:59.859359</t>
  </si>
  <si>
    <t>2024-07-20T09:08:00.131876</t>
  </si>
  <si>
    <t>2024-07-20T09:08:00.466467</t>
  </si>
  <si>
    <t>2024-07-20T09:08:00.742266</t>
  </si>
  <si>
    <t>2024-07-20T09:08:00.806288</t>
  </si>
  <si>
    <t>2024-07-20T09:08:00.905250</t>
  </si>
  <si>
    <t>2024-07-20T09:08:00.998298</t>
  </si>
  <si>
    <t>2024-07-20T09:08:01.189774</t>
  </si>
  <si>
    <t>2024-07-20T09:08:01.278739</t>
  </si>
  <si>
    <t>2024-07-20T09:08:01.400855</t>
  </si>
  <si>
    <t>2024-07-20T09:08:01.900541</t>
  </si>
  <si>
    <t>2024-07-20T09:08:02.033137</t>
  </si>
  <si>
    <t>2024-07-20T09:08:02.297703</t>
  </si>
  <si>
    <t>2024-07-20T09:08:03.039648</t>
  </si>
  <si>
    <t>2024-07-20T09:08:03.176142</t>
  </si>
  <si>
    <t>2024-07-20T09:08:03.449162</t>
  </si>
  <si>
    <t>2024-07-20T09:08:03.516733</t>
  </si>
  <si>
    <t>2024-07-20T09:08:03.910044</t>
  </si>
  <si>
    <t>2024-07-20T09:08:04.006709</t>
  </si>
  <si>
    <t>2024-07-20T09:08:04.085576</t>
  </si>
  <si>
    <t>2024-07-20T09:08:04.249820</t>
  </si>
  <si>
    <t>2024-07-20T09:08:04.320244</t>
  </si>
  <si>
    <t>2024-07-20T09:08:04.452494</t>
  </si>
  <si>
    <t>2024-07-20T09:08:04.540283</t>
  </si>
  <si>
    <t>2024-07-20T09:08:05.101912</t>
  </si>
  <si>
    <t>2024-07-20T09:08:05.209675</t>
  </si>
  <si>
    <t>2024-07-20T09:08:05.424654</t>
  </si>
  <si>
    <t>2024-07-20T09:08:05.500796</t>
  </si>
  <si>
    <t>2024-07-20T09:08:05.592236</t>
  </si>
  <si>
    <t>2024-07-20T09:08:05.713530</t>
  </si>
  <si>
    <t>2024-07-20T09:08:05.828930</t>
  </si>
  <si>
    <t>2024-07-20T09:08:06.134655</t>
  </si>
  <si>
    <t>2024-07-20T09:08:06.461808</t>
  </si>
  <si>
    <t>2024-07-20T09:08:06.557665</t>
  </si>
  <si>
    <t>2024-07-20T09:08:06.637324</t>
  </si>
  <si>
    <t>2024-07-20T09:08:06.723803</t>
  </si>
  <si>
    <t>2024-07-20T09:08:06.885265</t>
  </si>
  <si>
    <t>2024-07-20T09:08:07.792607</t>
  </si>
  <si>
    <t>2024-07-20T09:08:07.919687</t>
  </si>
  <si>
    <t>2024-07-20T09:08:08.023664</t>
  </si>
  <si>
    <t>2024-07-20T09:08:08.738441</t>
  </si>
  <si>
    <t>2024-07-20T09:08:08.951610</t>
  </si>
  <si>
    <t>2024-07-20T09:08:09.008560</t>
  </si>
  <si>
    <t>2024-07-20T09:08:09.287549</t>
  </si>
  <si>
    <t>2024-07-20T09:08:09.869949</t>
  </si>
  <si>
    <t>2024-07-20T09:08:10.456006</t>
  </si>
  <si>
    <t>2024-07-20T09:08:10.671440</t>
  </si>
  <si>
    <t>2024-07-20T09:08:10.730115</t>
  </si>
  <si>
    <t>2024-07-20T09:08:11.112264</t>
  </si>
  <si>
    <t>2024-07-20T09:08:11.263328</t>
  </si>
  <si>
    <t>2024-07-20T09:08:11.369230</t>
  </si>
  <si>
    <t>2024-07-20T09:08:11.560609</t>
  </si>
  <si>
    <t>2024-07-20T09:08:11.871829</t>
  </si>
  <si>
    <t>2024-07-20T09:08:12.079686</t>
  </si>
  <si>
    <t>2024-07-20T09:08:12.392818</t>
  </si>
  <si>
    <t>2024-07-20T09:08:12.443091</t>
  </si>
  <si>
    <t>2024-07-20T09:08:12.489170</t>
  </si>
  <si>
    <t>2024-07-20T09:08:12.684912</t>
  </si>
  <si>
    <t>2024-07-20T09:08:13.326658</t>
  </si>
  <si>
    <t>2024-07-20T09:08:13.410961</t>
  </si>
  <si>
    <t>2024-07-20T09:08:13.830220</t>
  </si>
  <si>
    <t>2024-07-20_11-07-14</t>
  </si>
  <si>
    <t>2024-07-20_11-07-19</t>
  </si>
  <si>
    <t>2024-07-20_11-07-24</t>
  </si>
  <si>
    <t>2024-07-20_11-07-31</t>
  </si>
  <si>
    <t>2024-07-20_11-07-34</t>
  </si>
  <si>
    <t>2024-07-20_11-07-39</t>
  </si>
  <si>
    <t>2024-07-20_11-07-44</t>
  </si>
  <si>
    <t>2024-07-20_11-07-49</t>
  </si>
  <si>
    <t>2024-07-20_11-07-54</t>
  </si>
  <si>
    <t>2024-07-20_11-07-59</t>
  </si>
  <si>
    <t>2024-07-20_11-08-09</t>
  </si>
  <si>
    <t>2024-07-20_11-08-04</t>
  </si>
  <si>
    <t>2024-07-20T09:08:43.990252</t>
  </si>
  <si>
    <t>2024-07-20T09:08:44.525354</t>
  </si>
  <si>
    <t>2024-07-20T09:08:43.978352</t>
  </si>
  <si>
    <t>2024-07-20T09:08:44.762462</t>
  </si>
  <si>
    <t>2024-07-20T09:08:44.798435</t>
  </si>
  <si>
    <t>2024-07-20T09:08:44.612690</t>
  </si>
  <si>
    <t>2024-07-20T09:08:44.503627</t>
  </si>
  <si>
    <t>2024-07-20T09:08:44.927163</t>
  </si>
  <si>
    <t>2024-07-20T09:08:44.089263</t>
  </si>
  <si>
    <t>2024-07-20T09:08:45.434012</t>
  </si>
  <si>
    <t>2024-07-20T09:08:44.221298</t>
  </si>
  <si>
    <t>2024-07-20T09:08:44.930595</t>
  </si>
  <si>
    <t>2024-07-20T09:08:45.824155</t>
  </si>
  <si>
    <t>2024-07-20T09:08:45.628316</t>
  </si>
  <si>
    <t>2024-07-20T09:08:45.518187</t>
  </si>
  <si>
    <t>2024-07-20T09:08:45.942103</t>
  </si>
  <si>
    <t>2024-07-20T09:08:44.570501</t>
  </si>
  <si>
    <t>2024-07-20T09:08:46.336531</t>
  </si>
  <si>
    <t>2024-07-20T09:08:44.333750</t>
  </si>
  <si>
    <t>2024-07-20T09:08:45.119976</t>
  </si>
  <si>
    <t>2024-07-20T09:08:46.847621</t>
  </si>
  <si>
    <t>2024-07-20T09:08:46.647520</t>
  </si>
  <si>
    <t>2024-07-20T09:08:46.537865</t>
  </si>
  <si>
    <t>2024-07-20T09:08:46.957689</t>
  </si>
  <si>
    <t>2024-07-20T09:08:44.744446</t>
  </si>
  <si>
    <t>2024-07-20T09:08:47.237547</t>
  </si>
  <si>
    <t>2024-07-20T09:08:44.389851</t>
  </si>
  <si>
    <t>2024-07-20T09:08:45.512049</t>
  </si>
  <si>
    <t>2024-07-20T09:08:47.870919</t>
  </si>
  <si>
    <t>2024-07-20T09:08:47.661890</t>
  </si>
  <si>
    <t>2024-07-20T09:08:47.560936</t>
  </si>
  <si>
    <t>2024-07-20T09:08:47.977775</t>
  </si>
  <si>
    <t>2024-07-20T09:08:45.058799</t>
  </si>
  <si>
    <t>2024-07-20T09:08:48.136617</t>
  </si>
  <si>
    <t>2024-07-20T09:08:44.742258</t>
  </si>
  <si>
    <t>2024-07-20T09:08:46.419469</t>
  </si>
  <si>
    <t>2024-07-20T09:08:48.893357</t>
  </si>
  <si>
    <t>2024-07-20T09:08:48.690678</t>
  </si>
  <si>
    <t>2024-07-20T09:08:48.582638</t>
  </si>
  <si>
    <t>2024-07-20T09:08:48.997444</t>
  </si>
  <si>
    <t>2024-07-20T09:08:45.490737</t>
  </si>
  <si>
    <t>2024-07-20T09:08:49.042707</t>
  </si>
  <si>
    <t>2024-07-20T09:08:44.912774</t>
  </si>
  <si>
    <t>2024-07-20T09:08:46.856221</t>
  </si>
  <si>
    <t>2024-07-20T09:08:49.848623</t>
  </si>
  <si>
    <t>2024-07-20T09:08:49.707646</t>
  </si>
  <si>
    <t>2024-07-20T09:08:49.607350</t>
  </si>
  <si>
    <t>2024-07-20T09:08:50.016573</t>
  </si>
  <si>
    <t>2024-07-20T09:08:45.739661</t>
  </si>
  <si>
    <t>2024-07-20T09:08:49.943243</t>
  </si>
  <si>
    <t>2024-07-20T09:08:45.094767</t>
  </si>
  <si>
    <t>2024-07-20T09:08:46.952400</t>
  </si>
  <si>
    <t>2024-07-20T09:08:50.872204</t>
  </si>
  <si>
    <t>2024-07-20T09:08:50.731375</t>
  </si>
  <si>
    <t>2024-07-20T09:08:50.633505</t>
  </si>
  <si>
    <t>2024-07-20T09:08:51.039668</t>
  </si>
  <si>
    <t>2024-07-20T09:08:46.498685</t>
  </si>
  <si>
    <t>2024-07-20T09:08:50.846120</t>
  </si>
  <si>
    <t>2024-07-20T09:08:45.436506</t>
  </si>
  <si>
    <t>2024-07-20T09:08:47.134308</t>
  </si>
  <si>
    <t>2024-07-20T09:08:51.875272</t>
  </si>
  <si>
    <t>2024-07-20T09:08:51.754988</t>
  </si>
  <si>
    <t>2024-07-20T09:08:51.596009</t>
  </si>
  <si>
    <t>2024-07-20T09:08:52.063678</t>
  </si>
  <si>
    <t>2024-07-20T09:08:46.691676</t>
  </si>
  <si>
    <t>2024-07-20T09:08:51.750602</t>
  </si>
  <si>
    <t>2024-07-20T09:08:45.581779</t>
  </si>
  <si>
    <t>2024-07-20T09:08:48.040114</t>
  </si>
  <si>
    <t>2024-07-20T09:08:52.892636</t>
  </si>
  <si>
    <t>2024-07-20T09:08:52.724993</t>
  </si>
  <si>
    <t>2024-07-20T09:08:52.610022</t>
  </si>
  <si>
    <t>2024-07-20T09:08:53.097920</t>
  </si>
  <si>
    <t>2024-07-20T09:08:47.138578</t>
  </si>
  <si>
    <t>2024-07-20T09:08:52.651815</t>
  </si>
  <si>
    <t>2024-07-20T09:08:45.737163</t>
  </si>
  <si>
    <t>2024-07-20T09:08:48.153346</t>
  </si>
  <si>
    <t>2024-07-20T09:08:53.908208</t>
  </si>
  <si>
    <t>2024-07-20T09:08:53.737782</t>
  </si>
  <si>
    <t>2024-07-20T09:08:53.626520</t>
  </si>
  <si>
    <t>2024-07-20T09:08:54.066205</t>
  </si>
  <si>
    <t>2024-07-20T09:08:47.381952</t>
  </si>
  <si>
    <t>2024-07-20T09:08:53.557652</t>
  </si>
  <si>
    <t>2024-07-20T09:08:46.347727</t>
  </si>
  <si>
    <t>2024-07-20T09:08:48.496797</t>
  </si>
  <si>
    <t>2024-07-20T09:08:54.934514</t>
  </si>
  <si>
    <t>2024-07-20T09:08:54.753034</t>
  </si>
  <si>
    <t>2024-07-20T09:08:54.634565</t>
  </si>
  <si>
    <t>2024-07-20T09:08:55.073624</t>
  </si>
  <si>
    <t>2024-07-20T09:08:47.552567</t>
  </si>
  <si>
    <t>2024-07-20T09:08:54.457196</t>
  </si>
  <si>
    <t>2024-07-20T09:08:46.441106</t>
  </si>
  <si>
    <t>2024-07-20T09:08:48.668425</t>
  </si>
  <si>
    <t>2024-07-20T09:08:55.952292</t>
  </si>
  <si>
    <t>2024-07-20T09:08:55.765880</t>
  </si>
  <si>
    <t>2024-07-20T09:08:55.650350</t>
  </si>
  <si>
    <t>2024-07-20T09:08:56.092143</t>
  </si>
  <si>
    <t>2024-07-20T09:08:48.112305</t>
  </si>
  <si>
    <t>2024-07-20T09:08:55.363778</t>
  </si>
  <si>
    <t>2024-07-20T09:08:46.508711</t>
  </si>
  <si>
    <t>2024-07-20T09:08:49.570547</t>
  </si>
  <si>
    <t>2024-07-20T09:08:56.979266</t>
  </si>
  <si>
    <t>2024-07-20T09:08:56.782752</t>
  </si>
  <si>
    <t>2024-07-20T09:08:56.669054</t>
  </si>
  <si>
    <t>2024-07-20T09:08:57.100899</t>
  </si>
  <si>
    <t>2024-07-20T09:08:48.408661</t>
  </si>
  <si>
    <t>2024-07-20T09:08:55.502720</t>
  </si>
  <si>
    <t>2024-07-20T09:08:46.712927</t>
  </si>
  <si>
    <t>2024-07-20T09:08:50.430079</t>
  </si>
  <si>
    <t>2024-07-20T09:08:57.998424</t>
  </si>
  <si>
    <t>2024-07-20T09:08:57.800804</t>
  </si>
  <si>
    <t>2024-07-20T09:08:57.698019</t>
  </si>
  <si>
    <t>2024-07-20T09:08:58.120994</t>
  </si>
  <si>
    <t>2024-07-20T09:08:48.545642</t>
  </si>
  <si>
    <t>2024-07-20T09:08:56.406643</t>
  </si>
  <si>
    <t>2024-07-20T09:08:46.872048</t>
  </si>
  <si>
    <t>2024-07-20T09:08:51.330409</t>
  </si>
  <si>
    <t>2024-07-20T09:08:59.022997</t>
  </si>
  <si>
    <t>2024-07-20T09:08:58.827058</t>
  </si>
  <si>
    <t>2024-07-20T09:08:58.719972</t>
  </si>
  <si>
    <t>2024-07-20T09:08:59.135239</t>
  </si>
  <si>
    <t>2024-07-20T09:08:48.606866</t>
  </si>
  <si>
    <t>2024-07-20T09:08:56.692347</t>
  </si>
  <si>
    <t>2024-07-20T09:08:46.960494</t>
  </si>
  <si>
    <t>2024-07-20T09:08:52.072635</t>
  </si>
  <si>
    <t>2024-07-20T09:08:59.990276</t>
  </si>
  <si>
    <t>2024-07-20T09:08:59.840175</t>
  </si>
  <si>
    <t>2024-07-20T09:08:59.743697</t>
  </si>
  <si>
    <t>2024-07-20T09:09:00.154548</t>
  </si>
  <si>
    <t>2024-07-20T09:08:48.687248</t>
  </si>
  <si>
    <t>2024-07-20T09:08:57.595394</t>
  </si>
  <si>
    <t>2024-07-20T09:08:47.110186</t>
  </si>
  <si>
    <t>2024-07-20T09:08:52.867513</t>
  </si>
  <si>
    <t>2024-07-20T09:09:01.002657</t>
  </si>
  <si>
    <t>2024-07-20T09:09:00.865983</t>
  </si>
  <si>
    <t>2024-07-20T09:09:00.759121</t>
  </si>
  <si>
    <t>2024-07-20T09:09:01.172045</t>
  </si>
  <si>
    <t>2024-07-20T09:08:49.587725</t>
  </si>
  <si>
    <t>2024-07-20T09:08:58.499650</t>
  </si>
  <si>
    <t>2024-07-20T09:08:47.296876</t>
  </si>
  <si>
    <t>2024-07-20T09:08:53.749371</t>
  </si>
  <si>
    <t>2024-07-20T09:09:02.017627</t>
  </si>
  <si>
    <t>2024-07-20T09:09:01.890251</t>
  </si>
  <si>
    <t>2024-07-20T09:09:01.731261</t>
  </si>
  <si>
    <t>2024-07-20T09:09:02.193917</t>
  </si>
  <si>
    <t>2024-07-20T09:08:50.035437</t>
  </si>
  <si>
    <t>2024-07-20T09:08:59.402853</t>
  </si>
  <si>
    <t>2024-07-20T09:08:47.544200</t>
  </si>
  <si>
    <t>2024-07-20T09:08:54.335092</t>
  </si>
  <si>
    <t>2024-07-20T09:09:03.031838</t>
  </si>
  <si>
    <t>2024-07-20T09:09:02.911515</t>
  </si>
  <si>
    <t>2024-07-20T09:09:02.740322</t>
  </si>
  <si>
    <t>2024-07-20T09:09:03.216532</t>
  </si>
  <si>
    <t>2024-07-20T09:08:50.126057</t>
  </si>
  <si>
    <t>2024-07-20T09:09:00.305185</t>
  </si>
  <si>
    <t>2024-07-20T09:08:48.122016</t>
  </si>
  <si>
    <t>2024-07-20T09:08:54.529019</t>
  </si>
  <si>
    <t>2024-07-20T09:09:04.046548</t>
  </si>
  <si>
    <t>2024-07-20T09:09:03.882081</t>
  </si>
  <si>
    <t>2024-07-20T09:09:03.755855</t>
  </si>
  <si>
    <t>2024-07-20T09:09:04.246214</t>
  </si>
  <si>
    <t>2024-07-20T09:08:50.228032</t>
  </si>
  <si>
    <t>2024-07-20T09:09:01.211618</t>
  </si>
  <si>
    <t>2024-07-20T09:08:48.398466</t>
  </si>
  <si>
    <t>2024-07-20T09:08:55.432561</t>
  </si>
  <si>
    <t>2024-07-20T09:09:05.064837</t>
  </si>
  <si>
    <t>2024-07-20T09:09:04.897187</t>
  </si>
  <si>
    <t>2024-07-20T09:09:04.767246</t>
  </si>
  <si>
    <t>2024-07-20T09:09:05.267277</t>
  </si>
  <si>
    <t>2024-07-20T09:08:50.430352</t>
  </si>
  <si>
    <t>2024-07-20T09:09:01.674811</t>
  </si>
  <si>
    <t>2024-07-20T09:08:48.466019</t>
  </si>
  <si>
    <t>2024-07-20T09:08:56.018389</t>
  </si>
  <si>
    <t>2024-07-20T09:09:06.091607</t>
  </si>
  <si>
    <t>2024-07-20T09:09:05.906379</t>
  </si>
  <si>
    <t>2024-07-20T09:09:05.784092</t>
  </si>
  <si>
    <t>2024-07-20T09:09:06.233457</t>
  </si>
  <si>
    <t>2024-07-20T09:08:50.859988</t>
  </si>
  <si>
    <t>2024-07-20T09:09:02.580544</t>
  </si>
  <si>
    <t>2024-07-20T09:08:48.623794</t>
  </si>
  <si>
    <t>2024-07-20T09:08:56.174517</t>
  </si>
  <si>
    <t>2024-07-20T09:09:07.106860</t>
  </si>
  <si>
    <t>2024-07-20T09:09:06.921276</t>
  </si>
  <si>
    <t>2024-07-20T09:09:06.796908</t>
  </si>
  <si>
    <t>2024-07-20T09:09:07.246323</t>
  </si>
  <si>
    <t>2024-07-20T09:08:51.477663</t>
  </si>
  <si>
    <t>2024-07-20T09:09:03.482331</t>
  </si>
  <si>
    <t>2024-07-20T09:08:49.525087</t>
  </si>
  <si>
    <t>2024-07-20T09:08:57.080392</t>
  </si>
  <si>
    <t>2024-07-20T09:09:08.131907</t>
  </si>
  <si>
    <t>2024-07-20T09:09:07.935574</t>
  </si>
  <si>
    <t>2024-07-20T09:09:07.820747</t>
  </si>
  <si>
    <t>2024-07-20T09:09:08.263155</t>
  </si>
  <si>
    <t>2024-07-20T09:08:51.565171</t>
  </si>
  <si>
    <t>2024-07-20T09:09:04.384737</t>
  </si>
  <si>
    <t>2024-07-20T09:08:50.123834</t>
  </si>
  <si>
    <t>2024-07-20T09:08:57.596828</t>
  </si>
  <si>
    <t>2024-07-20T09:09:09.154467</t>
  </si>
  <si>
    <t>2024-07-20T09:09:08.951137</t>
  </si>
  <si>
    <t>2024-07-20T09:09:08.869020</t>
  </si>
  <si>
    <t>2024-07-20T09:09:09.274873</t>
  </si>
  <si>
    <t>2024-07-20T09:08:51.833849</t>
  </si>
  <si>
    <t>2024-07-20T09:09:05.286645</t>
  </si>
  <si>
    <t>2024-07-20T09:08:50.322037</t>
  </si>
  <si>
    <t>2024-07-20T09:08:58.499776</t>
  </si>
  <si>
    <t>2024-07-20T09:09:10.178249</t>
  </si>
  <si>
    <t>2024-07-20T09:09:09.973141</t>
  </si>
  <si>
    <t>2024-07-20T09:09:09.870048</t>
  </si>
  <si>
    <t>2024-07-20T09:09:10.295626</t>
  </si>
  <si>
    <t>2024-07-20T09:08:52.051984</t>
  </si>
  <si>
    <t>2024-07-20T09:09:06.192258</t>
  </si>
  <si>
    <t>2024-07-20T09:08:50.382832</t>
  </si>
  <si>
    <t>2024-07-20T09:08:59.402788</t>
  </si>
  <si>
    <t>2024-07-20T09:09:11.143567</t>
  </si>
  <si>
    <t>2024-07-20T09:09:11.001019</t>
  </si>
  <si>
    <t>2024-07-20T09:09:10.897894</t>
  </si>
  <si>
    <t>2024-07-20T09:09:11.306872</t>
  </si>
  <si>
    <t>2024-07-20T09:08:52.111333</t>
  </si>
  <si>
    <t>2024-07-20T09:09:06.776816</t>
  </si>
  <si>
    <t>2024-07-20T09:08:50.428863</t>
  </si>
  <si>
    <t>2024-07-20T09:09:00.217306</t>
  </si>
  <si>
    <t>2024-07-20T09:09:12.152561</t>
  </si>
  <si>
    <t>2024-07-20T09:09:12.026311</t>
  </si>
  <si>
    <t>2024-07-20T09:09:11.866359</t>
  </si>
  <si>
    <t>2024-07-20T09:09:12.329005</t>
  </si>
  <si>
    <t>2024-07-20T09:08:52.227928</t>
  </si>
  <si>
    <t>2024-07-20T09:09:07.560044</t>
  </si>
  <si>
    <t>2024-07-20T09:08:50.679256</t>
  </si>
  <si>
    <t>2024-07-20T09:09:00.348727</t>
  </si>
  <si>
    <t>2024-07-20T09:09:13.171851</t>
  </si>
  <si>
    <t>2024-07-20T09:09:13.043355</t>
  </si>
  <si>
    <t>2024-07-20T09:09:12.875492</t>
  </si>
  <si>
    <t>2024-07-20T09:09:13.347053</t>
  </si>
  <si>
    <t>2024-07-20T09:08:52.659681</t>
  </si>
  <si>
    <t>2024-07-20T09:09:07.781309</t>
  </si>
  <si>
    <t>2024-07-20T09:08:50.820540</t>
  </si>
  <si>
    <t>2024-07-20T09:09:01.251883</t>
  </si>
  <si>
    <t>2024-07-20T09:09:14.183072</t>
  </si>
  <si>
    <t>2024-07-20T09:09:14.071436</t>
  </si>
  <si>
    <t>2024-07-20T09:09:13.891039</t>
  </si>
  <si>
    <t>2024-07-20T09:09:14.377906</t>
  </si>
  <si>
    <t>2024-07-20T09:08:52.786801</t>
  </si>
  <si>
    <t>2024-07-20T09:09:08.685679</t>
  </si>
  <si>
    <t>2024-07-20T09:08:51.340233</t>
  </si>
  <si>
    <t>2024-07-20T09:09:02.158324</t>
  </si>
  <si>
    <t>2024-07-20T09:09:15.204564</t>
  </si>
  <si>
    <t>2024-07-20T09:09:15.034467</t>
  </si>
  <si>
    <t>2024-07-20T09:09:14.901954</t>
  </si>
  <si>
    <t>2024-07-20T09:09:15.393821</t>
  </si>
  <si>
    <t>2024-07-20T09:08:53.686066</t>
  </si>
  <si>
    <t>2024-07-20T09:09:09.586347</t>
  </si>
  <si>
    <t>2024-07-20T09:08:51.437290</t>
  </si>
  <si>
    <t>2024-07-20T09:09:02.536924</t>
  </si>
  <si>
    <t>2024-07-20T09:09:16.212454</t>
  </si>
  <si>
    <t>2024-07-20T09:09:16.047039</t>
  </si>
  <si>
    <t>2024-07-20T09:09:15.918535</t>
  </si>
  <si>
    <t>2024-07-20T09:09:16.419509</t>
  </si>
  <si>
    <t>2024-07-20T09:08:54.140313</t>
  </si>
  <si>
    <t>2024-07-20T09:09:10.493290</t>
  </si>
  <si>
    <t>2024-07-20T09:08:51.500212</t>
  </si>
  <si>
    <t>2024-07-20T09:09:02.935159</t>
  </si>
  <si>
    <t>2024-07-20T09:09:17.235071</t>
  </si>
  <si>
    <t>2024-07-20T09:09:17.064913</t>
  </si>
  <si>
    <t>2024-07-20T09:09:16.937472</t>
  </si>
  <si>
    <t>2024-07-20T09:09:17.439706</t>
  </si>
  <si>
    <t>2024-07-20T09:08:54.445787</t>
  </si>
  <si>
    <t>2024-07-20T09:09:11.396073</t>
  </si>
  <si>
    <t>2024-07-20T09:08:51.537763</t>
  </si>
  <si>
    <t>2024-07-20T09:09:03.050217</t>
  </si>
  <si>
    <t>2024-07-20T09:09:18.267676</t>
  </si>
  <si>
    <t>2024-07-20T09:09:18.078036</t>
  </si>
  <si>
    <t>2024-07-20T09:09:17.953920</t>
  </si>
  <si>
    <t>2024-07-20T09:09:18.408978</t>
  </si>
  <si>
    <t>2024-07-20T09:08:55.295553</t>
  </si>
  <si>
    <t>2024-07-20T09:09:12.296896</t>
  </si>
  <si>
    <t>2024-07-20T09:08:51.773921</t>
  </si>
  <si>
    <t>2024-07-20T09:09:03.244494</t>
  </si>
  <si>
    <t>2024-07-20T09:09:19.286931</t>
  </si>
  <si>
    <t>2024-07-20T09:09:19.093807</t>
  </si>
  <si>
    <t>2024-07-20T09:09:18.986328</t>
  </si>
  <si>
    <t>2024-07-20T09:09:19.423604</t>
  </si>
  <si>
    <t>2024-07-20T09:08:55.605580</t>
  </si>
  <si>
    <t>2024-07-20T09:09:13.197298</t>
  </si>
  <si>
    <t>2024-07-20T09:08:51.844862</t>
  </si>
  <si>
    <t>2024-07-20T09:09:04.147404</t>
  </si>
  <si>
    <t>2024-07-20T09:09:20.308323</t>
  </si>
  <si>
    <t>2024-07-20T09:09:20.108861</t>
  </si>
  <si>
    <t>2024-07-20T09:09:19.999307</t>
  </si>
  <si>
    <t>2024-07-20T09:09:20.436012</t>
  </si>
  <si>
    <t>2024-07-20T09:08:55.743474</t>
  </si>
  <si>
    <t>2024-07-20T09:09:14.105326</t>
  </si>
  <si>
    <t>2024-07-20T09:08:51.928635</t>
  </si>
  <si>
    <t>2024-07-20T09:09:04.608256</t>
  </si>
  <si>
    <t>2024-07-20T09:09:21.328356</t>
  </si>
  <si>
    <t>2024-07-20T09:09:21.126622</t>
  </si>
  <si>
    <t>2024-07-20T09:09:21.021584</t>
  </si>
  <si>
    <t>2024-07-20T09:09:21.449173</t>
  </si>
  <si>
    <t>2024-07-20T09:08:55.960908</t>
  </si>
  <si>
    <t>2024-07-20T09:09:15.003804</t>
  </si>
  <si>
    <t>2024-07-20T09:08:52.130077</t>
  </si>
  <si>
    <t>2024-07-20T09:09:04.770542</t>
  </si>
  <si>
    <t>2024-07-20T09:09:22.291458</t>
  </si>
  <si>
    <t>2024-07-20T09:09:22.147462</t>
  </si>
  <si>
    <t>2024-07-20T09:09:22.044828</t>
  </si>
  <si>
    <t>2024-07-20T09:09:22.464734</t>
  </si>
  <si>
    <t>2024-07-20T09:08:56.441982</t>
  </si>
  <si>
    <t>2024-07-20T09:09:15.906190</t>
  </si>
  <si>
    <t>2024-07-20T09:08:52.215100</t>
  </si>
  <si>
    <t>2024-07-20T09:09:05.673263</t>
  </si>
  <si>
    <t>2024-07-20T09:09:23.311649</t>
  </si>
  <si>
    <t>2024-07-20T09:09:23.172560</t>
  </si>
  <si>
    <t>2024-07-20T09:09:23.009975</t>
  </si>
  <si>
    <t>2024-07-20T09:09:23.479767</t>
  </si>
  <si>
    <t>2024-07-20T09:08:56.681829</t>
  </si>
  <si>
    <t>2024-07-20T09:09:16.808488</t>
  </si>
  <si>
    <t>2024-07-20T09:08:52.302156</t>
  </si>
  <si>
    <t>2024-07-20T09:09:06.202271</t>
  </si>
  <si>
    <t>2024-07-20T09:09:24.319278</t>
  </si>
  <si>
    <t>2024-07-20T09:09:24.194515</t>
  </si>
  <si>
    <t>2024-07-20T09:09:24.031119</t>
  </si>
  <si>
    <t>2024-07-20T09:09:24.503986</t>
  </si>
  <si>
    <t>2024-07-20T09:08:56.948164</t>
  </si>
  <si>
    <t>2024-07-20T09:09:17.712499</t>
  </si>
  <si>
    <t>2024-07-20T09:08:52.562197</t>
  </si>
  <si>
    <t>2024-07-20T09:09:06.564574</t>
  </si>
  <si>
    <t>2024-07-20T09:09:25.335993</t>
  </si>
  <si>
    <t>2024-07-20T09:09:25.220766</t>
  </si>
  <si>
    <t>2024-07-20T09:09:25.036718</t>
  </si>
  <si>
    <t>2024-07-20T09:09:25.526009</t>
  </si>
  <si>
    <t>2024-07-20T09:08:57.587713</t>
  </si>
  <si>
    <t>2024-07-20T09:09:18.617538</t>
  </si>
  <si>
    <t>2024-07-20T09:08:52.689963</t>
  </si>
  <si>
    <t>2024-07-20T09:09:07.107189</t>
  </si>
  <si>
    <t>2024-07-20T09:09:26.348968</t>
  </si>
  <si>
    <t>2024-07-20T09:09:26.191192</t>
  </si>
  <si>
    <t>2024-07-20T09:09:26.051479</t>
  </si>
  <si>
    <t>2024-07-20T09:09:26.547545</t>
  </si>
  <si>
    <t>2024-07-20T09:08:57.715627</t>
  </si>
  <si>
    <t>2024-07-20T09:09:19.518131</t>
  </si>
  <si>
    <t>2024-07-20T09:08:52.830522</t>
  </si>
  <si>
    <t>2024-07-20T09:09:07.360896</t>
  </si>
  <si>
    <t>2024-07-20T09:09:27.369289</t>
  </si>
  <si>
    <t>2024-07-20T09:09:27.209135</t>
  </si>
  <si>
    <t>2024-07-20T09:09:27.068265</t>
  </si>
  <si>
    <t>2024-07-20T09:09:27.572604</t>
  </si>
  <si>
    <t>2024-07-20T09:08:57.963456</t>
  </si>
  <si>
    <t>2024-07-20T09:09:20.423849</t>
  </si>
  <si>
    <t>2024-07-20T09:08:53.732965</t>
  </si>
  <si>
    <t>2024-07-20T09:09:08.266573</t>
  </si>
  <si>
    <t>2024-07-20T09:09:28.391847</t>
  </si>
  <si>
    <t>2024-07-20T09:09:28.221311</t>
  </si>
  <si>
    <t>2024-07-20T09:09:28.084339</t>
  </si>
  <si>
    <t>2024-07-20T09:09:28.601623</t>
  </si>
  <si>
    <t>2024-07-20T09:08:58.865582</t>
  </si>
  <si>
    <t>2024-07-20T09:09:21.324862</t>
  </si>
  <si>
    <t>2024-07-20T09:08:54.292005</t>
  </si>
  <si>
    <t>2024-07-20T09:09:09.167477</t>
  </si>
  <si>
    <t>2024-07-20T09:09:29.415169</t>
  </si>
  <si>
    <t>2024-07-20T09:09:29.234694</t>
  </si>
  <si>
    <t>2024-07-20T09:09:29.110089</t>
  </si>
  <si>
    <t>2024-07-20T09:09:29.564901</t>
  </si>
  <si>
    <t>2024-07-20T09:08:59.142515</t>
  </si>
  <si>
    <t>2024-07-20T09:09:22.228216</t>
  </si>
  <si>
    <t>2024-07-20T09:08:54.480825</t>
  </si>
  <si>
    <t>2024-07-20T09:09:10.070421</t>
  </si>
  <si>
    <t>2024-07-20T09:09:30.441002</t>
  </si>
  <si>
    <t>2024-07-20T09:09:30.247339</t>
  </si>
  <si>
    <t>2024-07-20T09:09:30.129208</t>
  </si>
  <si>
    <t>2024-07-20T09:09:30.585916</t>
  </si>
  <si>
    <t>2024-07-20T09:08:59.466558</t>
  </si>
  <si>
    <t>2024-07-20T09:09:23.133563</t>
  </si>
  <si>
    <t>2024-07-20T09:08:54.573316</t>
  </si>
  <si>
    <t>2024-07-20T09:09:10.976722</t>
  </si>
  <si>
    <t>2024-07-20T09:09:31.461481</t>
  </si>
  <si>
    <t>2024-07-20T09:09:31.266792</t>
  </si>
  <si>
    <t>2024-07-20T09:09:31.154329</t>
  </si>
  <si>
    <t>2024-07-20T09:09:31.598783</t>
  </si>
  <si>
    <t>2024-07-20T09:08:59.989700</t>
  </si>
  <si>
    <t>2024-07-20T09:09:24.038884</t>
  </si>
  <si>
    <t>2024-07-20T09:08:55.273915</t>
  </si>
  <si>
    <t>2024-07-20T09:09:11.814626</t>
  </si>
  <si>
    <t>2024-07-20T09:09:32.433760</t>
  </si>
  <si>
    <t>2024-07-20T09:09:32.282584</t>
  </si>
  <si>
    <t>2024-07-20T09:09:32.177515</t>
  </si>
  <si>
    <t>2024-07-20T09:09:32.611688</t>
  </si>
  <si>
    <t>2024-07-20T09:09:00.113305</t>
  </si>
  <si>
    <t>2024-07-20T09:09:24.452120</t>
  </si>
  <si>
    <t>2024-07-20T09:08:55.463631</t>
  </si>
  <si>
    <t>2024-07-20T09:09:12.161980</t>
  </si>
  <si>
    <t>2024-07-20T09:09:33.448293</t>
  </si>
  <si>
    <t>2024-07-20T09:09:33.304018</t>
  </si>
  <si>
    <t>2024-07-20T09:09:33.142245</t>
  </si>
  <si>
    <t>2024-07-20T09:09:33.627140</t>
  </si>
  <si>
    <t>2024-07-20T09:09:00.262647</t>
  </si>
  <si>
    <t>2024-07-20T09:09:25.355426</t>
  </si>
  <si>
    <t>2024-07-20T09:08:55.660744</t>
  </si>
  <si>
    <t>2024-07-20T09:09:12.673582</t>
  </si>
  <si>
    <t>2024-07-20T09:09:34.466349</t>
  </si>
  <si>
    <t>2024-07-20T09:09:34.327701</t>
  </si>
  <si>
    <t>2024-07-20T09:09:34.157851</t>
  </si>
  <si>
    <t>2024-07-20T09:09:34.639714</t>
  </si>
  <si>
    <t>2024-07-20T09:09:00.577975</t>
  </si>
  <si>
    <t>2024-07-20T09:09:26.260423</t>
  </si>
  <si>
    <t>2024-07-20T09:08:55.785414</t>
  </si>
  <si>
    <t>2024-07-20T09:09:13.208118</t>
  </si>
  <si>
    <t>2024-07-20T09:09:35.474421</t>
  </si>
  <si>
    <t>2024-07-20T09:09:35.348159</t>
  </si>
  <si>
    <t>2024-07-20T09:09:35.167545</t>
  </si>
  <si>
    <t>2024-07-20T09:09:35.658194</t>
  </si>
  <si>
    <t>2024-07-20T09:09:00.646034</t>
  </si>
  <si>
    <t>2024-07-20T09:09:27.161372</t>
  </si>
  <si>
    <t>2024-07-20T09:08:55.948784</t>
  </si>
  <si>
    <t>2024-07-20T09:09:13.557269</t>
  </si>
  <si>
    <t>2024-07-20T09:09:36.491253</t>
  </si>
  <si>
    <t>2024-07-20T09:09:36.373053</t>
  </si>
  <si>
    <t>2024-07-20T09:09:36.188430</t>
  </si>
  <si>
    <t>2024-07-20T09:09:36.680703</t>
  </si>
  <si>
    <t>2024-07-20T09:09:00.913280</t>
  </si>
  <si>
    <t>2024-07-20T09:09:27.595822</t>
  </si>
  <si>
    <t>2024-07-20T09:08:56.036506</t>
  </si>
  <si>
    <t>2024-07-20T09:09:13.729218</t>
  </si>
  <si>
    <t>2024-07-20T09:09:37.505613</t>
  </si>
  <si>
    <t>2024-07-20T09:09:37.396041</t>
  </si>
  <si>
    <t>2024-07-20T09:09:37.196129</t>
  </si>
  <si>
    <t>2024-07-20T09:09:37.702292</t>
  </si>
  <si>
    <t>2024-07-20T09:09:01.273954</t>
  </si>
  <si>
    <t>2024-07-20T09:09:28.501452</t>
  </si>
  <si>
    <t>2024-07-20T09:08:56.159664</t>
  </si>
  <si>
    <t>2024-07-20T09:09:14.197214</t>
  </si>
  <si>
    <t>2024-07-20T09:09:38.532921</t>
  </si>
  <si>
    <t>2024-07-20T09:09:38.363908</t>
  </si>
  <si>
    <t>2024-07-20T09:09:38.215267</t>
  </si>
  <si>
    <t>2024-07-20T09:09:38.725248</t>
  </si>
  <si>
    <t>2024-07-20T09:09:02.166455</t>
  </si>
  <si>
    <t>2024-07-20T09:09:29.409625</t>
  </si>
  <si>
    <t>2024-07-20T09:08:56.344960</t>
  </si>
  <si>
    <t>2024-07-20T09:09:14.658842</t>
  </si>
  <si>
    <t>2024-07-20T09:09:39.546355</t>
  </si>
  <si>
    <t>2024-07-20T09:09:39.377010</t>
  </si>
  <si>
    <t>2024-07-20T09:09:39.238717</t>
  </si>
  <si>
    <t>2024-07-20T09:09:39.750760</t>
  </si>
  <si>
    <t>2024-07-20T09:09:02.496777</t>
  </si>
  <si>
    <t>2024-07-20T09:09:30.308112</t>
  </si>
  <si>
    <t>2024-07-20T09:08:56.471272</t>
  </si>
  <si>
    <t>2024-07-20T09:09:15.303728</t>
  </si>
  <si>
    <t>2024-07-20T09:09:40.569521</t>
  </si>
  <si>
    <t>2024-07-20T09:09:40.389743</t>
  </si>
  <si>
    <t>2024-07-20T09:09:40.260039</t>
  </si>
  <si>
    <t>2024-07-20T09:09:40.773501</t>
  </si>
  <si>
    <t>2024-07-20T09:09:02.928997</t>
  </si>
  <si>
    <t>2024-07-20T09:09:31.210976</t>
  </si>
  <si>
    <t>2024-07-20T09:08:56.619940</t>
  </si>
  <si>
    <t>2024-07-20T09:09:16.207362</t>
  </si>
  <si>
    <t>2024-07-20T09:09:41.592259</t>
  </si>
  <si>
    <t>2024-07-20T09:09:41.408039</t>
  </si>
  <si>
    <t>2024-07-20T09:09:41.285190</t>
  </si>
  <si>
    <t>2024-07-20T09:09:41.735325</t>
  </si>
  <si>
    <t>2024-07-20T09:09:03.149077</t>
  </si>
  <si>
    <t>2024-07-20T09:09:32.111971</t>
  </si>
  <si>
    <t>2024-07-20T09:08:57.024883</t>
  </si>
  <si>
    <t>2024-07-20T09:09:16.378342</t>
  </si>
  <si>
    <t>2024-07-20T09:09:42.616567</t>
  </si>
  <si>
    <t>2024-07-20T09:09:42.422257</t>
  </si>
  <si>
    <t>2024-07-20T09:09:42.308419</t>
  </si>
  <si>
    <t>2024-07-20T09:09:42.749766</t>
  </si>
  <si>
    <t>2024-07-20T09:09:04.067161</t>
  </si>
  <si>
    <t>2024-07-20T09:09:33.014621</t>
  </si>
  <si>
    <t>2024-07-20T09:08:57.763772</t>
  </si>
  <si>
    <t>2024-07-20T09:09:16.804035</t>
  </si>
  <si>
    <t>2024-07-20T09:09:43.587930</t>
  </si>
  <si>
    <t>2024-07-20T09:09:43.438503</t>
  </si>
  <si>
    <t>2024-07-20T09:09:43.273829</t>
  </si>
  <si>
    <t>2024-07-20T09:09:43.762848</t>
  </si>
  <si>
    <t>2024-07-20T09:09:04.326955</t>
  </si>
  <si>
    <t>2024-07-20T09:09:33.917325</t>
  </si>
  <si>
    <t>2024-07-20T09:08:58.047615</t>
  </si>
  <si>
    <t>2024-07-20T09:09:17.431873</t>
  </si>
  <si>
    <t>2024-07-20T09:09:04.808065</t>
  </si>
  <si>
    <t>2024-07-20T09:09:34.820808</t>
  </si>
  <si>
    <t>2024-07-20T09:08:58.483098</t>
  </si>
  <si>
    <t>2024-07-20T09:09:17.611587</t>
  </si>
  <si>
    <t>2024-07-20T09:09:05.313603</t>
  </si>
  <si>
    <t>2024-07-20T09:09:35.722239</t>
  </si>
  <si>
    <t>2024-07-20T09:08:58.535501</t>
  </si>
  <si>
    <t>2024-07-20T09:09:18.514213</t>
  </si>
  <si>
    <t>2024-07-20T09:09:05.636683</t>
  </si>
  <si>
    <t>2024-07-20T09:09:36.625442</t>
  </si>
  <si>
    <t>2024-07-20T09:08:59.437880</t>
  </si>
  <si>
    <t>2024-07-20T09:09:19.146087</t>
  </si>
  <si>
    <t>2024-07-20T09:09:05.721316</t>
  </si>
  <si>
    <t>2024-07-20T09:09:37.528030</t>
  </si>
  <si>
    <t>2024-07-20T09:08:59.951047</t>
  </si>
  <si>
    <t>2024-07-20T09:09:19.705662</t>
  </si>
  <si>
    <t>2024-07-20T09:09:05.810933</t>
  </si>
  <si>
    <t>2024-07-20T09:09:38.430025</t>
  </si>
  <si>
    <t>2024-07-20T09:09:00.113942</t>
  </si>
  <si>
    <t>2024-07-20T09:09:20.265345</t>
  </si>
  <si>
    <t>2024-07-20T09:09:05.977989</t>
  </si>
  <si>
    <t>2024-07-20T09:09:39.333026</t>
  </si>
  <si>
    <t>2024-07-20T09:09:00.231067</t>
  </si>
  <si>
    <t>2024-07-20T09:09:20.443508</t>
  </si>
  <si>
    <t>2024-07-20T09:09:06.414121</t>
  </si>
  <si>
    <t>2024-07-20T09:09:40.238858</t>
  </si>
  <si>
    <t>2024-07-20T09:09:00.322891</t>
  </si>
  <si>
    <t>2024-07-20T09:09:21.343724</t>
  </si>
  <si>
    <t>2024-07-20T09:09:06.489406</t>
  </si>
  <si>
    <t>2024-07-20T09:09:41.140570</t>
  </si>
  <si>
    <t>2024-07-20T09:09:00.654323</t>
  </si>
  <si>
    <t>2024-07-20T09:09:22.154500</t>
  </si>
  <si>
    <t>2024-07-20T09:09:06.561319</t>
  </si>
  <si>
    <t>2024-07-20T09:09:42.041847</t>
  </si>
  <si>
    <t>2024-07-20T09:09:01.393401</t>
  </si>
  <si>
    <t>2024-07-20T09:09:23.052932</t>
  </si>
  <si>
    <t>2024-07-20T09:09:06.840791</t>
  </si>
  <si>
    <t>2024-07-20T09:09:42.944908</t>
  </si>
  <si>
    <t>2024-07-20T09:09:01.504458</t>
  </si>
  <si>
    <t>2024-07-20T09:09:23.415602</t>
  </si>
  <si>
    <t>2024-07-20T09:09:07.078366</t>
  </si>
  <si>
    <t>2024-07-20T09:09:43.851125</t>
  </si>
  <si>
    <t>2024-07-20T09:09:01.658724</t>
  </si>
  <si>
    <t>2024-07-20T09:09:24.073892</t>
  </si>
  <si>
    <t>2024-07-20T09:09:07.297530</t>
  </si>
  <si>
    <t>2024-07-20T09:09:02.228505</t>
  </si>
  <si>
    <t>2024-07-20T09:09:24.422561</t>
  </si>
  <si>
    <t>2024-07-20T09:09:07.438002</t>
  </si>
  <si>
    <t>2024-07-20T09:09:02.511335</t>
  </si>
  <si>
    <t>2024-07-20T09:09:24.613678</t>
  </si>
  <si>
    <t>2024-07-20T09:09:07.775724</t>
  </si>
  <si>
    <t>2024-07-20T09:09:02.635088</t>
  </si>
  <si>
    <t>2024-07-20T09:09:25.520315</t>
  </si>
  <si>
    <t>2024-07-20T09:09:08.022440</t>
  </si>
  <si>
    <t>2024-07-20T09:09:02.918423</t>
  </si>
  <si>
    <t>2024-07-20T09:09:26.329256</t>
  </si>
  <si>
    <t>2024-07-20T09:09:08.237624</t>
  </si>
  <si>
    <t>2024-07-20T09:09:02.988163</t>
  </si>
  <si>
    <t>2024-07-20T09:09:26.490152</t>
  </si>
  <si>
    <t>2024-07-20T09:09:08.702231</t>
  </si>
  <si>
    <t>2024-07-20T09:09:03.047292</t>
  </si>
  <si>
    <t>2024-07-20T09:09:27.392672</t>
  </si>
  <si>
    <t>2024-07-20T09:09:08.785891</t>
  </si>
  <si>
    <t>2024-07-20T09:09:03.192660</t>
  </si>
  <si>
    <t>2024-07-20T09:09:27.663454</t>
  </si>
  <si>
    <t>2024-07-20T09:09:09.176922</t>
  </si>
  <si>
    <t>2024-07-20T09:09:03.494103</t>
  </si>
  <si>
    <t>2024-07-20T09:09:28.256703</t>
  </si>
  <si>
    <t>2024-07-20T09:09:10.080147</t>
  </si>
  <si>
    <t>2024-07-20T09:09:03.679390</t>
  </si>
  <si>
    <t>2024-07-20T09:09:28.342058</t>
  </si>
  <si>
    <t>2024-07-20T09:09:10.980892</t>
  </si>
  <si>
    <t>2024-07-20T09:09:04.106058</t>
  </si>
  <si>
    <t>2024-07-20T09:09:29.244887</t>
  </si>
  <si>
    <t>2024-07-20T09:09:11.257472</t>
  </si>
  <si>
    <t>2024-07-20T09:09:04.279997</t>
  </si>
  <si>
    <t>2024-07-20T09:09:29.444358</t>
  </si>
  <si>
    <t>2024-07-20T09:09:12.156897</t>
  </si>
  <si>
    <t>2024-07-20T09:09:04.477181</t>
  </si>
  <si>
    <t>2024-07-20T09:09:29.869607</t>
  </si>
  <si>
    <t>2024-07-20T09:09:12.641643</t>
  </si>
  <si>
    <t>2024-07-20T09:09:04.711649</t>
  </si>
  <si>
    <t>2024-07-20T09:09:30.230855</t>
  </si>
  <si>
    <t>2024-07-20T09:09:13.547257</t>
  </si>
  <si>
    <t>2024-07-20T09:09:04.781050</t>
  </si>
  <si>
    <t>2024-07-20T09:09:30.671122</t>
  </si>
  <si>
    <t>2024-07-20T09:09:13.604156</t>
  </si>
  <si>
    <t>2024-07-20T09:09:04.901637</t>
  </si>
  <si>
    <t>2024-07-20T09:09:30.908630</t>
  </si>
  <si>
    <t>2024-07-20T09:09:14.470857</t>
  </si>
  <si>
    <t>2024-07-20T09:09:05.330177</t>
  </si>
  <si>
    <t>2024-07-20T09:09:31.814790</t>
  </si>
  <si>
    <t>2024-07-20T09:09:14.566856</t>
  </si>
  <si>
    <t>2024-07-20T09:09:05.383618</t>
  </si>
  <si>
    <t>2024-07-20T09:09:32.183941</t>
  </si>
  <si>
    <t>2024-07-20T09:09:14.611254</t>
  </si>
  <si>
    <t>2024-07-20T09:09:05.447279</t>
  </si>
  <si>
    <t>2024-07-20T09:09:32.353526</t>
  </si>
  <si>
    <t>2024-07-20T09:09:15.281712</t>
  </si>
  <si>
    <t>2024-07-20T09:09:05.599421</t>
  </si>
  <si>
    <t>2024-07-20T09:09:33.252971</t>
  </si>
  <si>
    <t>2024-07-20T09:09:16.186497</t>
  </si>
  <si>
    <t>2024-07-20T09:09:05.682195</t>
  </si>
  <si>
    <t>2024-07-20T09:09:33.456215</t>
  </si>
  <si>
    <t>2024-07-20T09:09:16.268287</t>
  </si>
  <si>
    <t>2024-07-20T09:09:05.736272</t>
  </si>
  <si>
    <t>2024-07-20T09:09:34.360999</t>
  </si>
  <si>
    <t>2024-07-20T09:09:16.861884</t>
  </si>
  <si>
    <t>2024-07-20T09:09:05.850612</t>
  </si>
  <si>
    <t>2024-07-20T09:09:34.440281</t>
  </si>
  <si>
    <t>2024-07-20T09:09:16.989460</t>
  </si>
  <si>
    <t>2024-07-20T09:09:06.215571</t>
  </si>
  <si>
    <t>2024-07-20T09:09:35.345648</t>
  </si>
  <si>
    <t>2024-07-20T09:09:17.225765</t>
  </si>
  <si>
    <t>2024-07-20T09:09:06.424294</t>
  </si>
  <si>
    <t>2024-07-20T09:09:36.245031</t>
  </si>
  <si>
    <t>2024-07-20T09:09:17.407817</t>
  </si>
  <si>
    <t>2024-07-20T09:09:06.500071</t>
  </si>
  <si>
    <t>2024-07-20T09:09:37.148119</t>
  </si>
  <si>
    <t>2024-07-20T09:09:18.268570</t>
  </si>
  <si>
    <t>2024-07-20T09:09:06.669764</t>
  </si>
  <si>
    <t>2024-07-20T09:09:37.512979</t>
  </si>
  <si>
    <t>2024-07-20T09:09:18.534413</t>
  </si>
  <si>
    <t>2024-07-20T09:09:06.886863</t>
  </si>
  <si>
    <t>2024-07-20T09:09:38.414710</t>
  </si>
  <si>
    <t>2024-07-20T09:09:18.938056</t>
  </si>
  <si>
    <t>2024-07-20T09:09:07.041795</t>
  </si>
  <si>
    <t>2024-07-20T09:09:38.527676</t>
  </si>
  <si>
    <t>2024-07-20T09:09:19.842498</t>
  </si>
  <si>
    <t>2024-07-20T09:09:07.121020</t>
  </si>
  <si>
    <t>2024-07-20T09:09:39.248622</t>
  </si>
  <si>
    <t>2024-07-20T09:09:20.082461</t>
  </si>
  <si>
    <t>2024-07-20T09:09:07.281400</t>
  </si>
  <si>
    <t>2024-07-20T09:09:39.572233</t>
  </si>
  <si>
    <t>2024-07-20T09:09:20.240035</t>
  </si>
  <si>
    <t>2024-07-20T09:09:07.378943</t>
  </si>
  <si>
    <t>2024-07-20T09:09:39.642776</t>
  </si>
  <si>
    <t>2024-07-20T09:09:20.615544</t>
  </si>
  <si>
    <t>2024-07-20T09:09:07.552173</t>
  </si>
  <si>
    <t>2024-07-20T09:09:39.967725</t>
  </si>
  <si>
    <t>2024-07-20T09:09:20.918679</t>
  </si>
  <si>
    <t>2024-07-20T09:09:07.644430</t>
  </si>
  <si>
    <t>2024-07-20T09:09:40.262297</t>
  </si>
  <si>
    <t>2024-07-20T09:09:21.037687</t>
  </si>
  <si>
    <t>2024-07-20T09:09:07.701654</t>
  </si>
  <si>
    <t>2024-07-20T09:09:40.612065</t>
  </si>
  <si>
    <t>2024-07-20T09:09:21.422969</t>
  </si>
  <si>
    <t>2024-07-20T09:09:07.763000</t>
  </si>
  <si>
    <t>2024-07-20T09:09:41.249883</t>
  </si>
  <si>
    <t>2024-07-20T09:09:22.036918</t>
  </si>
  <si>
    <t>2024-07-20T09:09:07.868766</t>
  </si>
  <si>
    <t>2024-07-20T09:09:42.152323</t>
  </si>
  <si>
    <t>2024-07-20T09:09:22.156716</t>
  </si>
  <si>
    <t>2024-07-20T09:09:08.086691</t>
  </si>
  <si>
    <t>2024-07-20T09:09:43.059066</t>
  </si>
  <si>
    <t>2024-07-20T09:09:22.364597</t>
  </si>
  <si>
    <t>2024-07-20T09:09:08.698310</t>
  </si>
  <si>
    <t>2024-07-20T09:09:43.335939</t>
  </si>
  <si>
    <t>2024-07-20T09:09:22.629954</t>
  </si>
  <si>
    <t>2024-07-20T09:09:09.203841</t>
  </si>
  <si>
    <t>2024-07-20T09:09:43.912114</t>
  </si>
  <si>
    <t>2024-07-20T09:09:22.798305</t>
  </si>
  <si>
    <t>2024-07-20T09:09:09.293457</t>
  </si>
  <si>
    <t>2024-07-20T09:09:23.502702</t>
  </si>
  <si>
    <t>2024-07-20T09:09:09.326434</t>
  </si>
  <si>
    <t>2024-07-20T09:09:24.098461</t>
  </si>
  <si>
    <t>2024-07-20T09:09:09.476486</t>
  </si>
  <si>
    <t>2024-07-20T09:09:24.410450</t>
  </si>
  <si>
    <t>2024-07-20T09:09:10.117732</t>
  </si>
  <si>
    <t>2024-07-20T09:09:24.588656</t>
  </si>
  <si>
    <t>2024-07-20T09:09:11.017571</t>
  </si>
  <si>
    <t>2024-07-20T09:09:24.727963</t>
  </si>
  <si>
    <t>2024-07-20T09:09:11.200806</t>
  </si>
  <si>
    <t>2024-07-20T09:09:25.539564</t>
  </si>
  <si>
    <t>2024-07-20T09:09:11.297833</t>
  </si>
  <si>
    <t>2024-07-20T09:09:25.747370</t>
  </si>
  <si>
    <t>2024-07-20T09:09:11.541105</t>
  </si>
  <si>
    <t>2024-07-20T09:09:25.899331</t>
  </si>
  <si>
    <t>2024-07-20T09:09:11.633244</t>
  </si>
  <si>
    <t>2024-07-20T09:09:25.972585</t>
  </si>
  <si>
    <t>2024-07-20T09:09:11.723885</t>
  </si>
  <si>
    <t>2024-07-20T09:09:26.565728</t>
  </si>
  <si>
    <t>2024-07-20T09:09:11.849635</t>
  </si>
  <si>
    <t>2024-07-20T09:09:27.467862</t>
  </si>
  <si>
    <t>2024-07-20T09:09:12.114223</t>
  </si>
  <si>
    <t>2024-07-20T09:09:27.644102</t>
  </si>
  <si>
    <t>2024-07-20T09:09:12.318741</t>
  </si>
  <si>
    <t>2024-07-20T09:09:28.450456</t>
  </si>
  <si>
    <t>2024-07-20T09:09:12.622071</t>
  </si>
  <si>
    <t>2024-07-20T09:09:28.654137</t>
  </si>
  <si>
    <t>2024-07-20T09:09:12.719783</t>
  </si>
  <si>
    <t>2024-07-20T09:09:29.252651</t>
  </si>
  <si>
    <t>2024-07-20T09:09:13.587421</t>
  </si>
  <si>
    <t>2024-07-20T09:09:30.152314</t>
  </si>
  <si>
    <t>2024-07-20T09:09:13.743265</t>
  </si>
  <si>
    <t>2024-07-20T09:09:30.208700</t>
  </si>
  <si>
    <t>2024-07-20T09:09:13.918414</t>
  </si>
  <si>
    <t>2024-07-20T09:09:30.502172</t>
  </si>
  <si>
    <t>2024-07-20T09:09:14.077628</t>
  </si>
  <si>
    <t>2024-07-20T09:09:30.617237</t>
  </si>
  <si>
    <t>2024-07-20T09:09:14.173948</t>
  </si>
  <si>
    <t>2024-07-20T09:09:30.864696</t>
  </si>
  <si>
    <t>2024-07-20T09:09:14.322900</t>
  </si>
  <si>
    <t>2024-07-20T09:09:31.352737</t>
  </si>
  <si>
    <t>2024-07-20T09:09:14.454130</t>
  </si>
  <si>
    <t>2024-07-20T09:09:31.486539</t>
  </si>
  <si>
    <t>2024-07-20T09:09:14.508485</t>
  </si>
  <si>
    <t>2024-07-20T09:09:32.008803</t>
  </si>
  <si>
    <t>2024-07-20T09:09:14.582957</t>
  </si>
  <si>
    <t>2024-07-20T09:09:32.711277</t>
  </si>
  <si>
    <t>2024-07-20T09:09:14.723633</t>
  </si>
  <si>
    <t>2024-07-20T09:09:32.979361</t>
  </si>
  <si>
    <t>2024-07-20T09:09:14.817078</t>
  </si>
  <si>
    <t>2024-07-20T09:09:33.427798</t>
  </si>
  <si>
    <t>2024-07-20T09:09:14.998714</t>
  </si>
  <si>
    <t>2024-07-20T09:09:33.493639</t>
  </si>
  <si>
    <t>2024-07-20T09:09:15.211628</t>
  </si>
  <si>
    <t>2024-07-20T09:09:33.698841</t>
  </si>
  <si>
    <t>2024-07-20T09:09:15.934584</t>
  </si>
  <si>
    <t>2024-07-20T09:09:33.868026</t>
  </si>
  <si>
    <t>2024-07-20T09:09:16.046973</t>
  </si>
  <si>
    <t>2024-07-20T09:09:34.078136</t>
  </si>
  <si>
    <t>2024-07-20T09:09:16.186918</t>
  </si>
  <si>
    <t>2024-07-20T09:09:34.231384</t>
  </si>
  <si>
    <t>2024-07-20T09:09:16.385258</t>
  </si>
  <si>
    <t>2024-07-20T09:09:34.829913</t>
  </si>
  <si>
    <t>2024-07-20T09:09:16.477170</t>
  </si>
  <si>
    <t>2024-07-20T09:09:35.440775</t>
  </si>
  <si>
    <t>2024-07-20T09:09:16.725182</t>
  </si>
  <si>
    <t>2024-07-20T09:09:35.755971</t>
  </si>
  <si>
    <t>2024-07-20T09:09:16.841150</t>
  </si>
  <si>
    <t>2024-07-20T09:09:35.955881</t>
  </si>
  <si>
    <t>2024-07-20T09:09:17.223286</t>
  </si>
  <si>
    <t>2024-07-20T09:09:36.314990</t>
  </si>
  <si>
    <t>2024-07-20T09:09:17.418002</t>
  </si>
  <si>
    <t>2024-07-20T09:09:36.367233</t>
  </si>
  <si>
    <t>2024-07-20T09:09:17.561094</t>
  </si>
  <si>
    <t>2024-07-20T09:09:36.646399</t>
  </si>
  <si>
    <t>2024-07-20T09:09:17.888438</t>
  </si>
  <si>
    <t>2024-07-20T09:09:36.754761</t>
  </si>
  <si>
    <t>2024-07-20T09:09:18.267618</t>
  </si>
  <si>
    <t>2024-07-20T09:09:36.914852</t>
  </si>
  <si>
    <t>2024-07-20T09:09:18.331083</t>
  </si>
  <si>
    <t>2024-07-20T09:09:37.172531</t>
  </si>
  <si>
    <t>2024-07-20T09:09:18.584059</t>
  </si>
  <si>
    <t>2024-07-20T09:09:37.252138</t>
  </si>
  <si>
    <t>2024-07-20T09:09:18.893591</t>
  </si>
  <si>
    <t>2024-07-20T09:09:37.513417</t>
  </si>
  <si>
    <t>2024-07-20T09:09:19.125181</t>
  </si>
  <si>
    <t>2024-07-20T09:09:37.704829</t>
  </si>
  <si>
    <t>2024-07-20T09:09:19.244757</t>
  </si>
  <si>
    <t>2024-07-20T09:09:38.468463</t>
  </si>
  <si>
    <t>2024-07-20T09:09:19.352643</t>
  </si>
  <si>
    <t>2024-07-20T09:09:38.551300</t>
  </si>
  <si>
    <t>2024-07-20T09:09:19.544085</t>
  </si>
  <si>
    <t>2024-07-20T09:09:39.258532</t>
  </si>
  <si>
    <t>2024-07-20T09:09:19.728979</t>
  </si>
  <si>
    <t>2024-07-20T09:09:39.432601</t>
  </si>
  <si>
    <t>2024-07-20T09:09:19.894473</t>
  </si>
  <si>
    <t>2024-07-20T09:09:39.873662</t>
  </si>
  <si>
    <t>2024-07-20T09:09:20.057645</t>
  </si>
  <si>
    <t>2024-07-20T09:09:39.990027</t>
  </si>
  <si>
    <t>2024-07-20T09:09:20.167014</t>
  </si>
  <si>
    <t>2024-07-20T09:09:40.590873</t>
  </si>
  <si>
    <t>2024-07-20T09:09:20.537960</t>
  </si>
  <si>
    <t>2024-07-20T09:09:40.810491</t>
  </si>
  <si>
    <t>2024-07-20T09:09:20.894207</t>
  </si>
  <si>
    <t>2024-07-20T09:09:41.021450</t>
  </si>
  <si>
    <t>2024-07-20T09:09:21.002009</t>
  </si>
  <si>
    <t>2024-07-20T09:09:41.272807</t>
  </si>
  <si>
    <t>2024-07-20T09:09:21.150739</t>
  </si>
  <si>
    <t>2024-07-20T09:09:42.166826</t>
  </si>
  <si>
    <t>2024-07-20T09:09:21.268190</t>
  </si>
  <si>
    <t>2024-07-20T09:09:42.759775</t>
  </si>
  <si>
    <t>2024-07-20T09:09:21.442124</t>
  </si>
  <si>
    <t>2024-07-20T09:09:42.965662</t>
  </si>
  <si>
    <t>2024-07-20T09:09:21.524299</t>
  </si>
  <si>
    <t>2024-07-20T09:09:43.325813</t>
  </si>
  <si>
    <t>2024-07-20T09:09:21.626955</t>
  </si>
  <si>
    <t>2024-07-20T09:09:43.905839</t>
  </si>
  <si>
    <t>2024-07-20T09:09:21.904328</t>
  </si>
  <si>
    <t>2024-07-20T09:09:22.124645</t>
  </si>
  <si>
    <t>2024-07-20T09:09:22.212487</t>
  </si>
  <si>
    <t>2024-07-20T09:09:22.303136</t>
  </si>
  <si>
    <t>2024-07-20T09:09:22.683410</t>
  </si>
  <si>
    <t>2024-07-20T09:09:23.144744</t>
  </si>
  <si>
    <t>2024-07-20T09:09:23.240347</t>
  </si>
  <si>
    <t>2024-07-20T09:09:23.436550</t>
  </si>
  <si>
    <t>2024-07-20T09:09:24.121500</t>
  </si>
  <si>
    <t>2024-07-20T09:09:24.305666</t>
  </si>
  <si>
    <t>2024-07-20T09:09:24.609940</t>
  </si>
  <si>
    <t>2024-07-20T09:09:24.825181</t>
  </si>
  <si>
    <t>2024-07-20T09:09:25.728274</t>
  </si>
  <si>
    <t>2024-07-20T09:09:25.882001</t>
  </si>
  <si>
    <t>2024-07-20T09:09:26.111838</t>
  </si>
  <si>
    <t>2024-07-20T09:09:26.294058</t>
  </si>
  <si>
    <t>2024-07-20T09:09:26.771382</t>
  </si>
  <si>
    <t>2024-07-20T09:09:27.279324</t>
  </si>
  <si>
    <t>2024-07-20T09:09:27.477742</t>
  </si>
  <si>
    <t>2024-07-20T09:09:27.668227</t>
  </si>
  <si>
    <t>2024-07-20T09:09:27.949701</t>
  </si>
  <si>
    <t>2024-07-20T09:09:28.178874</t>
  </si>
  <si>
    <t>2024-07-20T09:09:28.249088</t>
  </si>
  <si>
    <t>2024-07-20T09:09:28.312625</t>
  </si>
  <si>
    <t>2024-07-20T09:09:28.434090</t>
  </si>
  <si>
    <t>2024-07-20T09:09:28.529400</t>
  </si>
  <si>
    <t>2024-07-20T09:09:29.194619</t>
  </si>
  <si>
    <t>2024-07-20T09:09:29.350221</t>
  </si>
  <si>
    <t>2024-07-20T09:09:29.846888</t>
  </si>
  <si>
    <t>2024-07-20T09:09:30.166033</t>
  </si>
  <si>
    <t>2024-07-20T09:09:30.242746</t>
  </si>
  <si>
    <t>2024-07-20T09:09:30.378211</t>
  </si>
  <si>
    <t>2024-07-20T09:09:30.450789</t>
  </si>
  <si>
    <t>2024-07-20T09:09:30.519285</t>
  </si>
  <si>
    <t>2024-07-20T09:09:30.654131</t>
  </si>
  <si>
    <t>2024-07-20T09:09:30.843160</t>
  </si>
  <si>
    <t>2024-07-20T09:09:31.023442</t>
  </si>
  <si>
    <t>2024-07-20T09:09:31.483885</t>
  </si>
  <si>
    <t>2024-07-20T09:09:31.757603</t>
  </si>
  <si>
    <t>2024-07-20T09:09:32.037825</t>
  </si>
  <si>
    <t>2024-07-20T09:09:32.311749</t>
  </si>
  <si>
    <t>2024-07-20T09:09:32.511187</t>
  </si>
  <si>
    <t>2024-07-20T09:09:32.742349</t>
  </si>
  <si>
    <t>2024-07-20T09:09:32.932127</t>
  </si>
  <si>
    <t>2024-07-20T09:09:32.998750</t>
  </si>
  <si>
    <t>2024-07-20T09:09:33.374011</t>
  </si>
  <si>
    <t>2024-07-20T09:09:33.534058</t>
  </si>
  <si>
    <t>2024-07-20T09:09:33.694588</t>
  </si>
  <si>
    <t>2024-07-20T09:09:33.803864</t>
  </si>
  <si>
    <t>2024-07-20T09:09:34.094384</t>
  </si>
  <si>
    <t>2024-07-20T09:09:34.242659</t>
  </si>
  <si>
    <t>2024-07-20T09:09:34.304712</t>
  </si>
  <si>
    <t>2024-07-20T09:09:34.369495</t>
  </si>
  <si>
    <t>2024-07-20T09:09:34.469018</t>
  </si>
  <si>
    <t>2024-07-20T09:09:35.083235</t>
  </si>
  <si>
    <t>2024-07-20T09:09:35.411723</t>
  </si>
  <si>
    <t>2024-07-20T09:09:35.462281</t>
  </si>
  <si>
    <t>2024-07-20T09:09:35.733665</t>
  </si>
  <si>
    <t>2024-07-20T09:09:35.937922</t>
  </si>
  <si>
    <t>2024-07-20T09:09:36.349615</t>
  </si>
  <si>
    <t>2024-07-20T09:09:36.452871</t>
  </si>
  <si>
    <t>2024-07-20T09:09:36.756682</t>
  </si>
  <si>
    <t>2024-07-20T09:09:36.928748</t>
  </si>
  <si>
    <t>2024-07-20T09:09:37.492825</t>
  </si>
  <si>
    <t>2024-07-20T09:09:37.702356</t>
  </si>
  <si>
    <t>2024-07-20T09:09:37.776845</t>
  </si>
  <si>
    <t>2024-07-20T09:09:38.426137</t>
  </si>
  <si>
    <t>2024-07-20T09:09:38.533036</t>
  </si>
  <si>
    <t>2024-07-20T09:09:39.163759</t>
  </si>
  <si>
    <t>2024-07-20T09:09:39.198066</t>
  </si>
  <si>
    <t>2024-07-20T09:09:39.357553</t>
  </si>
  <si>
    <t>2024-07-20T09:09:39.479804</t>
  </si>
  <si>
    <t>2024-07-20T09:09:39.544424</t>
  </si>
  <si>
    <t>2024-07-20T09:09:39.624021</t>
  </si>
  <si>
    <t>2024-07-20T09:09:39.849715</t>
  </si>
  <si>
    <t>2024-07-20T09:09:39.991403</t>
  </si>
  <si>
    <t>2024-07-20T09:09:40.204266</t>
  </si>
  <si>
    <t>2024-07-20T09:09:40.708712</t>
  </si>
  <si>
    <t>2024-07-20T09:09:40.807932</t>
  </si>
  <si>
    <t>2024-07-20T09:09:41.054985</t>
  </si>
  <si>
    <t>2024-07-20T09:09:41.096813</t>
  </si>
  <si>
    <t>2024-07-20T09:09:41.243238</t>
  </si>
  <si>
    <t>2024-07-20T09:09:42.066480</t>
  </si>
  <si>
    <t>2024-07-20T09:09:42.189814</t>
  </si>
  <si>
    <t>2024-07-20T09:09:42.250927</t>
  </si>
  <si>
    <t>2024-07-20T09:09:42.757852</t>
  </si>
  <si>
    <t>2024-07-20T09:09:43.148538</t>
  </si>
  <si>
    <t>2024-07-20T09:09:43.200017</t>
  </si>
  <si>
    <t>2024-07-20T09:09:43.433658</t>
  </si>
  <si>
    <t>2024-07-20T09:09:43.878305</t>
  </si>
  <si>
    <t>2024-07-20_11-08-45</t>
  </si>
  <si>
    <t>2024-07-20_11-08-50</t>
  </si>
  <si>
    <t>2024-07-20_11-09-00</t>
  </si>
  <si>
    <t>2024-07-20_11-08-55</t>
  </si>
  <si>
    <t>2024-07-20_11-09-05</t>
  </si>
  <si>
    <t>2024-07-20_11-09-15</t>
  </si>
  <si>
    <t>2024-07-20_11-09-20</t>
  </si>
  <si>
    <t>2024-07-20_11-09-25</t>
  </si>
  <si>
    <t>2024-07-20_11-09-10</t>
  </si>
  <si>
    <t>2024-07-20_11-09-30</t>
  </si>
  <si>
    <t>2024-07-20_11-09-35</t>
  </si>
  <si>
    <t>2024-07-20_11-09-40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</si>
</sst>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_ ;\-#,##0.00\ "/>
    <numFmt numFmtId="166" formatCode="#,##0.0_ ;\-#,##0.0\ 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165" fontId="0" fillId="0" borderId="0" xfId="1" applyNumberFormat="1" applyFont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 applyBorder="1" applyAlignment="1">
      <alignment horizontal="center" vertical="center"/>
    </xf>
    <xf numFmtId="165" fontId="0" fillId="5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165" fontId="0" fillId="4" borderId="2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0" fillId="5" borderId="3" xfId="1" applyNumberFormat="1" applyFont="1" applyFill="1" applyBorder="1" applyAlignment="1">
      <alignment horizontal="center" vertical="center"/>
    </xf>
    <xf numFmtId="165" fontId="0" fillId="4" borderId="4" xfId="1" applyNumberFormat="1" applyFont="1" applyFill="1" applyBorder="1" applyAlignment="1">
      <alignment horizontal="center" vertical="center"/>
    </xf>
    <xf numFmtId="165" fontId="0" fillId="5" borderId="5" xfId="1" applyNumberFormat="1" applyFont="1" applyFill="1" applyBorder="1" applyAlignment="1">
      <alignment horizontal="center" vertical="center"/>
    </xf>
    <xf numFmtId="165" fontId="0" fillId="4" borderId="6" xfId="1" applyNumberFormat="1" applyFont="1" applyFill="1" applyBorder="1" applyAlignment="1">
      <alignment horizontal="center" vertical="center"/>
    </xf>
    <xf numFmtId="165" fontId="0" fillId="4" borderId="7" xfId="1" applyNumberFormat="1" applyFont="1" applyFill="1" applyBorder="1" applyAlignment="1">
      <alignment horizontal="center" vertical="center"/>
    </xf>
    <xf numFmtId="165" fontId="0" fillId="5" borderId="7" xfId="1" applyNumberFormat="1" applyFont="1" applyFill="1" applyBorder="1" applyAlignment="1">
      <alignment horizontal="center" vertical="center"/>
    </xf>
    <xf numFmtId="165" fontId="0" fillId="5" borderId="8" xfId="1" applyNumberFormat="1" applyFon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165" fontId="0" fillId="2" borderId="6" xfId="1" applyNumberFormat="1" applyFont="1" applyFill="1" applyBorder="1" applyAlignment="1">
      <alignment horizontal="center" vertical="center"/>
    </xf>
    <xf numFmtId="165" fontId="0" fillId="2" borderId="7" xfId="1" applyNumberFormat="1" applyFont="1" applyFill="1" applyBorder="1" applyAlignment="1">
      <alignment horizontal="center" vertical="center"/>
    </xf>
    <xf numFmtId="165" fontId="0" fillId="2" borderId="8" xfId="1" applyNumberFormat="1" applyFont="1" applyFill="1" applyBorder="1" applyAlignment="1">
      <alignment horizontal="center" vertical="center"/>
    </xf>
    <xf numFmtId="166" fontId="0" fillId="4" borderId="2" xfId="1" applyNumberFormat="1" applyFont="1" applyFill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2" borderId="5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65" fontId="0" fillId="4" borderId="18" xfId="1" applyNumberFormat="1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165" fontId="0" fillId="0" borderId="21" xfId="1" applyNumberFormat="1" applyFont="1" applyBorder="1" applyAlignment="1">
      <alignment horizontal="center" vertical="center"/>
    </xf>
    <xf numFmtId="165" fontId="0" fillId="0" borderId="22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65" fontId="0" fillId="4" borderId="21" xfId="1" applyNumberFormat="1" applyFont="1" applyFill="1" applyBorder="1" applyAlignment="1">
      <alignment horizontal="center" vertical="center"/>
    </xf>
    <xf numFmtId="165" fontId="0" fillId="4" borderId="22" xfId="1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165" fontId="0" fillId="4" borderId="24" xfId="1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5" borderId="0" xfId="1" applyNumberFormat="1" applyFont="1" applyFill="1" applyBorder="1" applyAlignment="1">
      <alignment horizontal="center" vertical="center"/>
    </xf>
    <xf numFmtId="2" fontId="0" fillId="5" borderId="13" xfId="1" applyNumberFormat="1" applyFont="1" applyFill="1" applyBorder="1" applyAlignment="1">
      <alignment horizontal="center" vertical="center"/>
    </xf>
    <xf numFmtId="165" fontId="0" fillId="4" borderId="23" xfId="1" applyNumberFormat="1" applyFon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0" fillId="5" borderId="10" xfId="1" applyNumberFormat="1" applyFont="1" applyFill="1" applyBorder="1" applyAlignment="1">
      <alignment horizontal="center" vertical="center"/>
    </xf>
    <xf numFmtId="2" fontId="0" fillId="5" borderId="11" xfId="1" applyNumberFormat="1" applyFon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2" fontId="0" fillId="5" borderId="15" xfId="1" applyNumberFormat="1" applyFon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21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GZ273"/>
  <sheetViews>
    <sheetView tabSelected="1" topLeftCell="EA1" zoomScale="115" zoomScaleNormal="115" workbookViewId="0">
      <pane ySplit="3" topLeftCell="A184" activePane="bottomLeft" state="frozen"/>
      <selection pane="bottomLeft" activeCell="AB198" sqref="AB198"/>
    </sheetView>
  </sheetViews>
  <sheetFormatPr defaultColWidth="8.85546875" defaultRowHeight="15"/>
  <cols>
    <col min="1" max="1" width="8.85546875" style="1"/>
    <col min="2" max="2" width="34.42578125" style="1" bestFit="1" customWidth="1"/>
    <col min="3" max="3" width="5.42578125" style="1" bestFit="1" customWidth="1"/>
    <col min="4" max="4" width="5.85546875" style="1" bestFit="1" customWidth="1"/>
    <col min="5" max="5" width="6" style="1" bestFit="1" customWidth="1"/>
    <col min="6" max="6" width="5.42578125" style="1" bestFit="1" customWidth="1"/>
    <col min="7" max="7" width="5.85546875" style="1" bestFit="1" customWidth="1"/>
    <col min="8" max="8" width="6" style="1" bestFit="1" customWidth="1"/>
    <col min="9" max="9" width="5.42578125" style="1" bestFit="1" customWidth="1"/>
    <col min="10" max="10" width="5.85546875" style="1" bestFit="1" customWidth="1"/>
    <col min="11" max="11" width="6" style="1" bestFit="1" customWidth="1"/>
    <col min="12" max="12" width="6.42578125" style="1" bestFit="1" customWidth="1"/>
    <col min="13" max="13" width="5.85546875" style="1" bestFit="1" customWidth="1"/>
    <col min="14" max="14" width="5.42578125" style="1" bestFit="1" customWidth="1"/>
    <col min="15" max="15" width="6.42578125" style="1" bestFit="1" customWidth="1"/>
    <col min="16" max="16" width="5.85546875" style="1" bestFit="1" customWidth="1"/>
    <col min="17" max="17" width="6" style="1" bestFit="1" customWidth="1"/>
    <col min="18" max="18" width="5.42578125" style="1" bestFit="1" customWidth="1"/>
    <col min="19" max="19" width="5.85546875" style="1" bestFit="1" customWidth="1"/>
    <col min="20" max="20" width="6" style="1" bestFit="1" customWidth="1"/>
    <col min="21" max="21" width="6.42578125" style="1" bestFit="1" customWidth="1"/>
    <col min="22" max="22" width="5.85546875" style="1" bestFit="1" customWidth="1"/>
    <col min="23" max="23" width="7.140625" style="1" bestFit="1" customWidth="1"/>
    <col min="24" max="24" width="6.42578125" style="1" bestFit="1" customWidth="1"/>
    <col min="25" max="25" width="5.85546875" style="1" bestFit="1" customWidth="1"/>
    <col min="26" max="26" width="5.42578125" style="1" bestFit="1" customWidth="1"/>
    <col min="27" max="27" width="8.85546875" style="1"/>
    <col min="28" max="28" width="34.42578125" style="1" bestFit="1" customWidth="1"/>
    <col min="29" max="29" width="5.42578125" style="1" bestFit="1" customWidth="1"/>
    <col min="30" max="30" width="5.85546875" style="1" bestFit="1" customWidth="1"/>
    <col min="31" max="32" width="5.42578125" style="1" bestFit="1" customWidth="1"/>
    <col min="33" max="33" width="5.85546875" style="1" bestFit="1" customWidth="1"/>
    <col min="34" max="34" width="6" style="1" bestFit="1" customWidth="1"/>
    <col min="35" max="35" width="5.42578125" style="1" bestFit="1" customWidth="1"/>
    <col min="36" max="36" width="5.85546875" style="1" bestFit="1" customWidth="1"/>
    <col min="37" max="37" width="6" style="1" bestFit="1" customWidth="1"/>
    <col min="38" max="38" width="5.42578125" style="1" bestFit="1" customWidth="1"/>
    <col min="39" max="39" width="5.85546875" style="1" bestFit="1" customWidth="1"/>
    <col min="40" max="41" width="5.42578125" style="1" bestFit="1" customWidth="1"/>
    <col min="42" max="42" width="5.85546875" style="1" bestFit="1" customWidth="1"/>
    <col min="43" max="44" width="5.42578125" style="1" bestFit="1" customWidth="1"/>
    <col min="45" max="45" width="5.85546875" style="1" bestFit="1" customWidth="1"/>
    <col min="46" max="46" width="6" style="1" bestFit="1" customWidth="1"/>
    <col min="47" max="47" width="6.42578125" style="1" bestFit="1" customWidth="1"/>
    <col min="48" max="48" width="5.85546875" style="1" bestFit="1" customWidth="1"/>
    <col min="49" max="49" width="6" style="1" bestFit="1" customWidth="1"/>
    <col min="50" max="50" width="5.42578125" style="1" bestFit="1" customWidth="1"/>
    <col min="51" max="51" width="5.85546875" style="1" bestFit="1" customWidth="1"/>
    <col min="52" max="52" width="7.140625" style="1" bestFit="1" customWidth="1"/>
    <col min="53" max="53" width="8.85546875" style="1"/>
    <col min="54" max="54" width="27.42578125" style="1" bestFit="1" customWidth="1"/>
    <col min="55" max="55" width="5.42578125" style="1" bestFit="1" customWidth="1"/>
    <col min="56" max="56" width="5.85546875" style="1" bestFit="1" customWidth="1"/>
    <col min="57" max="57" width="6" style="1" bestFit="1" customWidth="1"/>
    <col min="58" max="58" width="5.42578125" style="1" bestFit="1" customWidth="1"/>
    <col min="59" max="59" width="5.85546875" style="1" bestFit="1" customWidth="1"/>
    <col min="60" max="60" width="6" style="1" bestFit="1" customWidth="1"/>
    <col min="61" max="61" width="6.42578125" style="1" bestFit="1" customWidth="1"/>
    <col min="62" max="62" width="5.85546875" style="1" bestFit="1" customWidth="1"/>
    <col min="63" max="63" width="7.140625" style="1" bestFit="1" customWidth="1"/>
    <col min="64" max="64" width="5.42578125" style="1" bestFit="1" customWidth="1"/>
    <col min="65" max="65" width="5.85546875" style="1" bestFit="1" customWidth="1"/>
    <col min="66" max="66" width="5.42578125" style="1" bestFit="1" customWidth="1"/>
    <col min="67" max="67" width="6.42578125" style="1" bestFit="1" customWidth="1"/>
    <col min="68" max="68" width="5.85546875" style="1" bestFit="1" customWidth="1"/>
    <col min="69" max="69" width="6" style="1" bestFit="1" customWidth="1"/>
    <col min="70" max="70" width="5.42578125" style="1" bestFit="1" customWidth="1"/>
    <col min="71" max="71" width="5.85546875" style="1" bestFit="1" customWidth="1"/>
    <col min="72" max="73" width="5.42578125" style="1" bestFit="1" customWidth="1"/>
    <col min="74" max="74" width="5.85546875" style="1" bestFit="1" customWidth="1"/>
    <col min="75" max="75" width="5.42578125" style="1" bestFit="1" customWidth="1"/>
    <col min="76" max="76" width="6.42578125" style="1" bestFit="1" customWidth="1"/>
    <col min="77" max="77" width="5.85546875" style="1" bestFit="1" customWidth="1"/>
    <col min="78" max="78" width="6" style="1" bestFit="1" customWidth="1"/>
    <col min="79" max="79" width="8.85546875" style="1"/>
    <col min="80" max="80" width="27.42578125" style="1" bestFit="1" customWidth="1"/>
    <col min="81" max="81" width="5.42578125" style="1" bestFit="1" customWidth="1"/>
    <col min="82" max="82" width="5.85546875" style="1" bestFit="1" customWidth="1"/>
    <col min="83" max="84" width="5.42578125" style="1" bestFit="1" customWidth="1"/>
    <col min="85" max="85" width="5.85546875" style="1" bestFit="1" customWidth="1"/>
    <col min="86" max="86" width="6" style="1" bestFit="1" customWidth="1"/>
    <col min="87" max="87" width="5.42578125" style="1" bestFit="1" customWidth="1"/>
    <col min="88" max="88" width="5.85546875" style="1" bestFit="1" customWidth="1"/>
    <col min="89" max="89" width="6" style="1" bestFit="1" customWidth="1"/>
    <col min="90" max="90" width="5.42578125" style="1" bestFit="1" customWidth="1"/>
    <col min="91" max="91" width="5.85546875" style="1" bestFit="1" customWidth="1"/>
    <col min="92" max="92" width="5.42578125" style="1" bestFit="1" customWidth="1"/>
    <col min="93" max="93" width="6.42578125" style="1" bestFit="1" customWidth="1"/>
    <col min="94" max="94" width="5.85546875" style="1" bestFit="1" customWidth="1"/>
    <col min="95" max="96" width="5.42578125" style="1" bestFit="1" customWidth="1"/>
    <col min="97" max="97" width="5.85546875" style="1" bestFit="1" customWidth="1"/>
    <col min="98" max="98" width="6" style="1" bestFit="1" customWidth="1"/>
    <col min="99" max="99" width="5.42578125" style="1" bestFit="1" customWidth="1"/>
    <col min="100" max="100" width="5.85546875" style="1" bestFit="1" customWidth="1"/>
    <col min="101" max="101" width="6" style="1" bestFit="1" customWidth="1"/>
    <col min="102" max="102" width="6.42578125" style="1" bestFit="1" customWidth="1"/>
    <col min="103" max="103" width="5.85546875" style="1" bestFit="1" customWidth="1"/>
    <col min="104" max="104" width="6" style="1" bestFit="1" customWidth="1"/>
    <col min="105" max="105" width="8.85546875" style="1"/>
    <col min="106" max="106" width="27.42578125" style="1" bestFit="1" customWidth="1"/>
    <col min="107" max="109" width="6.42578125" style="1" bestFit="1" customWidth="1"/>
    <col min="110" max="110" width="5.42578125" style="1" bestFit="1" customWidth="1"/>
    <col min="111" max="111" width="5.85546875" style="1" bestFit="1" customWidth="1"/>
    <col min="112" max="112" width="7.5703125" style="1" bestFit="1" customWidth="1"/>
    <col min="113" max="113" width="5.42578125" style="1" bestFit="1" customWidth="1"/>
    <col min="114" max="114" width="5.85546875" style="1" bestFit="1" customWidth="1"/>
    <col min="115" max="115" width="7.5703125" style="1" bestFit="1" customWidth="1"/>
    <col min="116" max="118" width="6.42578125" style="1" bestFit="1" customWidth="1"/>
    <col min="119" max="119" width="5.42578125" style="1" bestFit="1" customWidth="1"/>
    <col min="120" max="120" width="5.85546875" style="1" bestFit="1" customWidth="1"/>
    <col min="121" max="121" width="7.5703125" style="1" bestFit="1" customWidth="1"/>
    <col min="122" max="122" width="6.42578125" style="1" bestFit="1" customWidth="1"/>
    <col min="123" max="123" width="7.140625" style="1" bestFit="1" customWidth="1"/>
    <col min="124" max="124" width="7.5703125" style="1" bestFit="1" customWidth="1"/>
    <col min="125" max="125" width="5.42578125" style="1" bestFit="1" customWidth="1"/>
    <col min="126" max="126" width="5.85546875" style="1" bestFit="1" customWidth="1"/>
    <col min="127" max="127" width="6.42578125" style="1" bestFit="1" customWidth="1"/>
    <col min="128" max="128" width="5.42578125" style="1" bestFit="1" customWidth="1"/>
    <col min="129" max="129" width="5.85546875" style="1" bestFit="1" customWidth="1"/>
    <col min="130" max="130" width="7.140625" style="1" bestFit="1" customWidth="1"/>
    <col min="131" max="131" width="8.85546875" style="1"/>
    <col min="132" max="132" width="27.42578125" style="1" bestFit="1" customWidth="1"/>
    <col min="133" max="133" width="5.42578125" style="1" bestFit="1" customWidth="1"/>
    <col min="134" max="134" width="5.85546875" style="1" bestFit="1" customWidth="1"/>
    <col min="135" max="135" width="7.5703125" style="1" bestFit="1" customWidth="1"/>
    <col min="136" max="136" width="5.42578125" style="1" bestFit="1" customWidth="1"/>
    <col min="137" max="137" width="5.85546875" style="1" bestFit="1" customWidth="1"/>
    <col min="138" max="138" width="6.42578125" style="1" bestFit="1" customWidth="1"/>
    <col min="139" max="139" width="5.42578125" style="1" bestFit="1" customWidth="1"/>
    <col min="140" max="140" width="6" style="1" bestFit="1" customWidth="1"/>
    <col min="141" max="141" width="9.140625" style="1" bestFit="1" customWidth="1"/>
    <col min="142" max="142" width="5.42578125" style="1" bestFit="1" customWidth="1"/>
    <col min="143" max="143" width="5.85546875" style="1" bestFit="1" customWidth="1"/>
    <col min="144" max="144" width="7.5703125" style="1" bestFit="1" customWidth="1"/>
    <col min="145" max="146" width="6.42578125" style="1" bestFit="1" customWidth="1"/>
    <col min="147" max="147" width="7.5703125" style="1" bestFit="1" customWidth="1"/>
    <col min="148" max="148" width="5.42578125" style="1" bestFit="1" customWidth="1"/>
    <col min="149" max="149" width="5.85546875" style="1" bestFit="1" customWidth="1"/>
    <col min="150" max="150" width="7.5703125" style="1" bestFit="1" customWidth="1"/>
    <col min="151" max="151" width="5.42578125" style="1" bestFit="1" customWidth="1"/>
    <col min="152" max="152" width="5.85546875" style="1" bestFit="1" customWidth="1"/>
    <col min="153" max="153" width="7.5703125" style="1" bestFit="1" customWidth="1"/>
    <col min="154" max="154" width="5.42578125" style="1" bestFit="1" customWidth="1"/>
    <col min="155" max="155" width="5.85546875" style="1" bestFit="1" customWidth="1"/>
    <col min="156" max="156" width="7.5703125" style="1" bestFit="1" customWidth="1"/>
    <col min="157" max="157" width="8.85546875" style="1"/>
    <col min="158" max="158" width="27.42578125" style="1" bestFit="1" customWidth="1"/>
    <col min="159" max="160" width="6.42578125" style="1" bestFit="1" customWidth="1"/>
    <col min="161" max="161" width="7.140625" style="1" bestFit="1" customWidth="1"/>
    <col min="162" max="162" width="5.42578125" style="1" bestFit="1" customWidth="1"/>
    <col min="163" max="163" width="5.85546875" style="1" bestFit="1" customWidth="1"/>
    <col min="164" max="164" width="7.5703125" style="1" bestFit="1" customWidth="1"/>
    <col min="165" max="166" width="6.42578125" style="1" bestFit="1" customWidth="1"/>
    <col min="167" max="167" width="7.5703125" style="1" bestFit="1" customWidth="1"/>
    <col min="168" max="168" width="5.42578125" style="1" bestFit="1" customWidth="1"/>
    <col min="169" max="169" width="5.85546875" style="1" bestFit="1" customWidth="1"/>
    <col min="170" max="170" width="6.42578125" style="1" bestFit="1" customWidth="1"/>
    <col min="171" max="171" width="5.42578125" style="1" bestFit="1" customWidth="1"/>
    <col min="172" max="172" width="5.85546875" style="1" bestFit="1" customWidth="1"/>
    <col min="173" max="173" width="7.5703125" style="1" bestFit="1" customWidth="1"/>
    <col min="174" max="174" width="5.42578125" style="1" bestFit="1" customWidth="1"/>
    <col min="175" max="175" width="5.85546875" style="1" bestFit="1" customWidth="1"/>
    <col min="176" max="176" width="6.42578125" style="1" bestFit="1" customWidth="1"/>
    <col min="177" max="177" width="5.42578125" style="1" bestFit="1" customWidth="1"/>
    <col min="178" max="178" width="5.85546875" style="1" bestFit="1" customWidth="1"/>
    <col min="179" max="179" width="7.5703125" style="1" bestFit="1" customWidth="1"/>
    <col min="180" max="180" width="5.42578125" style="1" bestFit="1" customWidth="1"/>
    <col min="181" max="181" width="5.85546875" style="1" bestFit="1" customWidth="1"/>
    <col min="182" max="182" width="7.5703125" style="1" bestFit="1" customWidth="1"/>
    <col min="183" max="183" width="8.85546875" style="1"/>
    <col min="184" max="184" width="27.42578125" style="1" bestFit="1" customWidth="1"/>
    <col min="185" max="185" width="5.42578125" style="1" bestFit="1" customWidth="1"/>
    <col min="186" max="186" width="5.85546875" style="1" bestFit="1" customWidth="1"/>
    <col min="187" max="187" width="7.5703125" style="1" bestFit="1" customWidth="1"/>
    <col min="188" max="188" width="5.42578125" style="1" bestFit="1" customWidth="1"/>
    <col min="189" max="189" width="6" style="1" bestFit="1" customWidth="1"/>
    <col min="190" max="190" width="7.5703125" style="1" bestFit="1" customWidth="1"/>
    <col min="191" max="191" width="5.42578125" style="1" bestFit="1" customWidth="1"/>
    <col min="192" max="192" width="5.85546875" style="1" bestFit="1" customWidth="1"/>
    <col min="193" max="193" width="9.140625" style="1" bestFit="1" customWidth="1"/>
    <col min="194" max="194" width="5.42578125" style="1" bestFit="1" customWidth="1"/>
    <col min="195" max="195" width="5.85546875" style="1" bestFit="1" customWidth="1"/>
    <col min="196" max="196" width="7.5703125" style="1" bestFit="1" customWidth="1"/>
    <col min="197" max="197" width="5.42578125" style="1" bestFit="1" customWidth="1"/>
    <col min="198" max="198" width="5.85546875" style="1" bestFit="1" customWidth="1"/>
    <col min="199" max="199" width="7.5703125" style="1" bestFit="1" customWidth="1"/>
    <col min="200" max="200" width="5.42578125" style="1" bestFit="1" customWidth="1"/>
    <col min="201" max="201" width="5.85546875" style="1" bestFit="1" customWidth="1"/>
    <col min="202" max="202" width="7.5703125" style="1" bestFit="1" customWidth="1"/>
    <col min="203" max="203" width="5.42578125" style="1" bestFit="1" customWidth="1"/>
    <col min="204" max="204" width="5.85546875" style="1" bestFit="1" customWidth="1"/>
    <col min="205" max="205" width="9.140625" style="1" bestFit="1" customWidth="1"/>
    <col min="206" max="206" width="5.42578125" style="1" bestFit="1" customWidth="1"/>
    <col min="207" max="207" width="5.85546875" style="1" bestFit="1" customWidth="1"/>
    <col min="208" max="208" width="6.42578125" style="1" bestFit="1" customWidth="1"/>
    <col min="209" max="16384" width="8.85546875" style="1"/>
  </cols>
  <sheetData>
    <row r="1" spans="2:208" ht="15.75" thickBot="1"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2:208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26"/>
      <c r="Z2" s="27"/>
      <c r="AB2" s="85" t="s">
        <v>2</v>
      </c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26"/>
      <c r="AZ2" s="27"/>
      <c r="BB2" s="85" t="s">
        <v>3</v>
      </c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26"/>
      <c r="BZ2" s="27"/>
      <c r="CB2" s="85" t="s">
        <v>4</v>
      </c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26"/>
      <c r="CZ2" s="27"/>
      <c r="DB2" s="85" t="s">
        <v>5</v>
      </c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26"/>
      <c r="DZ2" s="27"/>
      <c r="EB2" s="85" t="s">
        <v>6</v>
      </c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26"/>
      <c r="EZ2" s="27"/>
      <c r="FB2" s="85" t="s">
        <v>7</v>
      </c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26"/>
      <c r="FZ2" s="27"/>
      <c r="GB2" s="85" t="s">
        <v>8</v>
      </c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26"/>
      <c r="GZ2" s="27"/>
    </row>
    <row r="3" spans="2:208" ht="15.75" thickBot="1">
      <c r="B3" s="28" t="s">
        <v>9</v>
      </c>
      <c r="C3" s="29" t="s">
        <v>10</v>
      </c>
      <c r="D3" s="29" t="s">
        <v>11</v>
      </c>
      <c r="E3" s="29" t="s">
        <v>12</v>
      </c>
      <c r="F3" s="29" t="s">
        <v>13</v>
      </c>
      <c r="G3" s="29" t="s">
        <v>14</v>
      </c>
      <c r="H3" s="29" t="s">
        <v>15</v>
      </c>
      <c r="I3" s="29" t="s">
        <v>16</v>
      </c>
      <c r="J3" s="29" t="s">
        <v>17</v>
      </c>
      <c r="K3" s="29" t="s">
        <v>18</v>
      </c>
      <c r="L3" s="29" t="s">
        <v>19</v>
      </c>
      <c r="M3" s="29" t="s">
        <v>20</v>
      </c>
      <c r="N3" s="29" t="s">
        <v>21</v>
      </c>
      <c r="O3" s="29" t="s">
        <v>22</v>
      </c>
      <c r="P3" s="29" t="s">
        <v>23</v>
      </c>
      <c r="Q3" s="29" t="s">
        <v>24</v>
      </c>
      <c r="R3" s="29" t="s">
        <v>25</v>
      </c>
      <c r="S3" s="29" t="s">
        <v>26</v>
      </c>
      <c r="T3" s="29" t="s">
        <v>27</v>
      </c>
      <c r="U3" s="29" t="s">
        <v>28</v>
      </c>
      <c r="V3" s="29" t="s">
        <v>29</v>
      </c>
      <c r="W3" s="29" t="s">
        <v>30</v>
      </c>
      <c r="X3" s="29" t="s">
        <v>31</v>
      </c>
      <c r="Y3" s="29" t="s">
        <v>32</v>
      </c>
      <c r="Z3" s="30" t="s">
        <v>33</v>
      </c>
      <c r="AB3" s="28" t="s">
        <v>9</v>
      </c>
      <c r="AC3" s="29" t="s">
        <v>10</v>
      </c>
      <c r="AD3" s="29" t="s">
        <v>11</v>
      </c>
      <c r="AE3" s="29" t="s">
        <v>12</v>
      </c>
      <c r="AF3" s="29" t="s">
        <v>13</v>
      </c>
      <c r="AG3" s="29" t="s">
        <v>14</v>
      </c>
      <c r="AH3" s="29" t="s">
        <v>15</v>
      </c>
      <c r="AI3" s="29" t="s">
        <v>16</v>
      </c>
      <c r="AJ3" s="29" t="s">
        <v>17</v>
      </c>
      <c r="AK3" s="29" t="s">
        <v>18</v>
      </c>
      <c r="AL3" s="29" t="s">
        <v>19</v>
      </c>
      <c r="AM3" s="29" t="s">
        <v>20</v>
      </c>
      <c r="AN3" s="29" t="s">
        <v>21</v>
      </c>
      <c r="AO3" s="29" t="s">
        <v>22</v>
      </c>
      <c r="AP3" s="29" t="s">
        <v>23</v>
      </c>
      <c r="AQ3" s="29" t="s">
        <v>24</v>
      </c>
      <c r="AR3" s="29" t="s">
        <v>25</v>
      </c>
      <c r="AS3" s="29" t="s">
        <v>26</v>
      </c>
      <c r="AT3" s="29" t="s">
        <v>27</v>
      </c>
      <c r="AU3" s="29" t="s">
        <v>28</v>
      </c>
      <c r="AV3" s="29" t="s">
        <v>29</v>
      </c>
      <c r="AW3" s="29" t="s">
        <v>30</v>
      </c>
      <c r="AX3" s="29" t="s">
        <v>31</v>
      </c>
      <c r="AY3" s="29" t="s">
        <v>32</v>
      </c>
      <c r="AZ3" s="30" t="s">
        <v>33</v>
      </c>
      <c r="BB3" s="28" t="s">
        <v>9</v>
      </c>
      <c r="BC3" s="29" t="s">
        <v>10</v>
      </c>
      <c r="BD3" s="29" t="s">
        <v>11</v>
      </c>
      <c r="BE3" s="29" t="s">
        <v>12</v>
      </c>
      <c r="BF3" s="29" t="s">
        <v>13</v>
      </c>
      <c r="BG3" s="29" t="s">
        <v>14</v>
      </c>
      <c r="BH3" s="29" t="s">
        <v>15</v>
      </c>
      <c r="BI3" s="29" t="s">
        <v>16</v>
      </c>
      <c r="BJ3" s="29" t="s">
        <v>17</v>
      </c>
      <c r="BK3" s="29" t="s">
        <v>18</v>
      </c>
      <c r="BL3" s="29" t="s">
        <v>19</v>
      </c>
      <c r="BM3" s="29" t="s">
        <v>20</v>
      </c>
      <c r="BN3" s="29" t="s">
        <v>21</v>
      </c>
      <c r="BO3" s="29" t="s">
        <v>22</v>
      </c>
      <c r="BP3" s="29" t="s">
        <v>23</v>
      </c>
      <c r="BQ3" s="29" t="s">
        <v>24</v>
      </c>
      <c r="BR3" s="29" t="s">
        <v>25</v>
      </c>
      <c r="BS3" s="29" t="s">
        <v>26</v>
      </c>
      <c r="BT3" s="29" t="s">
        <v>27</v>
      </c>
      <c r="BU3" s="29" t="s">
        <v>28</v>
      </c>
      <c r="BV3" s="29" t="s">
        <v>29</v>
      </c>
      <c r="BW3" s="29" t="s">
        <v>30</v>
      </c>
      <c r="BX3" s="29" t="s">
        <v>31</v>
      </c>
      <c r="BY3" s="29" t="s">
        <v>32</v>
      </c>
      <c r="BZ3" s="30" t="s">
        <v>33</v>
      </c>
      <c r="CB3" s="28" t="s">
        <v>9</v>
      </c>
      <c r="CC3" s="29" t="s">
        <v>10</v>
      </c>
      <c r="CD3" s="29" t="s">
        <v>11</v>
      </c>
      <c r="CE3" s="29" t="s">
        <v>12</v>
      </c>
      <c r="CF3" s="29" t="s">
        <v>13</v>
      </c>
      <c r="CG3" s="29" t="s">
        <v>14</v>
      </c>
      <c r="CH3" s="29" t="s">
        <v>15</v>
      </c>
      <c r="CI3" s="29" t="s">
        <v>16</v>
      </c>
      <c r="CJ3" s="29" t="s">
        <v>17</v>
      </c>
      <c r="CK3" s="29" t="s">
        <v>18</v>
      </c>
      <c r="CL3" s="29" t="s">
        <v>19</v>
      </c>
      <c r="CM3" s="29" t="s">
        <v>20</v>
      </c>
      <c r="CN3" s="29" t="s">
        <v>21</v>
      </c>
      <c r="CO3" s="29" t="s">
        <v>22</v>
      </c>
      <c r="CP3" s="29" t="s">
        <v>23</v>
      </c>
      <c r="CQ3" s="29" t="s">
        <v>24</v>
      </c>
      <c r="CR3" s="29" t="s">
        <v>25</v>
      </c>
      <c r="CS3" s="29" t="s">
        <v>26</v>
      </c>
      <c r="CT3" s="29" t="s">
        <v>27</v>
      </c>
      <c r="CU3" s="29" t="s">
        <v>28</v>
      </c>
      <c r="CV3" s="29" t="s">
        <v>29</v>
      </c>
      <c r="CW3" s="29" t="s">
        <v>30</v>
      </c>
      <c r="CX3" s="29" t="s">
        <v>31</v>
      </c>
      <c r="CY3" s="29" t="s">
        <v>32</v>
      </c>
      <c r="CZ3" s="30" t="s">
        <v>33</v>
      </c>
      <c r="DB3" s="28" t="s">
        <v>9</v>
      </c>
      <c r="DC3" s="29" t="s">
        <v>10</v>
      </c>
      <c r="DD3" s="29" t="s">
        <v>11</v>
      </c>
      <c r="DE3" s="29" t="s">
        <v>12</v>
      </c>
      <c r="DF3" s="29" t="s">
        <v>13</v>
      </c>
      <c r="DG3" s="29" t="s">
        <v>14</v>
      </c>
      <c r="DH3" s="29" t="s">
        <v>15</v>
      </c>
      <c r="DI3" s="29" t="s">
        <v>16</v>
      </c>
      <c r="DJ3" s="29" t="s">
        <v>17</v>
      </c>
      <c r="DK3" s="29" t="s">
        <v>18</v>
      </c>
      <c r="DL3" s="29" t="s">
        <v>19</v>
      </c>
      <c r="DM3" s="29" t="s">
        <v>20</v>
      </c>
      <c r="DN3" s="29" t="s">
        <v>21</v>
      </c>
      <c r="DO3" s="29" t="s">
        <v>22</v>
      </c>
      <c r="DP3" s="29" t="s">
        <v>23</v>
      </c>
      <c r="DQ3" s="29" t="s">
        <v>24</v>
      </c>
      <c r="DR3" s="29" t="s">
        <v>25</v>
      </c>
      <c r="DS3" s="29" t="s">
        <v>26</v>
      </c>
      <c r="DT3" s="29" t="s">
        <v>27</v>
      </c>
      <c r="DU3" s="29" t="s">
        <v>28</v>
      </c>
      <c r="DV3" s="29" t="s">
        <v>29</v>
      </c>
      <c r="DW3" s="29" t="s">
        <v>30</v>
      </c>
      <c r="DX3" s="29" t="s">
        <v>31</v>
      </c>
      <c r="DY3" s="29" t="s">
        <v>32</v>
      </c>
      <c r="DZ3" s="30" t="s">
        <v>33</v>
      </c>
      <c r="EB3" s="28" t="s">
        <v>9</v>
      </c>
      <c r="EC3" s="29" t="s">
        <v>10</v>
      </c>
      <c r="ED3" s="29" t="s">
        <v>11</v>
      </c>
      <c r="EE3" s="29" t="s">
        <v>12</v>
      </c>
      <c r="EF3" s="29" t="s">
        <v>13</v>
      </c>
      <c r="EG3" s="29" t="s">
        <v>14</v>
      </c>
      <c r="EH3" s="29" t="s">
        <v>15</v>
      </c>
      <c r="EI3" s="29" t="s">
        <v>16</v>
      </c>
      <c r="EJ3" s="29" t="s">
        <v>17</v>
      </c>
      <c r="EK3" s="29" t="s">
        <v>18</v>
      </c>
      <c r="EL3" s="29" t="s">
        <v>19</v>
      </c>
      <c r="EM3" s="29" t="s">
        <v>20</v>
      </c>
      <c r="EN3" s="29" t="s">
        <v>21</v>
      </c>
      <c r="EO3" s="29" t="s">
        <v>22</v>
      </c>
      <c r="EP3" s="29" t="s">
        <v>23</v>
      </c>
      <c r="EQ3" s="29" t="s">
        <v>24</v>
      </c>
      <c r="ER3" s="29" t="s">
        <v>25</v>
      </c>
      <c r="ES3" s="29" t="s">
        <v>26</v>
      </c>
      <c r="ET3" s="29" t="s">
        <v>27</v>
      </c>
      <c r="EU3" s="29" t="s">
        <v>28</v>
      </c>
      <c r="EV3" s="29" t="s">
        <v>29</v>
      </c>
      <c r="EW3" s="29" t="s">
        <v>30</v>
      </c>
      <c r="EX3" s="29" t="s">
        <v>31</v>
      </c>
      <c r="EY3" s="29" t="s">
        <v>32</v>
      </c>
      <c r="EZ3" s="30" t="s">
        <v>33</v>
      </c>
      <c r="FB3" s="28" t="s">
        <v>9</v>
      </c>
      <c r="FC3" s="29" t="s">
        <v>10</v>
      </c>
      <c r="FD3" s="29" t="s">
        <v>11</v>
      </c>
      <c r="FE3" s="29" t="s">
        <v>12</v>
      </c>
      <c r="FF3" s="29" t="s">
        <v>13</v>
      </c>
      <c r="FG3" s="29" t="s">
        <v>14</v>
      </c>
      <c r="FH3" s="29" t="s">
        <v>15</v>
      </c>
      <c r="FI3" s="29" t="s">
        <v>16</v>
      </c>
      <c r="FJ3" s="29" t="s">
        <v>17</v>
      </c>
      <c r="FK3" s="29" t="s">
        <v>18</v>
      </c>
      <c r="FL3" s="29" t="s">
        <v>19</v>
      </c>
      <c r="FM3" s="29" t="s">
        <v>20</v>
      </c>
      <c r="FN3" s="29" t="s">
        <v>21</v>
      </c>
      <c r="FO3" s="29" t="s">
        <v>22</v>
      </c>
      <c r="FP3" s="29" t="s">
        <v>23</v>
      </c>
      <c r="FQ3" s="29" t="s">
        <v>24</v>
      </c>
      <c r="FR3" s="29" t="s">
        <v>25</v>
      </c>
      <c r="FS3" s="29" t="s">
        <v>26</v>
      </c>
      <c r="FT3" s="29" t="s">
        <v>27</v>
      </c>
      <c r="FU3" s="29" t="s">
        <v>28</v>
      </c>
      <c r="FV3" s="29" t="s">
        <v>29</v>
      </c>
      <c r="FW3" s="29" t="s">
        <v>30</v>
      </c>
      <c r="FX3" s="29" t="s">
        <v>31</v>
      </c>
      <c r="FY3" s="29" t="s">
        <v>32</v>
      </c>
      <c r="FZ3" s="30" t="s">
        <v>33</v>
      </c>
      <c r="GB3" s="28" t="s">
        <v>9</v>
      </c>
      <c r="GC3" s="29" t="s">
        <v>10</v>
      </c>
      <c r="GD3" s="29" t="s">
        <v>11</v>
      </c>
      <c r="GE3" s="29" t="s">
        <v>12</v>
      </c>
      <c r="GF3" s="29" t="s">
        <v>13</v>
      </c>
      <c r="GG3" s="29" t="s">
        <v>14</v>
      </c>
      <c r="GH3" s="29" t="s">
        <v>15</v>
      </c>
      <c r="GI3" s="29" t="s">
        <v>16</v>
      </c>
      <c r="GJ3" s="29" t="s">
        <v>17</v>
      </c>
      <c r="GK3" s="29" t="s">
        <v>18</v>
      </c>
      <c r="GL3" s="29" t="s">
        <v>19</v>
      </c>
      <c r="GM3" s="29" t="s">
        <v>20</v>
      </c>
      <c r="GN3" s="29" t="s">
        <v>21</v>
      </c>
      <c r="GO3" s="29" t="s">
        <v>22</v>
      </c>
      <c r="GP3" s="29" t="s">
        <v>23</v>
      </c>
      <c r="GQ3" s="29" t="s">
        <v>24</v>
      </c>
      <c r="GR3" s="29" t="s">
        <v>25</v>
      </c>
      <c r="GS3" s="29" t="s">
        <v>26</v>
      </c>
      <c r="GT3" s="29" t="s">
        <v>27</v>
      </c>
      <c r="GU3" s="29" t="s">
        <v>28</v>
      </c>
      <c r="GV3" s="29" t="s">
        <v>29</v>
      </c>
      <c r="GW3" s="29" t="s">
        <v>30</v>
      </c>
      <c r="GX3" s="29" t="s">
        <v>31</v>
      </c>
      <c r="GY3" s="29" t="s">
        <v>32</v>
      </c>
      <c r="GZ3" s="30" t="s">
        <v>33</v>
      </c>
    </row>
    <row r="4" spans="2:208">
      <c r="B4" s="16" t="s">
        <v>34</v>
      </c>
      <c r="C4" s="17">
        <v>3.02</v>
      </c>
      <c r="D4" s="17">
        <f t="shared" ref="D4:D35" si="0">IF(AND(C4 &lt; 99.99, C4 &gt; 0), C4, "")</f>
        <v>3.02</v>
      </c>
      <c r="E4" s="18">
        <f t="shared" ref="E4:E35" si="1">IF(AND(D4 &lt;= $D$214, D4 &gt;= $D$215), D4, "")</f>
        <v>3.02</v>
      </c>
      <c r="F4" s="17">
        <v>4.43</v>
      </c>
      <c r="G4" s="17">
        <f t="shared" ref="G4:G35" si="2">IF(AND(F4 &lt; 99.99, F4 &gt; 0), F4, "")</f>
        <v>4.43</v>
      </c>
      <c r="H4" s="18">
        <f t="shared" ref="H4:H35" si="3">IF(AND(G4 &lt;= G$214, G4 &gt;= G$215), G4, "")</f>
        <v>4.43</v>
      </c>
      <c r="I4" s="17">
        <v>5.3</v>
      </c>
      <c r="J4" s="17">
        <f t="shared" ref="J4:J35" si="4">IF(AND(I4 &lt; 99.99, I4 &gt; 0), I4, "")</f>
        <v>5.3</v>
      </c>
      <c r="K4" s="18">
        <f t="shared" ref="K4:K35" si="5">IF(AND(J4 &lt;= J$214, J4 &gt;= J$215), J4, "")</f>
        <v>5.3</v>
      </c>
      <c r="L4" s="17">
        <v>5.61</v>
      </c>
      <c r="M4" s="17">
        <f t="shared" ref="M4:M35" si="6">IF(AND(L4 &lt; 99.99, L4 &gt; 0), L4, "")</f>
        <v>5.61</v>
      </c>
      <c r="N4" s="18">
        <f t="shared" ref="N4:N35" si="7">IF(AND(M4 &lt;= M$214, M4 &gt;= M$215), M4, "")</f>
        <v>5.61</v>
      </c>
      <c r="O4" s="17">
        <v>4.3099999999999996</v>
      </c>
      <c r="P4" s="17">
        <f t="shared" ref="P4:P35" si="8">IF(AND(O4 &lt; 99.99, O4 &gt; 0), O4, "")</f>
        <v>4.3099999999999996</v>
      </c>
      <c r="Q4" s="18">
        <f t="shared" ref="Q4:Q35" si="9">IF(AND(P4 &lt;= P$214, P4 &gt;= P$215), P4, "")</f>
        <v>4.3099999999999996</v>
      </c>
      <c r="R4" s="17">
        <v>4.8499999999999996</v>
      </c>
      <c r="S4" s="17">
        <f t="shared" ref="S4:S35" si="10">IF(AND(R4 &lt; 99.99, R4 &gt; 0), R4, "")</f>
        <v>4.8499999999999996</v>
      </c>
      <c r="T4" s="18">
        <f t="shared" ref="T4:T35" si="11">IF(AND(S4 &lt;= S$214, S4 &gt;= S$215), S4, "")</f>
        <v>4.8499999999999996</v>
      </c>
      <c r="U4" s="17">
        <v>1.7</v>
      </c>
      <c r="V4" s="17">
        <f t="shared" ref="V4:V35" si="12">IF(AND(U4 &lt; 99.99, U4 &gt; 0), U4, "")</f>
        <v>1.7</v>
      </c>
      <c r="W4" s="18">
        <f t="shared" ref="W4:W35" si="13">IF(AND(V4 &lt;= V$214, V4 &gt;= V$215), V4, "")</f>
        <v>1.7</v>
      </c>
      <c r="X4" s="17">
        <v>2.2799999999999998</v>
      </c>
      <c r="Y4" s="17">
        <f t="shared" ref="Y4:Y35" si="14">IF(AND(X4 &lt; 99.99, X4 &gt; 0), X4, "")</f>
        <v>2.2799999999999998</v>
      </c>
      <c r="Z4" s="19">
        <f t="shared" ref="Z4:Z35" si="15">IF(AND(Y4 &lt;= Y$214, Y4 &gt;= Y$215), Y4, "")</f>
        <v>2.2799999999999998</v>
      </c>
      <c r="AB4" s="16" t="s">
        <v>35</v>
      </c>
      <c r="AC4" s="31">
        <v>2.82</v>
      </c>
      <c r="AD4" s="17">
        <f t="shared" ref="AD4:AD35" si="16">IF(AND(AC4 &lt; 99.99, AC4 &gt; 0), AC4, "")</f>
        <v>2.82</v>
      </c>
      <c r="AE4" s="18">
        <f t="shared" ref="AE4:AE35" si="17">IF(AND(AD4 &lt;= AD$77, AD4 &gt;= AD$78), AD4, "")</f>
        <v>2.82</v>
      </c>
      <c r="AF4" s="17">
        <v>0.53</v>
      </c>
      <c r="AG4" s="17">
        <f t="shared" ref="AG4:AG35" si="18">IF(AND(AF4 &lt; 99.99, AF4 &gt; 0), AF4, "")</f>
        <v>0.53</v>
      </c>
      <c r="AH4" s="18" t="str">
        <f t="shared" ref="AH4:AH35" si="19">IF(AND(AG4 &lt;= AG$77, AG4 &gt;= AG$78), AG4, "")</f>
        <v/>
      </c>
      <c r="AI4" s="17">
        <v>5.22</v>
      </c>
      <c r="AJ4" s="17">
        <f t="shared" ref="AJ4:AJ35" si="20">IF(AND(AI4 &lt; 99.99, AI4 &gt; 0), AI4, "")</f>
        <v>5.22</v>
      </c>
      <c r="AK4" s="18">
        <f t="shared" ref="AK4:AK35" si="21">IF(AND(AJ4 &lt;= AJ$77, AJ4 &gt;= AJ$78), AJ4, "")</f>
        <v>5.22</v>
      </c>
      <c r="AL4" s="17">
        <v>6.1</v>
      </c>
      <c r="AM4" s="17">
        <f t="shared" ref="AM4:AM35" si="22">IF(AND(AL4 &lt; 99.99, AL4 &gt; 0), AL4, "")</f>
        <v>6.1</v>
      </c>
      <c r="AN4" s="18">
        <f t="shared" ref="AN4:AN35" si="23">IF(AND(AM4 &lt;= AM$77, AM4 &gt;= AM$78), AM4, "")</f>
        <v>6.1</v>
      </c>
      <c r="AO4" s="17">
        <v>0</v>
      </c>
      <c r="AP4" s="17" t="str">
        <f t="shared" ref="AP4:AP35" si="24">IF(AND(AO4 &lt; 99.99, AO4 &gt; 0), AO4, "")</f>
        <v/>
      </c>
      <c r="AQ4" s="18" t="str">
        <f t="shared" ref="AQ4:AQ35" si="25">IF(AND(AP4 &lt;= AP$77, AP4 &gt;= AP$78), AP4, "")</f>
        <v/>
      </c>
      <c r="AR4" s="17">
        <v>3.73</v>
      </c>
      <c r="AS4" s="17">
        <f t="shared" ref="AS4:AS35" si="26">IF(AND(AR4 &lt; 99.99, AR4 &gt; 0), AR4, "")</f>
        <v>3.73</v>
      </c>
      <c r="AT4" s="18">
        <f t="shared" ref="AT4:AT35" si="27">IF(AND(AS4 &lt;= AS$77, AS4 &gt;= AS$78), AS4, "")</f>
        <v>3.73</v>
      </c>
      <c r="AU4" s="17">
        <v>3.1</v>
      </c>
      <c r="AV4" s="17">
        <f t="shared" ref="AV4:AV35" si="28">IF(AND(AU4 &lt; 99.99, AU4 &gt; 0), AU4, "")</f>
        <v>3.1</v>
      </c>
      <c r="AW4" s="18">
        <f t="shared" ref="AW4:AW35" si="29">IF(AND(AV4 &lt;= AV$77, AV4 &gt;= AV$78), AV4, "")</f>
        <v>3.1</v>
      </c>
      <c r="AX4" s="17">
        <v>3.46</v>
      </c>
      <c r="AY4" s="17">
        <f t="shared" ref="AY4:AY35" si="30">IF(AND(AX4 &lt; 99.99, AX4 &gt; 0), AX4, "")</f>
        <v>3.46</v>
      </c>
      <c r="AZ4" s="19">
        <f t="shared" ref="AZ4:AZ67" si="31">IF(AND(AY4 &lt;= AY$77, AY4 &gt;= AY$78), AY4, "")</f>
        <v>3.46</v>
      </c>
      <c r="BB4" s="16" t="s">
        <v>36</v>
      </c>
      <c r="BC4" s="17">
        <v>3.92</v>
      </c>
      <c r="BD4" s="17">
        <f t="shared" ref="BD4:BD67" si="32">IF(AND(BC4 &lt; 99.99, BC4 &gt; 0), BC4, "")</f>
        <v>3.92</v>
      </c>
      <c r="BE4" s="18">
        <f t="shared" ref="BE4:BE67" si="33">IF(AND(BD4 &lt;= BD$260, BD4 &gt;= BD$261), BD4, "")</f>
        <v>3.92</v>
      </c>
      <c r="BF4" s="17">
        <v>4.25</v>
      </c>
      <c r="BG4" s="17">
        <f t="shared" ref="BG4:BG67" si="34">IF(AND(BF4 &lt; 99.99, BF4 &gt; 0), BF4, "")</f>
        <v>4.25</v>
      </c>
      <c r="BH4" s="18">
        <f t="shared" ref="BH4:BH67" si="35">IF(AND(BG4 &lt;= BG$260, BG4 &gt;= BG$261), BG4, "")</f>
        <v>4.25</v>
      </c>
      <c r="BI4" s="17">
        <v>4.1399999999999997</v>
      </c>
      <c r="BJ4" s="17">
        <f t="shared" ref="BJ4:BJ67" si="36">IF(AND(BI4 &lt; 99.99, BI4 &gt; 0), BI4, "")</f>
        <v>4.1399999999999997</v>
      </c>
      <c r="BK4" s="18">
        <f t="shared" ref="BK4:BK67" si="37">IF(AND(BJ4 &lt;= BJ$260, BJ4 &gt;= BJ$261), BJ4, "")</f>
        <v>4.1399999999999997</v>
      </c>
      <c r="BL4" s="17">
        <v>4.3</v>
      </c>
      <c r="BM4" s="17">
        <f t="shared" ref="BM4:BM67" si="38">IF(AND(BL4 &lt; 99.99, BL4 &gt; 0), BL4, "")</f>
        <v>4.3</v>
      </c>
      <c r="BN4" s="18">
        <f t="shared" ref="BN4:BN67" si="39">IF(AND(BM4 &lt;= BM$260, BM4 &gt;= BM$261), BM4, "")</f>
        <v>4.3</v>
      </c>
      <c r="BO4" s="17">
        <v>3.63</v>
      </c>
      <c r="BP4" s="17">
        <f t="shared" ref="BP4:BP67" si="40">IF(AND(BO4 &lt; 99.99, BO4 &gt; 0), BO4, "")</f>
        <v>3.63</v>
      </c>
      <c r="BQ4" s="18">
        <f t="shared" ref="BQ4:BQ67" si="41">IF(AND(BP4 &lt;= BP$260, BP4 &gt;= BP$261), BP4, "")</f>
        <v>3.63</v>
      </c>
      <c r="BR4" s="17">
        <v>3.12</v>
      </c>
      <c r="BS4" s="17">
        <f t="shared" ref="BS4:BS67" si="42">IF(AND(BR4 &lt; 99.99, BR4 &gt; 0), BR4, "")</f>
        <v>3.12</v>
      </c>
      <c r="BT4" s="18">
        <f t="shared" ref="BT4:BT67" si="43">IF(AND(BS4 &lt;= BS$260, BS4 &gt;= BS$261), BS4, "")</f>
        <v>3.12</v>
      </c>
      <c r="BU4" s="17">
        <v>1.59</v>
      </c>
      <c r="BV4" s="17">
        <f t="shared" ref="BV4:BV67" si="44">IF(AND(BU4 &lt; 99.99, BU4 &gt; 0), BU4, "")</f>
        <v>1.59</v>
      </c>
      <c r="BW4" s="18">
        <f t="shared" ref="BW4:BW67" si="45">IF(AND(BV4 &lt;= BV$260, BV4 &gt;= BV$261), BV4, "")</f>
        <v>1.59</v>
      </c>
      <c r="BX4" s="17">
        <v>0</v>
      </c>
      <c r="BY4" s="17" t="str">
        <f t="shared" ref="BY4:BY67" si="46">IF(AND(BX4 &lt; 99.99, BX4 &gt; 0), BX4, "")</f>
        <v/>
      </c>
      <c r="BZ4" s="19" t="str">
        <f t="shared" ref="BZ4:BZ67" si="47">IF(AND(BY4 &lt;= BY$260, BY4 &gt;= BY$261), BY4, "")</f>
        <v/>
      </c>
      <c r="CB4" s="16" t="s">
        <v>37</v>
      </c>
      <c r="CC4" s="17">
        <v>0.82</v>
      </c>
      <c r="CD4" s="17">
        <f t="shared" ref="CD4:CD67" si="48">IF(AND(CC4 &lt; 99.99, CC4 &gt; 0), CC4, "")</f>
        <v>0.82</v>
      </c>
      <c r="CE4" s="18" t="str">
        <f t="shared" ref="CE4:CE35" si="49">IF(AND(CD4 &lt;= CD$125, CD4 &gt;= CD$126), CD4, "")</f>
        <v/>
      </c>
      <c r="CF4" s="17">
        <v>6.12</v>
      </c>
      <c r="CG4" s="17">
        <f t="shared" ref="CG4:CG67" si="50">IF(AND(CF4 &lt; 99.99, CF4 &gt; 0), CF4, "")</f>
        <v>6.12</v>
      </c>
      <c r="CH4" s="18">
        <f t="shared" ref="CH4:CH35" si="51">IF(AND(CG4 &lt;= CG$125, CG4 &gt;= CG$126), CG4, "")</f>
        <v>6.12</v>
      </c>
      <c r="CI4" s="17">
        <v>3.78</v>
      </c>
      <c r="CJ4" s="17">
        <f t="shared" ref="CJ4:CJ67" si="52">IF(AND(CI4 &lt; 99.99, CI4 &gt; 0), CI4, "")</f>
        <v>3.78</v>
      </c>
      <c r="CK4" s="18">
        <f t="shared" ref="CK4:CK35" si="53">IF(AND(CJ4 &lt;= CJ$125, CJ4 &gt;= CJ$126), CJ4, "")</f>
        <v>3.78</v>
      </c>
      <c r="CL4" s="17">
        <v>5.16</v>
      </c>
      <c r="CM4" s="17">
        <f t="shared" ref="CM4:CM67" si="54">IF(AND(CL4 &lt; 99.99, CL4 &gt; 0), CL4, "")</f>
        <v>5.16</v>
      </c>
      <c r="CN4" s="18">
        <f t="shared" ref="CN4:CN35" si="55">IF(AND(CM4 &lt;= CM$125, CM4 &gt;= CM$126), CM4, "")</f>
        <v>5.16</v>
      </c>
      <c r="CO4" s="17">
        <v>5.48</v>
      </c>
      <c r="CP4" s="17">
        <f t="shared" ref="CP4:CP67" si="56">IF(AND(CO4 &lt; 99.99, CO4 &gt; 0), CO4, "")</f>
        <v>5.48</v>
      </c>
      <c r="CQ4" s="18">
        <f t="shared" ref="CQ4:CQ35" si="57">IF(AND(CP4 &lt;= CP$125, CP4 &gt;= CP$126), CP4, "")</f>
        <v>5.48</v>
      </c>
      <c r="CR4" s="17">
        <v>1.89</v>
      </c>
      <c r="CS4" s="17">
        <f t="shared" ref="CS4:CS67" si="58">IF(AND(CR4 &lt; 99.99, CR4 &gt; 0), CR4, "")</f>
        <v>1.89</v>
      </c>
      <c r="CT4" s="18">
        <f t="shared" ref="CT4:CT35" si="59">IF(AND(CS4 &lt;= CS$125, CS4 &gt;= CS$126), CS4, "")</f>
        <v>1.89</v>
      </c>
      <c r="CU4" s="17">
        <v>3.76</v>
      </c>
      <c r="CV4" s="17">
        <f t="shared" ref="CV4:CV67" si="60">IF(AND(CU4 &lt; 99.99, CU4 &gt; 0), CU4, "")</f>
        <v>3.76</v>
      </c>
      <c r="CW4" s="18">
        <f t="shared" ref="CW4:CW35" si="61">IF(AND(CV4 &lt;= CV$125, CV4 &gt;= CV$126), CV4, "")</f>
        <v>3.76</v>
      </c>
      <c r="CX4" s="17">
        <v>0</v>
      </c>
      <c r="CY4" s="17" t="str">
        <f t="shared" ref="CY4:CY67" si="62">IF(AND(CX4 &lt; 99.99, CX4 &gt; 0), CX4, "")</f>
        <v/>
      </c>
      <c r="CZ4" s="19" t="str">
        <f t="shared" ref="CZ4:CZ35" si="63">IF(AND(CY4 &lt;= CY$125, CY4 &gt;= CY$126), CY4, "")</f>
        <v/>
      </c>
      <c r="DB4" s="16" t="s">
        <v>38</v>
      </c>
      <c r="DC4" s="17">
        <v>2.59</v>
      </c>
      <c r="DD4" s="17">
        <f t="shared" ref="DD4:DD62" si="64">IF(AND(DC4 &lt; 99.99, DC4 &gt; 0), DC4, "")</f>
        <v>2.59</v>
      </c>
      <c r="DE4" s="18">
        <f t="shared" ref="DE4:DE35" si="65">IF(AND(DD4 &lt;= DD$65, DD4 &gt;= DD$66), DD4, "")</f>
        <v>2.59</v>
      </c>
      <c r="DF4" s="17">
        <v>1.17</v>
      </c>
      <c r="DG4" s="17">
        <f t="shared" ref="DG4:DG62" si="66">IF(AND(DF4 &lt; 99.99, DF4 &gt; 0), DF4, "")</f>
        <v>1.17</v>
      </c>
      <c r="DH4" s="18">
        <f t="shared" ref="DH4:DH35" si="67">IF(AND(DG4 &lt;= DG$65, DG4 &gt;= DG$66), DG4, "")</f>
        <v>1.17</v>
      </c>
      <c r="DI4" s="17">
        <v>2.21</v>
      </c>
      <c r="DJ4" s="17">
        <f t="shared" ref="DJ4:DJ62" si="68">IF(AND(DI4 &lt; 99.99, DI4 &gt; 0), DI4, "")</f>
        <v>2.21</v>
      </c>
      <c r="DK4" s="18">
        <f t="shared" ref="DK4:DK35" si="69">IF(AND(DJ4 &lt;= DJ$65, DJ4 &gt;= DJ$66), DJ4, "")</f>
        <v>2.21</v>
      </c>
      <c r="DL4" s="17">
        <v>3.56</v>
      </c>
      <c r="DM4" s="17">
        <f>IF(AND(DL4 &lt; 99.99, DL4 &gt; 0), DL4, "")</f>
        <v>3.56</v>
      </c>
      <c r="DN4" s="18">
        <f t="shared" ref="DN4:DN35" si="70">IF(AND(DM4 &lt;= DM$65, DM4 &gt;= DM$66), DM4, "")</f>
        <v>3.56</v>
      </c>
      <c r="DO4" s="17">
        <v>1.37</v>
      </c>
      <c r="DP4" s="17">
        <f t="shared" ref="DP4:DP62" si="71">IF(AND(DO4 &lt; 99.99, DO4 &gt; 0), DO4, "")</f>
        <v>1.37</v>
      </c>
      <c r="DQ4" s="18">
        <f t="shared" ref="DQ4:DQ35" si="72">IF(AND(DP4 &lt;= DP$65, DP4 &gt;= DP$66), DP4, "")</f>
        <v>1.37</v>
      </c>
      <c r="DR4" s="17">
        <v>1.37</v>
      </c>
      <c r="DS4" s="17">
        <f t="shared" ref="DS4:DS62" si="73">IF(AND(DR4 &lt; 99.99, DR4 &gt; 0), DR4, "")</f>
        <v>1.37</v>
      </c>
      <c r="DT4" s="18">
        <f t="shared" ref="DT4:DT35" si="74">IF(AND(DS4 &lt;= DS$65, DS4 &gt;= DS$66), DS4, "")</f>
        <v>1.37</v>
      </c>
      <c r="DU4" s="17">
        <v>0.33</v>
      </c>
      <c r="DV4" s="17">
        <f t="shared" ref="DV4:DV62" si="75">IF(AND(DU4 &lt; 99.99, DU4 &gt; 0), DU4, "")</f>
        <v>0.33</v>
      </c>
      <c r="DW4" s="18" t="str">
        <f t="shared" ref="DW4:DW35" si="76">IF(AND(DV4 &lt;= DV$65, DV4 &gt;= DV$66), DV4, "")</f>
        <v/>
      </c>
      <c r="DX4" s="17">
        <v>0.85</v>
      </c>
      <c r="DY4" s="17">
        <f t="shared" ref="DY4:DY62" si="77">IF(AND(DX4 &lt; 99.99, DX4 &gt; 0), DX4, "")</f>
        <v>0.85</v>
      </c>
      <c r="DZ4" s="19" t="str">
        <f t="shared" ref="DZ4:DZ35" si="78">IF(AND(DY4 &lt;= DY$65, DY4 &gt;= DY$66), DY4, "")</f>
        <v/>
      </c>
      <c r="EB4" s="16" t="s">
        <v>39</v>
      </c>
      <c r="EC4" s="17">
        <v>0.53</v>
      </c>
      <c r="ED4" s="17">
        <f t="shared" ref="ED4:ED62" si="79">IF(AND(EC4 &lt; 99.99, EC4 &gt; 0), EC4, "")</f>
        <v>0.53</v>
      </c>
      <c r="EE4" s="18">
        <f t="shared" ref="EE4:EE35" si="80">IF(AND(ED4 &lt;= ED$65, ED4 &gt;= ED$66), ED4, "")</f>
        <v>0.53</v>
      </c>
      <c r="EF4" s="17">
        <v>4.18</v>
      </c>
      <c r="EG4" s="17">
        <f t="shared" ref="EG4:EG62" si="81">IF(AND(EF4 &lt; 99.99, EF4 &gt; 0), EF4, "")</f>
        <v>4.18</v>
      </c>
      <c r="EH4" s="18">
        <f t="shared" ref="EH4:EH35" si="82">IF(AND(EG4 &lt;= EG$65, EG4 &gt;= EG$66), EG4, "")</f>
        <v>4.18</v>
      </c>
      <c r="EI4" s="17">
        <v>0.39</v>
      </c>
      <c r="EJ4" s="17">
        <f t="shared" ref="EJ4:EJ62" si="83">IF(AND(EI4 &lt; 99.99, EI4 &gt; 0), EI4, "")</f>
        <v>0.39</v>
      </c>
      <c r="EK4" s="18">
        <f t="shared" ref="EK4:EK35" si="84">IF(AND(EJ4 &lt;= EJ$65, EJ4 &gt;= EJ$66), EJ4, "")</f>
        <v>0.39</v>
      </c>
      <c r="EL4" s="17">
        <v>1.61</v>
      </c>
      <c r="EM4" s="17">
        <f t="shared" ref="EM4:EM62" si="85">IF(AND(EL4 &lt; 99.99, EL4 &gt; 0), EL4, "")</f>
        <v>1.61</v>
      </c>
      <c r="EN4" s="18">
        <f t="shared" ref="EN4:EN35" si="86">IF(AND(EM4 &lt;= EM$65, EM4 &gt;= EM$66), EM4, "")</f>
        <v>1.61</v>
      </c>
      <c r="EO4" s="17">
        <v>17.43</v>
      </c>
      <c r="EP4" s="17">
        <f t="shared" ref="EP4:EP62" si="87">IF(AND(EO4 &lt; 99.99, EO4 &gt; 0), EO4, "")</f>
        <v>17.43</v>
      </c>
      <c r="EQ4" s="18" t="str">
        <f t="shared" ref="EQ4:EQ35" si="88">IF(AND(EP4 &lt;= EP$65, EP4 &gt;= EP$66), EP4, "")</f>
        <v/>
      </c>
      <c r="ER4" s="17">
        <v>1.61</v>
      </c>
      <c r="ES4" s="17">
        <f t="shared" ref="ES4:ES62" si="89">IF(AND(ER4 &lt; 99.99, ER4 &gt; 0), ER4, "")</f>
        <v>1.61</v>
      </c>
      <c r="ET4" s="18">
        <f t="shared" ref="ET4:ET35" si="90">IF(AND(ES4 &lt;= ES$65, ES4 &gt;= ES$66), ES4, "")</f>
        <v>1.61</v>
      </c>
      <c r="EU4" s="17">
        <v>0.73</v>
      </c>
      <c r="EV4" s="17">
        <f t="shared" ref="EV4:EV62" si="91">IF(AND(EU4 &lt; 99.99, EU4 &gt; 0), EU4, "")</f>
        <v>0.73</v>
      </c>
      <c r="EW4" s="18">
        <f t="shared" ref="EW4:EW35" si="92">IF(AND(EV4 &lt;= EV$65, EV4 &gt;= EV$66), EV4, "")</f>
        <v>0.73</v>
      </c>
      <c r="EX4" s="17">
        <v>1.17</v>
      </c>
      <c r="EY4" s="17">
        <f t="shared" ref="EY4:EY62" si="93">IF(AND(EX4 &lt; 99.99, EX4 &gt; 0), EX4, "")</f>
        <v>1.17</v>
      </c>
      <c r="EZ4" s="19">
        <f t="shared" ref="EZ4:EZ35" si="94">IF(AND(EY4 &lt;= EY$65, EY4 &gt;= EY$66), EY4, "")</f>
        <v>1.17</v>
      </c>
      <c r="FB4" s="16" t="s">
        <v>40</v>
      </c>
      <c r="FC4" s="17">
        <v>12.69</v>
      </c>
      <c r="FD4" s="17">
        <f t="shared" ref="FD4:FD62" si="95">IF(AND(FC4 &lt; 99.99, FC4 &gt; 0), FC4, "")</f>
        <v>12.69</v>
      </c>
      <c r="FE4" s="18">
        <f t="shared" ref="FE4:FE35" si="96">IF(AND(FD4 &lt;= FD$65, FD4 &gt;= FD$66), FD4, "")</f>
        <v>12.69</v>
      </c>
      <c r="FF4" s="17">
        <v>1.37</v>
      </c>
      <c r="FG4" s="17">
        <f t="shared" ref="FG4:FG62" si="97">IF(AND(FF4 &lt; 99.99, FF4 &gt; 0), FF4, "")</f>
        <v>1.37</v>
      </c>
      <c r="FH4" s="18">
        <f t="shared" ref="FH4:FH35" si="98">IF(AND(FG4 &lt;= FG$65, FG4 &gt;= FG$66), FG4, "")</f>
        <v>1.37</v>
      </c>
      <c r="FI4" s="17">
        <v>1.61</v>
      </c>
      <c r="FJ4" s="17">
        <f t="shared" ref="FJ4:FJ62" si="99">IF(AND(FI4 &lt; 99.99, FI4 &gt; 0), FI4, "")</f>
        <v>1.61</v>
      </c>
      <c r="FK4" s="18">
        <f t="shared" ref="FK4:FK35" si="100">IF(AND(FJ4 &lt;= FJ$65, FJ4 &gt;= FJ$66), FJ4, "")</f>
        <v>1.61</v>
      </c>
      <c r="FL4" s="17">
        <v>3.56</v>
      </c>
      <c r="FM4" s="17">
        <f t="shared" ref="FM4:FM62" si="101">IF(AND(FL4 &lt; 99.99, FL4 &gt; 0), FL4, "")</f>
        <v>3.56</v>
      </c>
      <c r="FN4" s="18">
        <f t="shared" ref="FN4:FN35" si="102">IF(AND(FM4 &lt;= FM$65, FM4 &gt;= FM$66), FM4, "")</f>
        <v>3.56</v>
      </c>
      <c r="FO4" s="17">
        <v>1.89</v>
      </c>
      <c r="FP4" s="17">
        <f t="shared" ref="FP4:FP62" si="103">IF(AND(FO4 &lt; 99.99, FO4 &gt; 0), FO4, "")</f>
        <v>1.89</v>
      </c>
      <c r="FQ4" s="18">
        <f t="shared" ref="FQ4:FQ35" si="104">IF(AND(FP4 &lt;= FP$65, FP4 &gt;= FP$66), FP4, "")</f>
        <v>1.89</v>
      </c>
      <c r="FR4" s="17">
        <v>2.21</v>
      </c>
      <c r="FS4" s="17">
        <f t="shared" ref="FS4:FS62" si="105">IF(AND(FR4 &lt; 99.99, FR4 &gt; 0), FR4, "")</f>
        <v>2.21</v>
      </c>
      <c r="FT4" s="18">
        <f t="shared" ref="FT4:FT35" si="106">IF(AND(FS4 &lt;= FS$65, FS4 &gt;= FS$66), FS4, "")</f>
        <v>2.21</v>
      </c>
      <c r="FU4" s="17">
        <v>0.24</v>
      </c>
      <c r="FV4" s="17">
        <f t="shared" ref="FV4:FV62" si="107">IF(AND(FU4 &lt; 99.99, FU4 &gt; 0), FU4, "")</f>
        <v>0.24</v>
      </c>
      <c r="FW4" s="18">
        <f t="shared" ref="FW4:FW35" si="108">IF(AND(FV4 &lt;= FV$65, FV4 &gt;= FV$66), FV4, "")</f>
        <v>0.24</v>
      </c>
      <c r="FX4" s="17">
        <v>0.2</v>
      </c>
      <c r="FY4" s="17">
        <f t="shared" ref="FY4:FY62" si="109">IF(AND(FX4 &lt; 99.99, FX4 &gt; 0), FX4, "")</f>
        <v>0.2</v>
      </c>
      <c r="FZ4" s="19">
        <f t="shared" ref="FZ4:FZ35" si="110">IF(AND(FY4 &lt;= FY$65, FY4 &gt;= FY$66), FY4, "")</f>
        <v>0.2</v>
      </c>
      <c r="GB4" s="20" t="s">
        <v>41</v>
      </c>
      <c r="GC4" s="3">
        <v>0.85</v>
      </c>
      <c r="GD4" s="3">
        <f t="shared" ref="GD4:GD62" si="111">IF(AND(GC4 &lt; 99.99, GC4 &gt; 0), GC4, "")</f>
        <v>0.85</v>
      </c>
      <c r="GE4" s="4">
        <f t="shared" ref="GE4:GE35" si="112">IF(AND(GD4 &lt;= GD$65, GD4 &gt;= GD$66), GD4, "")</f>
        <v>0.85</v>
      </c>
      <c r="GF4" s="3">
        <v>0.45</v>
      </c>
      <c r="GG4" s="3">
        <f t="shared" ref="GG4:GG62" si="113">IF(AND(GF4 &lt; 99.99, GF4 &gt; 0), GF4, "")</f>
        <v>0.45</v>
      </c>
      <c r="GH4" s="4">
        <f t="shared" ref="GH4:GH35" si="114">IF(AND(GG4 &lt;= GG$65, GG4 &gt;= GG$66), GG4, "")</f>
        <v>0.45</v>
      </c>
      <c r="GI4" s="3">
        <v>0.15</v>
      </c>
      <c r="GJ4" s="3">
        <f t="shared" ref="GJ4:GJ62" si="115">IF(AND(GI4 &lt; 99.99, GI4 &gt; 0), GI4, "")</f>
        <v>0.15</v>
      </c>
      <c r="GK4" s="4">
        <f t="shared" ref="GK4:GK35" si="116">IF(AND(GJ4 &lt;= GJ$65, GJ4 &gt;= GJ$66), GJ4, "")</f>
        <v>0.15</v>
      </c>
      <c r="GL4" s="3">
        <v>1.17</v>
      </c>
      <c r="GM4" s="3">
        <f t="shared" ref="GM4:GM62" si="117">IF(AND(GL4 &lt; 99.99, GL4 &gt; 0), GL4, "")</f>
        <v>1.17</v>
      </c>
      <c r="GN4" s="4">
        <f t="shared" ref="GN4:GN35" si="118">IF(AND(GM4 &lt;= GM$65, GM4 &gt;= GM$66), GM4, "")</f>
        <v>1.17</v>
      </c>
      <c r="GO4" s="3">
        <v>2.21</v>
      </c>
      <c r="GP4" s="3">
        <f t="shared" ref="GP4:GP62" si="119">IF(AND(GO4 &lt; 99.99, GO4 &gt; 0), GO4, "")</f>
        <v>2.21</v>
      </c>
      <c r="GQ4" s="4">
        <f t="shared" ref="GQ4:GQ35" si="120">IF(AND(GP4 &lt;= GP$65, GP4 &gt;= GP$66), GP4, "")</f>
        <v>2.21</v>
      </c>
      <c r="GR4" s="3">
        <v>0.73</v>
      </c>
      <c r="GS4" s="3">
        <f t="shared" ref="GS4:GS62" si="121">IF(AND(GR4 &lt; 99.99, GR4 &gt; 0), GR4, "")</f>
        <v>0.73</v>
      </c>
      <c r="GT4" s="4">
        <f t="shared" ref="GT4:GT35" si="122">IF(AND(GS4 &lt;= GS$65, GS4 &gt;= GS$66), GS4, "")</f>
        <v>0.73</v>
      </c>
      <c r="GU4" s="3">
        <v>0.33</v>
      </c>
      <c r="GV4" s="3">
        <f t="shared" ref="GV4:GV62" si="123">IF(AND(GU4 &lt; 99.99, GU4 &gt; 0), GU4, "")</f>
        <v>0.33</v>
      </c>
      <c r="GW4" s="4">
        <f t="shared" ref="GW4:GW35" si="124">IF(AND(GV4 &lt;= GV$65, GV4 &gt;= GV$66), GV4, "")</f>
        <v>0.33</v>
      </c>
      <c r="GX4" s="3">
        <v>2.21</v>
      </c>
      <c r="GY4" s="3">
        <f t="shared" ref="GY4:GY62" si="125">IF(AND(GX4 &lt; 99.99, GX4 &gt; 0), GX4, "")</f>
        <v>2.21</v>
      </c>
      <c r="GZ4" s="21">
        <f t="shared" ref="GZ4:GZ35" si="126">IF(AND(GY4 &lt;= GY$65, GY4 &gt;= GY$66), GY4, "")</f>
        <v>2.21</v>
      </c>
    </row>
    <row r="5" spans="2:208">
      <c r="B5" s="20" t="s">
        <v>42</v>
      </c>
      <c r="C5" s="3">
        <v>3.01</v>
      </c>
      <c r="D5" s="3">
        <f t="shared" si="0"/>
        <v>3.01</v>
      </c>
      <c r="E5" s="4">
        <f t="shared" si="1"/>
        <v>3.01</v>
      </c>
      <c r="F5" s="3">
        <v>4.41</v>
      </c>
      <c r="G5" s="3">
        <f t="shared" si="2"/>
        <v>4.41</v>
      </c>
      <c r="H5" s="4">
        <f t="shared" si="3"/>
        <v>4.41</v>
      </c>
      <c r="I5" s="3">
        <v>5.29</v>
      </c>
      <c r="J5" s="3">
        <f t="shared" si="4"/>
        <v>5.29</v>
      </c>
      <c r="K5" s="4">
        <f t="shared" si="5"/>
        <v>5.29</v>
      </c>
      <c r="L5" s="3">
        <v>5.62</v>
      </c>
      <c r="M5" s="3">
        <f t="shared" si="6"/>
        <v>5.62</v>
      </c>
      <c r="N5" s="4">
        <f t="shared" si="7"/>
        <v>5.62</v>
      </c>
      <c r="O5" s="3">
        <v>4.3499999999999996</v>
      </c>
      <c r="P5" s="3">
        <f t="shared" si="8"/>
        <v>4.3499999999999996</v>
      </c>
      <c r="Q5" s="4">
        <f t="shared" si="9"/>
        <v>4.3499999999999996</v>
      </c>
      <c r="R5" s="3">
        <v>4.0199999999999996</v>
      </c>
      <c r="S5" s="3">
        <f t="shared" si="10"/>
        <v>4.0199999999999996</v>
      </c>
      <c r="T5" s="4">
        <f t="shared" si="11"/>
        <v>4.0199999999999996</v>
      </c>
      <c r="U5" s="3">
        <v>1.78</v>
      </c>
      <c r="V5" s="3">
        <f t="shared" si="12"/>
        <v>1.78</v>
      </c>
      <c r="W5" s="4">
        <f t="shared" si="13"/>
        <v>1.78</v>
      </c>
      <c r="X5" s="3">
        <v>2.29</v>
      </c>
      <c r="Y5" s="3">
        <f t="shared" si="14"/>
        <v>2.29</v>
      </c>
      <c r="Z5" s="21">
        <f t="shared" si="15"/>
        <v>2.29</v>
      </c>
      <c r="AB5" s="20" t="s">
        <v>43</v>
      </c>
      <c r="AC5" s="3">
        <v>2.86</v>
      </c>
      <c r="AD5" s="3">
        <f t="shared" si="16"/>
        <v>2.86</v>
      </c>
      <c r="AE5" s="4">
        <f t="shared" si="17"/>
        <v>2.86</v>
      </c>
      <c r="AF5" s="3">
        <v>5.44</v>
      </c>
      <c r="AG5" s="3">
        <f t="shared" si="18"/>
        <v>5.44</v>
      </c>
      <c r="AH5" s="4">
        <f t="shared" si="19"/>
        <v>5.44</v>
      </c>
      <c r="AI5" s="3">
        <v>5.21</v>
      </c>
      <c r="AJ5" s="3">
        <f t="shared" si="20"/>
        <v>5.21</v>
      </c>
      <c r="AK5" s="4">
        <f t="shared" si="21"/>
        <v>5.21</v>
      </c>
      <c r="AL5" s="3">
        <v>6.05</v>
      </c>
      <c r="AM5" s="3">
        <f t="shared" si="22"/>
        <v>6.05</v>
      </c>
      <c r="AN5" s="4">
        <f t="shared" si="23"/>
        <v>6.05</v>
      </c>
      <c r="AO5" s="3">
        <v>0</v>
      </c>
      <c r="AP5" s="3" t="str">
        <f t="shared" si="24"/>
        <v/>
      </c>
      <c r="AQ5" s="4" t="str">
        <f t="shared" si="25"/>
        <v/>
      </c>
      <c r="AR5" s="3">
        <v>3.75</v>
      </c>
      <c r="AS5" s="3">
        <f t="shared" si="26"/>
        <v>3.75</v>
      </c>
      <c r="AT5" s="4">
        <f t="shared" si="27"/>
        <v>3.75</v>
      </c>
      <c r="AU5" s="3">
        <v>3.06</v>
      </c>
      <c r="AV5" s="3">
        <f t="shared" si="28"/>
        <v>3.06</v>
      </c>
      <c r="AW5" s="4">
        <f t="shared" si="29"/>
        <v>3.06</v>
      </c>
      <c r="AX5" s="3">
        <v>3.53</v>
      </c>
      <c r="AY5" s="3">
        <f t="shared" si="30"/>
        <v>3.53</v>
      </c>
      <c r="AZ5" s="21">
        <f t="shared" si="31"/>
        <v>3.53</v>
      </c>
      <c r="BB5" s="20" t="s">
        <v>44</v>
      </c>
      <c r="BC5" s="3">
        <v>3.91</v>
      </c>
      <c r="BD5" s="3">
        <f t="shared" si="32"/>
        <v>3.91</v>
      </c>
      <c r="BE5" s="4">
        <f t="shared" si="33"/>
        <v>3.91</v>
      </c>
      <c r="BF5" s="3">
        <v>4.26</v>
      </c>
      <c r="BG5" s="3">
        <f t="shared" si="34"/>
        <v>4.26</v>
      </c>
      <c r="BH5" s="4">
        <f t="shared" si="35"/>
        <v>4.26</v>
      </c>
      <c r="BI5" s="3">
        <v>4.1500000000000004</v>
      </c>
      <c r="BJ5" s="3">
        <f t="shared" si="36"/>
        <v>4.1500000000000004</v>
      </c>
      <c r="BK5" s="4">
        <f t="shared" si="37"/>
        <v>4.1500000000000004</v>
      </c>
      <c r="BL5" s="3">
        <v>4.29</v>
      </c>
      <c r="BM5" s="3">
        <f t="shared" si="38"/>
        <v>4.29</v>
      </c>
      <c r="BN5" s="4">
        <f t="shared" si="39"/>
        <v>4.29</v>
      </c>
      <c r="BO5" s="3">
        <v>1.89</v>
      </c>
      <c r="BP5" s="3">
        <f t="shared" si="40"/>
        <v>1.89</v>
      </c>
      <c r="BQ5" s="4" t="str">
        <f t="shared" si="41"/>
        <v/>
      </c>
      <c r="BR5" s="3">
        <v>3.11</v>
      </c>
      <c r="BS5" s="3">
        <f t="shared" si="42"/>
        <v>3.11</v>
      </c>
      <c r="BT5" s="4">
        <f t="shared" si="43"/>
        <v>3.11</v>
      </c>
      <c r="BU5" s="3">
        <v>1.61</v>
      </c>
      <c r="BV5" s="3">
        <f t="shared" si="44"/>
        <v>1.61</v>
      </c>
      <c r="BW5" s="4">
        <f t="shared" si="45"/>
        <v>1.61</v>
      </c>
      <c r="BX5" s="3">
        <v>1.29</v>
      </c>
      <c r="BY5" s="3">
        <f t="shared" si="46"/>
        <v>1.29</v>
      </c>
      <c r="BZ5" s="21">
        <f t="shared" si="47"/>
        <v>1.29</v>
      </c>
      <c r="CB5" s="20" t="s">
        <v>45</v>
      </c>
      <c r="CC5" s="3">
        <v>4.1500000000000004</v>
      </c>
      <c r="CD5" s="3">
        <f t="shared" si="48"/>
        <v>4.1500000000000004</v>
      </c>
      <c r="CE5" s="4">
        <f t="shared" si="49"/>
        <v>4.1500000000000004</v>
      </c>
      <c r="CF5" s="3">
        <v>6.13</v>
      </c>
      <c r="CG5" s="3">
        <f t="shared" si="50"/>
        <v>6.13</v>
      </c>
      <c r="CH5" s="4">
        <f t="shared" si="51"/>
        <v>6.13</v>
      </c>
      <c r="CI5" s="3">
        <v>3.75</v>
      </c>
      <c r="CJ5" s="3">
        <f t="shared" si="52"/>
        <v>3.75</v>
      </c>
      <c r="CK5" s="4">
        <f t="shared" si="53"/>
        <v>3.75</v>
      </c>
      <c r="CL5" s="3">
        <v>5.16</v>
      </c>
      <c r="CM5" s="3">
        <f t="shared" si="54"/>
        <v>5.16</v>
      </c>
      <c r="CN5" s="4">
        <f t="shared" si="55"/>
        <v>5.16</v>
      </c>
      <c r="CO5" s="3">
        <v>4.6100000000000003</v>
      </c>
      <c r="CP5" s="3">
        <f t="shared" si="56"/>
        <v>4.6100000000000003</v>
      </c>
      <c r="CQ5" s="4">
        <f t="shared" si="57"/>
        <v>4.6100000000000003</v>
      </c>
      <c r="CR5" s="3">
        <v>1.9</v>
      </c>
      <c r="CS5" s="3">
        <f t="shared" si="58"/>
        <v>1.9</v>
      </c>
      <c r="CT5" s="4">
        <f t="shared" si="59"/>
        <v>1.9</v>
      </c>
      <c r="CU5" s="3">
        <v>1.38</v>
      </c>
      <c r="CV5" s="3">
        <f t="shared" si="60"/>
        <v>1.38</v>
      </c>
      <c r="CW5" s="4" t="str">
        <f t="shared" si="61"/>
        <v/>
      </c>
      <c r="CX5" s="3">
        <v>3.11</v>
      </c>
      <c r="CY5" s="3">
        <f t="shared" si="62"/>
        <v>3.11</v>
      </c>
      <c r="CZ5" s="21">
        <f t="shared" si="63"/>
        <v>3.11</v>
      </c>
      <c r="DB5" s="20" t="s">
        <v>46</v>
      </c>
      <c r="DC5" s="3">
        <v>3.04</v>
      </c>
      <c r="DD5" s="3">
        <f t="shared" si="64"/>
        <v>3.04</v>
      </c>
      <c r="DE5" s="4">
        <f t="shared" si="65"/>
        <v>3.04</v>
      </c>
      <c r="DF5" s="3">
        <v>0</v>
      </c>
      <c r="DG5" s="3" t="str">
        <f t="shared" si="66"/>
        <v/>
      </c>
      <c r="DH5" s="4" t="str">
        <f t="shared" si="67"/>
        <v/>
      </c>
      <c r="DI5" s="3">
        <v>2.59</v>
      </c>
      <c r="DJ5" s="3">
        <f t="shared" si="68"/>
        <v>2.59</v>
      </c>
      <c r="DK5" s="4">
        <f t="shared" si="69"/>
        <v>2.59</v>
      </c>
      <c r="DL5" s="3">
        <v>3.04</v>
      </c>
      <c r="DM5" s="3">
        <f t="shared" ref="DM5:DM62" si="127">IF(AND(DL5 &lt; 99.99, DL5 &gt; 0), DL5, "")</f>
        <v>3.04</v>
      </c>
      <c r="DN5" s="4">
        <f t="shared" si="70"/>
        <v>3.04</v>
      </c>
      <c r="DO5" s="3">
        <v>6.72</v>
      </c>
      <c r="DP5" s="3">
        <f t="shared" si="71"/>
        <v>6.72</v>
      </c>
      <c r="DQ5" s="4" t="str">
        <f t="shared" si="72"/>
        <v/>
      </c>
      <c r="DR5" s="3">
        <v>1.17</v>
      </c>
      <c r="DS5" s="3">
        <f t="shared" si="73"/>
        <v>1.17</v>
      </c>
      <c r="DT5" s="4">
        <f t="shared" si="74"/>
        <v>1.17</v>
      </c>
      <c r="DU5" s="3">
        <v>1.17</v>
      </c>
      <c r="DV5" s="3">
        <f t="shared" si="75"/>
        <v>1.17</v>
      </c>
      <c r="DW5" s="4">
        <f t="shared" si="76"/>
        <v>1.17</v>
      </c>
      <c r="DX5" s="3">
        <v>0</v>
      </c>
      <c r="DY5" s="3" t="str">
        <f t="shared" si="77"/>
        <v/>
      </c>
      <c r="DZ5" s="21" t="str">
        <f t="shared" si="78"/>
        <v/>
      </c>
      <c r="EB5" s="20" t="s">
        <v>47</v>
      </c>
      <c r="EC5" s="3">
        <v>0.53</v>
      </c>
      <c r="ED5" s="3">
        <f t="shared" si="79"/>
        <v>0.53</v>
      </c>
      <c r="EE5" s="4">
        <f t="shared" si="80"/>
        <v>0.53</v>
      </c>
      <c r="EF5" s="3">
        <v>0.73</v>
      </c>
      <c r="EG5" s="3">
        <f t="shared" si="81"/>
        <v>0.73</v>
      </c>
      <c r="EH5" s="4" t="str">
        <f t="shared" si="82"/>
        <v/>
      </c>
      <c r="EI5" s="3">
        <v>0.15</v>
      </c>
      <c r="EJ5" s="3">
        <f t="shared" si="83"/>
        <v>0.15</v>
      </c>
      <c r="EK5" s="4">
        <f t="shared" si="84"/>
        <v>0.15</v>
      </c>
      <c r="EL5" s="3">
        <v>1.89</v>
      </c>
      <c r="EM5" s="3">
        <f t="shared" si="85"/>
        <v>1.89</v>
      </c>
      <c r="EN5" s="4">
        <f t="shared" si="86"/>
        <v>1.89</v>
      </c>
      <c r="EO5" s="3">
        <v>2.59</v>
      </c>
      <c r="EP5" s="3">
        <f t="shared" si="87"/>
        <v>2.59</v>
      </c>
      <c r="EQ5" s="4">
        <f t="shared" si="88"/>
        <v>2.59</v>
      </c>
      <c r="ER5" s="3">
        <v>1.89</v>
      </c>
      <c r="ES5" s="3">
        <f t="shared" si="89"/>
        <v>1.89</v>
      </c>
      <c r="ET5" s="4">
        <f t="shared" si="90"/>
        <v>1.89</v>
      </c>
      <c r="EU5" s="3">
        <v>0.62</v>
      </c>
      <c r="EV5" s="3">
        <f t="shared" si="91"/>
        <v>0.62</v>
      </c>
      <c r="EW5" s="4">
        <f t="shared" si="92"/>
        <v>0.62</v>
      </c>
      <c r="EX5" s="3">
        <v>1.17</v>
      </c>
      <c r="EY5" s="3">
        <f t="shared" si="93"/>
        <v>1.17</v>
      </c>
      <c r="EZ5" s="21">
        <f t="shared" si="94"/>
        <v>1.17</v>
      </c>
      <c r="FB5" s="20" t="s">
        <v>48</v>
      </c>
      <c r="FC5" s="3">
        <v>12.69</v>
      </c>
      <c r="FD5" s="3">
        <f t="shared" si="95"/>
        <v>12.69</v>
      </c>
      <c r="FE5" s="4">
        <f t="shared" si="96"/>
        <v>12.69</v>
      </c>
      <c r="FF5" s="3">
        <v>0.85</v>
      </c>
      <c r="FG5" s="3">
        <f t="shared" si="97"/>
        <v>0.85</v>
      </c>
      <c r="FH5" s="4" t="str">
        <f t="shared" si="98"/>
        <v/>
      </c>
      <c r="FI5" s="3">
        <v>1.89</v>
      </c>
      <c r="FJ5" s="3">
        <f t="shared" si="99"/>
        <v>1.89</v>
      </c>
      <c r="FK5" s="4">
        <f t="shared" si="100"/>
        <v>1.89</v>
      </c>
      <c r="FL5" s="3">
        <v>3.56</v>
      </c>
      <c r="FM5" s="3">
        <f t="shared" si="101"/>
        <v>3.56</v>
      </c>
      <c r="FN5" s="4">
        <f t="shared" si="102"/>
        <v>3.56</v>
      </c>
      <c r="FO5" s="3">
        <v>1.61</v>
      </c>
      <c r="FP5" s="3">
        <f t="shared" si="103"/>
        <v>1.61</v>
      </c>
      <c r="FQ5" s="4">
        <f t="shared" si="104"/>
        <v>1.61</v>
      </c>
      <c r="FR5" s="3">
        <v>2.59</v>
      </c>
      <c r="FS5" s="3">
        <f t="shared" si="105"/>
        <v>2.59</v>
      </c>
      <c r="FT5" s="4">
        <f t="shared" si="106"/>
        <v>2.59</v>
      </c>
      <c r="FU5" s="3">
        <v>0.2</v>
      </c>
      <c r="FV5" s="3">
        <f t="shared" si="107"/>
        <v>0.2</v>
      </c>
      <c r="FW5" s="4">
        <f t="shared" si="108"/>
        <v>0.2</v>
      </c>
      <c r="FX5" s="3">
        <v>0.24</v>
      </c>
      <c r="FY5" s="3">
        <f t="shared" si="109"/>
        <v>0.24</v>
      </c>
      <c r="FZ5" s="21">
        <f t="shared" si="110"/>
        <v>0.24</v>
      </c>
      <c r="GB5" s="20" t="s">
        <v>49</v>
      </c>
      <c r="GC5" s="3">
        <v>0.85</v>
      </c>
      <c r="GD5" s="3">
        <f t="shared" si="111"/>
        <v>0.85</v>
      </c>
      <c r="GE5" s="4">
        <f t="shared" si="112"/>
        <v>0.85</v>
      </c>
      <c r="GF5" s="3">
        <v>1.37</v>
      </c>
      <c r="GG5" s="3">
        <f t="shared" si="113"/>
        <v>1.37</v>
      </c>
      <c r="GH5" s="4">
        <f t="shared" si="114"/>
        <v>1.37</v>
      </c>
      <c r="GI5" s="3">
        <v>0.15</v>
      </c>
      <c r="GJ5" s="3">
        <f t="shared" si="115"/>
        <v>0.15</v>
      </c>
      <c r="GK5" s="4">
        <f t="shared" si="116"/>
        <v>0.15</v>
      </c>
      <c r="GL5" s="3">
        <v>2.21</v>
      </c>
      <c r="GM5" s="3">
        <f t="shared" si="117"/>
        <v>2.21</v>
      </c>
      <c r="GN5" s="4">
        <f t="shared" si="118"/>
        <v>2.21</v>
      </c>
      <c r="GO5" s="3">
        <v>0.85</v>
      </c>
      <c r="GP5" s="3">
        <f t="shared" si="119"/>
        <v>0.85</v>
      </c>
      <c r="GQ5" s="4" t="str">
        <f t="shared" si="120"/>
        <v/>
      </c>
      <c r="GR5" s="3">
        <v>0.73</v>
      </c>
      <c r="GS5" s="3">
        <f t="shared" si="121"/>
        <v>0.73</v>
      </c>
      <c r="GT5" s="4">
        <f t="shared" si="122"/>
        <v>0.73</v>
      </c>
      <c r="GU5" s="3">
        <v>0.28000000000000003</v>
      </c>
      <c r="GV5" s="3">
        <f t="shared" si="123"/>
        <v>0.28000000000000003</v>
      </c>
      <c r="GW5" s="4">
        <f t="shared" si="124"/>
        <v>0.28000000000000003</v>
      </c>
      <c r="GX5" s="3">
        <v>2.21</v>
      </c>
      <c r="GY5" s="3">
        <f t="shared" si="125"/>
        <v>2.21</v>
      </c>
      <c r="GZ5" s="21">
        <f t="shared" si="126"/>
        <v>2.21</v>
      </c>
    </row>
    <row r="6" spans="2:208">
      <c r="B6" s="20" t="s">
        <v>50</v>
      </c>
      <c r="C6" s="3">
        <v>3.06</v>
      </c>
      <c r="D6" s="3">
        <f t="shared" si="0"/>
        <v>3.06</v>
      </c>
      <c r="E6" s="4">
        <f t="shared" si="1"/>
        <v>3.06</v>
      </c>
      <c r="F6" s="3">
        <v>4.3899999999999997</v>
      </c>
      <c r="G6" s="3">
        <f t="shared" si="2"/>
        <v>4.3899999999999997</v>
      </c>
      <c r="H6" s="4">
        <f t="shared" si="3"/>
        <v>4.3899999999999997</v>
      </c>
      <c r="I6" s="3">
        <v>5.3</v>
      </c>
      <c r="J6" s="3">
        <f t="shared" si="4"/>
        <v>5.3</v>
      </c>
      <c r="K6" s="4">
        <f t="shared" si="5"/>
        <v>5.3</v>
      </c>
      <c r="L6" s="3">
        <v>5.62</v>
      </c>
      <c r="M6" s="3">
        <f t="shared" si="6"/>
        <v>5.62</v>
      </c>
      <c r="N6" s="4">
        <f t="shared" si="7"/>
        <v>5.62</v>
      </c>
      <c r="O6" s="3">
        <v>1.92</v>
      </c>
      <c r="P6" s="3">
        <f t="shared" si="8"/>
        <v>1.92</v>
      </c>
      <c r="Q6" s="4" t="str">
        <f t="shared" si="9"/>
        <v/>
      </c>
      <c r="R6" s="3">
        <v>4.87</v>
      </c>
      <c r="S6" s="3">
        <f t="shared" si="10"/>
        <v>4.87</v>
      </c>
      <c r="T6" s="4">
        <f t="shared" si="11"/>
        <v>4.87</v>
      </c>
      <c r="U6" s="3">
        <v>1.78</v>
      </c>
      <c r="V6" s="3">
        <f t="shared" si="12"/>
        <v>1.78</v>
      </c>
      <c r="W6" s="4">
        <f t="shared" si="13"/>
        <v>1.78</v>
      </c>
      <c r="X6" s="3">
        <v>2.5</v>
      </c>
      <c r="Y6" s="3">
        <f t="shared" si="14"/>
        <v>2.5</v>
      </c>
      <c r="Z6" s="21">
        <f t="shared" si="15"/>
        <v>2.5</v>
      </c>
      <c r="AB6" s="20" t="s">
        <v>51</v>
      </c>
      <c r="AC6" s="3">
        <v>2.84</v>
      </c>
      <c r="AD6" s="3">
        <f t="shared" si="16"/>
        <v>2.84</v>
      </c>
      <c r="AE6" s="4">
        <f t="shared" si="17"/>
        <v>2.84</v>
      </c>
      <c r="AF6" s="3">
        <v>5.47</v>
      </c>
      <c r="AG6" s="3">
        <f t="shared" si="18"/>
        <v>5.47</v>
      </c>
      <c r="AH6" s="4">
        <f t="shared" si="19"/>
        <v>5.47</v>
      </c>
      <c r="AI6" s="3">
        <v>2.63</v>
      </c>
      <c r="AJ6" s="3">
        <f t="shared" si="20"/>
        <v>2.63</v>
      </c>
      <c r="AK6" s="4" t="str">
        <f t="shared" si="21"/>
        <v/>
      </c>
      <c r="AL6" s="3">
        <v>6.09</v>
      </c>
      <c r="AM6" s="3">
        <f t="shared" si="22"/>
        <v>6.09</v>
      </c>
      <c r="AN6" s="4">
        <f t="shared" si="23"/>
        <v>6.09</v>
      </c>
      <c r="AO6" s="3">
        <v>0</v>
      </c>
      <c r="AP6" s="3" t="str">
        <f t="shared" si="24"/>
        <v/>
      </c>
      <c r="AQ6" s="4" t="str">
        <f t="shared" si="25"/>
        <v/>
      </c>
      <c r="AR6" s="3">
        <v>3.74</v>
      </c>
      <c r="AS6" s="3">
        <f t="shared" si="26"/>
        <v>3.74</v>
      </c>
      <c r="AT6" s="4">
        <f t="shared" si="27"/>
        <v>3.74</v>
      </c>
      <c r="AU6" s="3">
        <v>0.4</v>
      </c>
      <c r="AV6" s="3">
        <f t="shared" si="28"/>
        <v>0.4</v>
      </c>
      <c r="AW6" s="4" t="str">
        <f t="shared" si="29"/>
        <v/>
      </c>
      <c r="AX6" s="3">
        <v>2.58</v>
      </c>
      <c r="AY6" s="3">
        <f t="shared" si="30"/>
        <v>2.58</v>
      </c>
      <c r="AZ6" s="21" t="str">
        <f t="shared" si="31"/>
        <v/>
      </c>
      <c r="BB6" s="20" t="s">
        <v>52</v>
      </c>
      <c r="BC6" s="3">
        <v>3.92</v>
      </c>
      <c r="BD6" s="3">
        <f t="shared" si="32"/>
        <v>3.92</v>
      </c>
      <c r="BE6" s="4">
        <f t="shared" si="33"/>
        <v>3.92</v>
      </c>
      <c r="BF6" s="3">
        <v>4.29</v>
      </c>
      <c r="BG6" s="3">
        <f t="shared" si="34"/>
        <v>4.29</v>
      </c>
      <c r="BH6" s="4">
        <f t="shared" si="35"/>
        <v>4.29</v>
      </c>
      <c r="BI6" s="3">
        <v>4.21</v>
      </c>
      <c r="BJ6" s="3">
        <f t="shared" si="36"/>
        <v>4.21</v>
      </c>
      <c r="BK6" s="4">
        <f t="shared" si="37"/>
        <v>4.21</v>
      </c>
      <c r="BL6" s="3">
        <v>4.28</v>
      </c>
      <c r="BM6" s="3">
        <f t="shared" si="38"/>
        <v>4.28</v>
      </c>
      <c r="BN6" s="4">
        <f t="shared" si="39"/>
        <v>4.28</v>
      </c>
      <c r="BO6" s="3">
        <v>3.59</v>
      </c>
      <c r="BP6" s="3">
        <f t="shared" si="40"/>
        <v>3.59</v>
      </c>
      <c r="BQ6" s="4">
        <f t="shared" si="41"/>
        <v>3.59</v>
      </c>
      <c r="BR6" s="3">
        <v>3.13</v>
      </c>
      <c r="BS6" s="3">
        <f t="shared" si="42"/>
        <v>3.13</v>
      </c>
      <c r="BT6" s="4">
        <f t="shared" si="43"/>
        <v>3.13</v>
      </c>
      <c r="BU6" s="3">
        <v>1.62</v>
      </c>
      <c r="BV6" s="3">
        <f t="shared" si="44"/>
        <v>1.62</v>
      </c>
      <c r="BW6" s="4">
        <f t="shared" si="45"/>
        <v>1.62</v>
      </c>
      <c r="BX6" s="3">
        <v>1.28</v>
      </c>
      <c r="BY6" s="3">
        <f t="shared" si="46"/>
        <v>1.28</v>
      </c>
      <c r="BZ6" s="21">
        <f t="shared" si="47"/>
        <v>1.28</v>
      </c>
      <c r="CB6" s="20" t="s">
        <v>53</v>
      </c>
      <c r="CC6" s="3">
        <v>4.1399999999999997</v>
      </c>
      <c r="CD6" s="3">
        <f t="shared" si="48"/>
        <v>4.1399999999999997</v>
      </c>
      <c r="CE6" s="4">
        <f t="shared" si="49"/>
        <v>4.1399999999999997</v>
      </c>
      <c r="CF6" s="3">
        <v>6.12</v>
      </c>
      <c r="CG6" s="3">
        <f t="shared" si="50"/>
        <v>6.12</v>
      </c>
      <c r="CH6" s="4">
        <f t="shared" si="51"/>
        <v>6.12</v>
      </c>
      <c r="CI6" s="3">
        <v>3.8</v>
      </c>
      <c r="CJ6" s="3">
        <f t="shared" si="52"/>
        <v>3.8</v>
      </c>
      <c r="CK6" s="4">
        <f t="shared" si="53"/>
        <v>3.8</v>
      </c>
      <c r="CL6" s="3">
        <v>5.28</v>
      </c>
      <c r="CM6" s="3">
        <f t="shared" si="54"/>
        <v>5.28</v>
      </c>
      <c r="CN6" s="4">
        <f t="shared" si="55"/>
        <v>5.28</v>
      </c>
      <c r="CO6" s="3">
        <v>5.45</v>
      </c>
      <c r="CP6" s="3">
        <f t="shared" si="56"/>
        <v>5.45</v>
      </c>
      <c r="CQ6" s="4">
        <f t="shared" si="57"/>
        <v>5.45</v>
      </c>
      <c r="CR6" s="3">
        <v>1.85</v>
      </c>
      <c r="CS6" s="3">
        <f t="shared" si="58"/>
        <v>1.85</v>
      </c>
      <c r="CT6" s="4">
        <f t="shared" si="59"/>
        <v>1.85</v>
      </c>
      <c r="CU6" s="3">
        <v>3.77</v>
      </c>
      <c r="CV6" s="3">
        <f t="shared" si="60"/>
        <v>3.77</v>
      </c>
      <c r="CW6" s="4">
        <f t="shared" si="61"/>
        <v>3.77</v>
      </c>
      <c r="CX6" s="3">
        <v>0</v>
      </c>
      <c r="CY6" s="3" t="str">
        <f t="shared" si="62"/>
        <v/>
      </c>
      <c r="CZ6" s="21" t="str">
        <f t="shared" si="63"/>
        <v/>
      </c>
      <c r="DB6" s="20" t="s">
        <v>54</v>
      </c>
      <c r="DC6" s="3">
        <v>0</v>
      </c>
      <c r="DD6" s="3" t="str">
        <f t="shared" si="64"/>
        <v/>
      </c>
      <c r="DE6" s="4" t="str">
        <f t="shared" si="65"/>
        <v/>
      </c>
      <c r="DF6" s="3">
        <v>1.17</v>
      </c>
      <c r="DG6" s="3">
        <f t="shared" si="66"/>
        <v>1.17</v>
      </c>
      <c r="DH6" s="4">
        <f t="shared" si="67"/>
        <v>1.17</v>
      </c>
      <c r="DI6" s="3">
        <v>0</v>
      </c>
      <c r="DJ6" s="3" t="str">
        <f t="shared" si="68"/>
        <v/>
      </c>
      <c r="DK6" s="4" t="str">
        <f t="shared" si="69"/>
        <v/>
      </c>
      <c r="DL6" s="3">
        <v>2.59</v>
      </c>
      <c r="DM6" s="3">
        <f t="shared" si="127"/>
        <v>2.59</v>
      </c>
      <c r="DN6" s="4">
        <f t="shared" si="70"/>
        <v>2.59</v>
      </c>
      <c r="DO6" s="3">
        <v>1.37</v>
      </c>
      <c r="DP6" s="3">
        <f t="shared" si="71"/>
        <v>1.37</v>
      </c>
      <c r="DQ6" s="4">
        <f t="shared" si="72"/>
        <v>1.37</v>
      </c>
      <c r="DR6" s="3">
        <v>1.17</v>
      </c>
      <c r="DS6" s="3">
        <f t="shared" si="73"/>
        <v>1.17</v>
      </c>
      <c r="DT6" s="4">
        <f t="shared" si="74"/>
        <v>1.17</v>
      </c>
      <c r="DU6" s="3">
        <v>1.37</v>
      </c>
      <c r="DV6" s="3">
        <f t="shared" si="75"/>
        <v>1.37</v>
      </c>
      <c r="DW6" s="4">
        <f t="shared" si="76"/>
        <v>1.37</v>
      </c>
      <c r="DX6" s="3">
        <v>0</v>
      </c>
      <c r="DY6" s="3" t="str">
        <f t="shared" si="77"/>
        <v/>
      </c>
      <c r="DZ6" s="21" t="str">
        <f t="shared" si="78"/>
        <v/>
      </c>
      <c r="EB6" s="20" t="s">
        <v>55</v>
      </c>
      <c r="EC6" s="3">
        <v>0.62</v>
      </c>
      <c r="ED6" s="3">
        <f t="shared" si="79"/>
        <v>0.62</v>
      </c>
      <c r="EE6" s="4">
        <f t="shared" si="80"/>
        <v>0.62</v>
      </c>
      <c r="EF6" s="3">
        <v>4.18</v>
      </c>
      <c r="EG6" s="3">
        <f t="shared" si="81"/>
        <v>4.18</v>
      </c>
      <c r="EH6" s="4">
        <f t="shared" si="82"/>
        <v>4.18</v>
      </c>
      <c r="EI6" s="3">
        <v>0.39</v>
      </c>
      <c r="EJ6" s="3">
        <f t="shared" si="83"/>
        <v>0.39</v>
      </c>
      <c r="EK6" s="4">
        <f t="shared" si="84"/>
        <v>0.39</v>
      </c>
      <c r="EL6" s="3">
        <v>1.61</v>
      </c>
      <c r="EM6" s="3">
        <f t="shared" si="85"/>
        <v>1.61</v>
      </c>
      <c r="EN6" s="4">
        <f t="shared" si="86"/>
        <v>1.61</v>
      </c>
      <c r="EO6" s="3">
        <v>2.59</v>
      </c>
      <c r="EP6" s="3">
        <f t="shared" si="87"/>
        <v>2.59</v>
      </c>
      <c r="EQ6" s="4">
        <f t="shared" si="88"/>
        <v>2.59</v>
      </c>
      <c r="ER6" s="3">
        <v>1.61</v>
      </c>
      <c r="ES6" s="3">
        <f t="shared" si="89"/>
        <v>1.61</v>
      </c>
      <c r="ET6" s="4">
        <f t="shared" si="90"/>
        <v>1.61</v>
      </c>
      <c r="EU6" s="3">
        <v>0.73</v>
      </c>
      <c r="EV6" s="3">
        <f t="shared" si="91"/>
        <v>0.73</v>
      </c>
      <c r="EW6" s="4">
        <f t="shared" si="92"/>
        <v>0.73</v>
      </c>
      <c r="EX6" s="3">
        <v>1.17</v>
      </c>
      <c r="EY6" s="3">
        <f t="shared" si="93"/>
        <v>1.17</v>
      </c>
      <c r="EZ6" s="21">
        <f t="shared" si="94"/>
        <v>1.17</v>
      </c>
      <c r="FB6" s="20" t="s">
        <v>56</v>
      </c>
      <c r="FC6" s="3">
        <v>10.83</v>
      </c>
      <c r="FD6" s="3">
        <f t="shared" si="95"/>
        <v>10.83</v>
      </c>
      <c r="FE6" s="4">
        <f t="shared" si="96"/>
        <v>10.83</v>
      </c>
      <c r="FF6" s="3">
        <v>1.37</v>
      </c>
      <c r="FG6" s="3">
        <f t="shared" si="97"/>
        <v>1.37</v>
      </c>
      <c r="FH6" s="4">
        <f t="shared" si="98"/>
        <v>1.37</v>
      </c>
      <c r="FI6" s="3">
        <v>1.61</v>
      </c>
      <c r="FJ6" s="3">
        <f t="shared" si="99"/>
        <v>1.61</v>
      </c>
      <c r="FK6" s="4">
        <f t="shared" si="100"/>
        <v>1.61</v>
      </c>
      <c r="FL6" s="3">
        <v>1.89</v>
      </c>
      <c r="FM6" s="3">
        <f t="shared" si="101"/>
        <v>1.89</v>
      </c>
      <c r="FN6" s="4" t="str">
        <f t="shared" si="102"/>
        <v/>
      </c>
      <c r="FO6" s="3">
        <v>1.89</v>
      </c>
      <c r="FP6" s="3">
        <f t="shared" si="103"/>
        <v>1.89</v>
      </c>
      <c r="FQ6" s="4">
        <f t="shared" si="104"/>
        <v>1.89</v>
      </c>
      <c r="FR6" s="3">
        <v>2.21</v>
      </c>
      <c r="FS6" s="3">
        <f t="shared" si="105"/>
        <v>2.21</v>
      </c>
      <c r="FT6" s="4">
        <f t="shared" si="106"/>
        <v>2.21</v>
      </c>
      <c r="FU6" s="3">
        <v>0.24</v>
      </c>
      <c r="FV6" s="3">
        <f t="shared" si="107"/>
        <v>0.24</v>
      </c>
      <c r="FW6" s="4">
        <f t="shared" si="108"/>
        <v>0.24</v>
      </c>
      <c r="FX6" s="3">
        <v>0.2</v>
      </c>
      <c r="FY6" s="3">
        <f t="shared" si="109"/>
        <v>0.2</v>
      </c>
      <c r="FZ6" s="21">
        <f t="shared" si="110"/>
        <v>0.2</v>
      </c>
      <c r="GB6" s="20" t="s">
        <v>57</v>
      </c>
      <c r="GC6" s="3">
        <v>0</v>
      </c>
      <c r="GD6" s="3" t="str">
        <f t="shared" si="111"/>
        <v/>
      </c>
      <c r="GE6" s="4" t="str">
        <f t="shared" si="112"/>
        <v/>
      </c>
      <c r="GF6" s="3">
        <v>0.45</v>
      </c>
      <c r="GG6" s="3">
        <f t="shared" si="113"/>
        <v>0.45</v>
      </c>
      <c r="GH6" s="4">
        <f t="shared" si="114"/>
        <v>0.45</v>
      </c>
      <c r="GI6" s="3">
        <v>0.13</v>
      </c>
      <c r="GJ6" s="3">
        <f t="shared" si="115"/>
        <v>0.13</v>
      </c>
      <c r="GK6" s="4">
        <f t="shared" si="116"/>
        <v>0.13</v>
      </c>
      <c r="GL6" s="3">
        <v>2.21</v>
      </c>
      <c r="GM6" s="3">
        <f t="shared" si="117"/>
        <v>2.21</v>
      </c>
      <c r="GN6" s="4">
        <f t="shared" si="118"/>
        <v>2.21</v>
      </c>
      <c r="GO6" s="3">
        <v>1.89</v>
      </c>
      <c r="GP6" s="3">
        <f t="shared" si="119"/>
        <v>1.89</v>
      </c>
      <c r="GQ6" s="4">
        <f t="shared" si="120"/>
        <v>1.89</v>
      </c>
      <c r="GR6" s="3">
        <v>0.53</v>
      </c>
      <c r="GS6" s="3">
        <f t="shared" si="121"/>
        <v>0.53</v>
      </c>
      <c r="GT6" s="4">
        <f t="shared" si="122"/>
        <v>0.53</v>
      </c>
      <c r="GU6" s="3">
        <v>0.33</v>
      </c>
      <c r="GV6" s="3">
        <f t="shared" si="123"/>
        <v>0.33</v>
      </c>
      <c r="GW6" s="4">
        <f t="shared" si="124"/>
        <v>0.33</v>
      </c>
      <c r="GX6" s="3">
        <v>2.21</v>
      </c>
      <c r="GY6" s="3">
        <f t="shared" si="125"/>
        <v>2.21</v>
      </c>
      <c r="GZ6" s="21">
        <f t="shared" si="126"/>
        <v>2.21</v>
      </c>
    </row>
    <row r="7" spans="2:208">
      <c r="B7" s="20" t="s">
        <v>58</v>
      </c>
      <c r="C7" s="3">
        <v>2.99</v>
      </c>
      <c r="D7" s="3">
        <f t="shared" si="0"/>
        <v>2.99</v>
      </c>
      <c r="E7" s="4">
        <f t="shared" si="1"/>
        <v>2.99</v>
      </c>
      <c r="F7" s="3">
        <v>4.3899999999999997</v>
      </c>
      <c r="G7" s="3">
        <f t="shared" si="2"/>
        <v>4.3899999999999997</v>
      </c>
      <c r="H7" s="4">
        <f t="shared" si="3"/>
        <v>4.3899999999999997</v>
      </c>
      <c r="I7" s="3">
        <v>5.28</v>
      </c>
      <c r="J7" s="3">
        <f t="shared" si="4"/>
        <v>5.28</v>
      </c>
      <c r="K7" s="4">
        <f t="shared" si="5"/>
        <v>5.28</v>
      </c>
      <c r="L7" s="3">
        <v>5.63</v>
      </c>
      <c r="M7" s="3">
        <f t="shared" si="6"/>
        <v>5.63</v>
      </c>
      <c r="N7" s="4">
        <f t="shared" si="7"/>
        <v>5.63</v>
      </c>
      <c r="O7" s="3">
        <v>4.38</v>
      </c>
      <c r="P7" s="3">
        <f t="shared" si="8"/>
        <v>4.38</v>
      </c>
      <c r="Q7" s="4">
        <f t="shared" si="9"/>
        <v>4.38</v>
      </c>
      <c r="R7" s="3">
        <v>3.45</v>
      </c>
      <c r="S7" s="3">
        <f t="shared" si="10"/>
        <v>3.45</v>
      </c>
      <c r="T7" s="4" t="str">
        <f t="shared" si="11"/>
        <v/>
      </c>
      <c r="U7" s="3">
        <v>1.76</v>
      </c>
      <c r="V7" s="3">
        <f t="shared" si="12"/>
        <v>1.76</v>
      </c>
      <c r="W7" s="4">
        <f t="shared" si="13"/>
        <v>1.76</v>
      </c>
      <c r="X7" s="3">
        <v>2.2799999999999998</v>
      </c>
      <c r="Y7" s="3">
        <f t="shared" si="14"/>
        <v>2.2799999999999998</v>
      </c>
      <c r="Z7" s="21">
        <f t="shared" si="15"/>
        <v>2.2799999999999998</v>
      </c>
      <c r="AB7" s="20" t="s">
        <v>59</v>
      </c>
      <c r="AC7" s="3">
        <v>2.84</v>
      </c>
      <c r="AD7" s="3">
        <f t="shared" si="16"/>
        <v>2.84</v>
      </c>
      <c r="AE7" s="4">
        <f t="shared" si="17"/>
        <v>2.84</v>
      </c>
      <c r="AF7" s="3">
        <v>5.43</v>
      </c>
      <c r="AG7" s="3">
        <f t="shared" si="18"/>
        <v>5.43</v>
      </c>
      <c r="AH7" s="4">
        <f t="shared" si="19"/>
        <v>5.43</v>
      </c>
      <c r="AI7" s="3">
        <v>5.19</v>
      </c>
      <c r="AJ7" s="3">
        <f t="shared" si="20"/>
        <v>5.19</v>
      </c>
      <c r="AK7" s="4">
        <f t="shared" si="21"/>
        <v>5.19</v>
      </c>
      <c r="AL7" s="3">
        <v>3.6</v>
      </c>
      <c r="AM7" s="3">
        <f t="shared" si="22"/>
        <v>3.6</v>
      </c>
      <c r="AN7" s="4" t="str">
        <f t="shared" si="23"/>
        <v/>
      </c>
      <c r="AO7" s="3">
        <v>0</v>
      </c>
      <c r="AP7" s="3" t="str">
        <f t="shared" si="24"/>
        <v/>
      </c>
      <c r="AQ7" s="4" t="str">
        <f t="shared" si="25"/>
        <v/>
      </c>
      <c r="AR7" s="3">
        <v>3.75</v>
      </c>
      <c r="AS7" s="3">
        <f t="shared" si="26"/>
        <v>3.75</v>
      </c>
      <c r="AT7" s="4">
        <f t="shared" si="27"/>
        <v>3.75</v>
      </c>
      <c r="AU7" s="3">
        <v>3.09</v>
      </c>
      <c r="AV7" s="3">
        <f t="shared" si="28"/>
        <v>3.09</v>
      </c>
      <c r="AW7" s="4">
        <f t="shared" si="29"/>
        <v>3.09</v>
      </c>
      <c r="AX7" s="3">
        <v>3.44</v>
      </c>
      <c r="AY7" s="3">
        <f t="shared" si="30"/>
        <v>3.44</v>
      </c>
      <c r="AZ7" s="21">
        <f t="shared" si="31"/>
        <v>3.44</v>
      </c>
      <c r="BB7" s="20" t="s">
        <v>60</v>
      </c>
      <c r="BC7" s="3">
        <v>3.89</v>
      </c>
      <c r="BD7" s="3">
        <f t="shared" si="32"/>
        <v>3.89</v>
      </c>
      <c r="BE7" s="4">
        <f t="shared" si="33"/>
        <v>3.89</v>
      </c>
      <c r="BF7" s="3">
        <v>4.26</v>
      </c>
      <c r="BG7" s="3">
        <f t="shared" si="34"/>
        <v>4.26</v>
      </c>
      <c r="BH7" s="4">
        <f t="shared" si="35"/>
        <v>4.26</v>
      </c>
      <c r="BI7" s="3">
        <v>4.13</v>
      </c>
      <c r="BJ7" s="3">
        <f t="shared" si="36"/>
        <v>4.13</v>
      </c>
      <c r="BK7" s="4">
        <f t="shared" si="37"/>
        <v>4.13</v>
      </c>
      <c r="BL7" s="3">
        <v>4.32</v>
      </c>
      <c r="BM7" s="3">
        <f t="shared" si="38"/>
        <v>4.32</v>
      </c>
      <c r="BN7" s="4">
        <f t="shared" si="39"/>
        <v>4.32</v>
      </c>
      <c r="BO7" s="3">
        <v>3.58</v>
      </c>
      <c r="BP7" s="3">
        <f t="shared" si="40"/>
        <v>3.58</v>
      </c>
      <c r="BQ7" s="4">
        <f t="shared" si="41"/>
        <v>3.58</v>
      </c>
      <c r="BR7" s="3">
        <v>3.15</v>
      </c>
      <c r="BS7" s="3">
        <f t="shared" si="42"/>
        <v>3.15</v>
      </c>
      <c r="BT7" s="4">
        <f t="shared" si="43"/>
        <v>3.15</v>
      </c>
      <c r="BU7" s="3">
        <v>1.63</v>
      </c>
      <c r="BV7" s="3">
        <f t="shared" si="44"/>
        <v>1.63</v>
      </c>
      <c r="BW7" s="4">
        <f t="shared" si="45"/>
        <v>1.63</v>
      </c>
      <c r="BX7" s="3">
        <v>1.25</v>
      </c>
      <c r="BY7" s="3">
        <f t="shared" si="46"/>
        <v>1.25</v>
      </c>
      <c r="BZ7" s="21">
        <f t="shared" si="47"/>
        <v>1.25</v>
      </c>
      <c r="CB7" s="20" t="s">
        <v>61</v>
      </c>
      <c r="CC7" s="3">
        <v>4.1500000000000004</v>
      </c>
      <c r="CD7" s="3">
        <f t="shared" si="48"/>
        <v>4.1500000000000004</v>
      </c>
      <c r="CE7" s="4">
        <f t="shared" si="49"/>
        <v>4.1500000000000004</v>
      </c>
      <c r="CF7" s="3">
        <v>6.13</v>
      </c>
      <c r="CG7" s="3">
        <f t="shared" si="50"/>
        <v>6.13</v>
      </c>
      <c r="CH7" s="4">
        <f t="shared" si="51"/>
        <v>6.13</v>
      </c>
      <c r="CI7" s="3">
        <v>3.76</v>
      </c>
      <c r="CJ7" s="3">
        <f t="shared" si="52"/>
        <v>3.76</v>
      </c>
      <c r="CK7" s="4">
        <f t="shared" si="53"/>
        <v>3.76</v>
      </c>
      <c r="CL7" s="3">
        <v>5.17</v>
      </c>
      <c r="CM7" s="3">
        <f t="shared" si="54"/>
        <v>5.17</v>
      </c>
      <c r="CN7" s="4">
        <f t="shared" si="55"/>
        <v>5.17</v>
      </c>
      <c r="CO7" s="3">
        <v>5.43</v>
      </c>
      <c r="CP7" s="3">
        <f t="shared" si="56"/>
        <v>5.43</v>
      </c>
      <c r="CQ7" s="4">
        <f t="shared" si="57"/>
        <v>5.43</v>
      </c>
      <c r="CR7" s="3">
        <v>1.86</v>
      </c>
      <c r="CS7" s="3">
        <f t="shared" si="58"/>
        <v>1.86</v>
      </c>
      <c r="CT7" s="4">
        <f t="shared" si="59"/>
        <v>1.86</v>
      </c>
      <c r="CU7" s="3">
        <v>3.73</v>
      </c>
      <c r="CV7" s="3">
        <f t="shared" si="60"/>
        <v>3.73</v>
      </c>
      <c r="CW7" s="4">
        <f t="shared" si="61"/>
        <v>3.73</v>
      </c>
      <c r="CX7" s="3">
        <v>99.99</v>
      </c>
      <c r="CY7" s="3" t="str">
        <f t="shared" si="62"/>
        <v/>
      </c>
      <c r="CZ7" s="21" t="str">
        <f t="shared" si="63"/>
        <v/>
      </c>
      <c r="DB7" s="20" t="s">
        <v>62</v>
      </c>
      <c r="DC7" s="3">
        <v>0</v>
      </c>
      <c r="DD7" s="3" t="str">
        <f t="shared" si="64"/>
        <v/>
      </c>
      <c r="DE7" s="4" t="str">
        <f t="shared" si="65"/>
        <v/>
      </c>
      <c r="DF7" s="3">
        <v>0</v>
      </c>
      <c r="DG7" s="3" t="str">
        <f t="shared" si="66"/>
        <v/>
      </c>
      <c r="DH7" s="4" t="str">
        <f t="shared" si="67"/>
        <v/>
      </c>
      <c r="DI7" s="3">
        <v>0</v>
      </c>
      <c r="DJ7" s="3" t="str">
        <f t="shared" si="68"/>
        <v/>
      </c>
      <c r="DK7" s="4" t="str">
        <f t="shared" si="69"/>
        <v/>
      </c>
      <c r="DL7" s="3">
        <v>3.04</v>
      </c>
      <c r="DM7" s="3">
        <f t="shared" si="127"/>
        <v>3.04</v>
      </c>
      <c r="DN7" s="4">
        <f t="shared" si="70"/>
        <v>3.04</v>
      </c>
      <c r="DO7" s="3">
        <v>1.37</v>
      </c>
      <c r="DP7" s="3">
        <f t="shared" si="71"/>
        <v>1.37</v>
      </c>
      <c r="DQ7" s="4">
        <f t="shared" si="72"/>
        <v>1.37</v>
      </c>
      <c r="DR7" s="3">
        <v>2.59</v>
      </c>
      <c r="DS7" s="3">
        <f t="shared" si="73"/>
        <v>2.59</v>
      </c>
      <c r="DT7" s="4">
        <f t="shared" si="74"/>
        <v>2.59</v>
      </c>
      <c r="DU7" s="3">
        <v>0.39</v>
      </c>
      <c r="DV7" s="3">
        <f t="shared" si="75"/>
        <v>0.39</v>
      </c>
      <c r="DW7" s="4" t="str">
        <f t="shared" si="76"/>
        <v/>
      </c>
      <c r="DX7" s="3">
        <v>3.04</v>
      </c>
      <c r="DY7" s="3">
        <f t="shared" si="77"/>
        <v>3.04</v>
      </c>
      <c r="DZ7" s="21">
        <f t="shared" si="78"/>
        <v>3.04</v>
      </c>
      <c r="EB7" s="20" t="s">
        <v>63</v>
      </c>
      <c r="EC7" s="3">
        <v>0.53</v>
      </c>
      <c r="ED7" s="3">
        <f t="shared" si="79"/>
        <v>0.53</v>
      </c>
      <c r="EE7" s="4">
        <f t="shared" si="80"/>
        <v>0.53</v>
      </c>
      <c r="EF7" s="3">
        <v>4.18</v>
      </c>
      <c r="EG7" s="3">
        <f t="shared" si="81"/>
        <v>4.18</v>
      </c>
      <c r="EH7" s="4">
        <f t="shared" si="82"/>
        <v>4.18</v>
      </c>
      <c r="EI7" s="3">
        <v>0.39</v>
      </c>
      <c r="EJ7" s="3">
        <f t="shared" si="83"/>
        <v>0.39</v>
      </c>
      <c r="EK7" s="4">
        <f t="shared" si="84"/>
        <v>0.39</v>
      </c>
      <c r="EL7" s="3">
        <v>1.61</v>
      </c>
      <c r="EM7" s="3">
        <f t="shared" si="85"/>
        <v>1.61</v>
      </c>
      <c r="EN7" s="4">
        <f t="shared" si="86"/>
        <v>1.61</v>
      </c>
      <c r="EO7" s="3">
        <v>2.21</v>
      </c>
      <c r="EP7" s="3">
        <f t="shared" si="87"/>
        <v>2.21</v>
      </c>
      <c r="EQ7" s="4">
        <f t="shared" si="88"/>
        <v>2.21</v>
      </c>
      <c r="ER7" s="3">
        <v>1.89</v>
      </c>
      <c r="ES7" s="3">
        <f t="shared" si="89"/>
        <v>1.89</v>
      </c>
      <c r="ET7" s="4">
        <f t="shared" si="90"/>
        <v>1.89</v>
      </c>
      <c r="EU7" s="3">
        <v>0.73</v>
      </c>
      <c r="EV7" s="3">
        <f t="shared" si="91"/>
        <v>0.73</v>
      </c>
      <c r="EW7" s="4">
        <f t="shared" si="92"/>
        <v>0.73</v>
      </c>
      <c r="EX7" s="3">
        <v>1.17</v>
      </c>
      <c r="EY7" s="3">
        <f t="shared" si="93"/>
        <v>1.17</v>
      </c>
      <c r="EZ7" s="21">
        <f t="shared" si="94"/>
        <v>1.17</v>
      </c>
      <c r="FB7" s="20" t="s">
        <v>64</v>
      </c>
      <c r="FC7" s="3">
        <v>12.69</v>
      </c>
      <c r="FD7" s="3">
        <f t="shared" si="95"/>
        <v>12.69</v>
      </c>
      <c r="FE7" s="4">
        <f t="shared" si="96"/>
        <v>12.69</v>
      </c>
      <c r="FF7" s="3">
        <v>1.37</v>
      </c>
      <c r="FG7" s="3">
        <f t="shared" si="97"/>
        <v>1.37</v>
      </c>
      <c r="FH7" s="4">
        <f t="shared" si="98"/>
        <v>1.37</v>
      </c>
      <c r="FI7" s="3">
        <v>1.89</v>
      </c>
      <c r="FJ7" s="3">
        <f t="shared" si="99"/>
        <v>1.89</v>
      </c>
      <c r="FK7" s="4">
        <f t="shared" si="100"/>
        <v>1.89</v>
      </c>
      <c r="FL7" s="3">
        <v>3.56</v>
      </c>
      <c r="FM7" s="3">
        <f t="shared" si="101"/>
        <v>3.56</v>
      </c>
      <c r="FN7" s="4">
        <f t="shared" si="102"/>
        <v>3.56</v>
      </c>
      <c r="FO7" s="3">
        <v>1.89</v>
      </c>
      <c r="FP7" s="3">
        <f t="shared" si="103"/>
        <v>1.89</v>
      </c>
      <c r="FQ7" s="4">
        <f t="shared" si="104"/>
        <v>1.89</v>
      </c>
      <c r="FR7" s="3">
        <v>2.21</v>
      </c>
      <c r="FS7" s="3">
        <f t="shared" si="105"/>
        <v>2.21</v>
      </c>
      <c r="FT7" s="4">
        <f t="shared" si="106"/>
        <v>2.21</v>
      </c>
      <c r="FU7" s="3">
        <v>0.24</v>
      </c>
      <c r="FV7" s="3">
        <f t="shared" si="107"/>
        <v>0.24</v>
      </c>
      <c r="FW7" s="4">
        <f t="shared" si="108"/>
        <v>0.24</v>
      </c>
      <c r="FX7" s="3">
        <v>0.45</v>
      </c>
      <c r="FY7" s="3">
        <f t="shared" si="109"/>
        <v>0.45</v>
      </c>
      <c r="FZ7" s="21" t="str">
        <f t="shared" si="110"/>
        <v/>
      </c>
      <c r="GB7" s="20" t="s">
        <v>65</v>
      </c>
      <c r="GC7" s="3">
        <v>0.85</v>
      </c>
      <c r="GD7" s="3">
        <f t="shared" si="111"/>
        <v>0.85</v>
      </c>
      <c r="GE7" s="4">
        <f t="shared" si="112"/>
        <v>0.85</v>
      </c>
      <c r="GF7" s="3">
        <v>0.45</v>
      </c>
      <c r="GG7" s="3">
        <f t="shared" si="113"/>
        <v>0.45</v>
      </c>
      <c r="GH7" s="4">
        <f t="shared" si="114"/>
        <v>0.45</v>
      </c>
      <c r="GI7" s="3">
        <v>0.15</v>
      </c>
      <c r="GJ7" s="3">
        <f t="shared" si="115"/>
        <v>0.15</v>
      </c>
      <c r="GK7" s="4">
        <f t="shared" si="116"/>
        <v>0.15</v>
      </c>
      <c r="GL7" s="3">
        <v>0</v>
      </c>
      <c r="GM7" s="3" t="str">
        <f t="shared" si="117"/>
        <v/>
      </c>
      <c r="GN7" s="4" t="str">
        <f t="shared" si="118"/>
        <v/>
      </c>
      <c r="GO7" s="3">
        <v>1.89</v>
      </c>
      <c r="GP7" s="3">
        <f t="shared" si="119"/>
        <v>1.89</v>
      </c>
      <c r="GQ7" s="4">
        <f t="shared" si="120"/>
        <v>1.89</v>
      </c>
      <c r="GR7" s="3">
        <v>0.73</v>
      </c>
      <c r="GS7" s="3">
        <f t="shared" si="121"/>
        <v>0.73</v>
      </c>
      <c r="GT7" s="4">
        <f t="shared" si="122"/>
        <v>0.73</v>
      </c>
      <c r="GU7" s="3">
        <v>0.28000000000000003</v>
      </c>
      <c r="GV7" s="3">
        <f t="shared" si="123"/>
        <v>0.28000000000000003</v>
      </c>
      <c r="GW7" s="4">
        <f t="shared" si="124"/>
        <v>0.28000000000000003</v>
      </c>
      <c r="GX7" s="3">
        <v>1.89</v>
      </c>
      <c r="GY7" s="3">
        <f t="shared" si="125"/>
        <v>1.89</v>
      </c>
      <c r="GZ7" s="21">
        <f t="shared" si="126"/>
        <v>1.89</v>
      </c>
    </row>
    <row r="8" spans="2:208">
      <c r="B8" s="20" t="s">
        <v>66</v>
      </c>
      <c r="C8" s="3">
        <v>3.02</v>
      </c>
      <c r="D8" s="3">
        <f t="shared" si="0"/>
        <v>3.02</v>
      </c>
      <c r="E8" s="4">
        <f t="shared" si="1"/>
        <v>3.02</v>
      </c>
      <c r="F8" s="3">
        <v>4.4000000000000004</v>
      </c>
      <c r="G8" s="3">
        <f t="shared" si="2"/>
        <v>4.4000000000000004</v>
      </c>
      <c r="H8" s="4">
        <f t="shared" si="3"/>
        <v>4.4000000000000004</v>
      </c>
      <c r="I8" s="3">
        <v>5.3</v>
      </c>
      <c r="J8" s="3">
        <f t="shared" si="4"/>
        <v>5.3</v>
      </c>
      <c r="K8" s="4">
        <f t="shared" si="5"/>
        <v>5.3</v>
      </c>
      <c r="L8" s="3">
        <v>5.63</v>
      </c>
      <c r="M8" s="3">
        <f t="shared" si="6"/>
        <v>5.63</v>
      </c>
      <c r="N8" s="4">
        <f t="shared" si="7"/>
        <v>5.63</v>
      </c>
      <c r="O8" s="3">
        <v>4.3499999999999996</v>
      </c>
      <c r="P8" s="3">
        <f t="shared" si="8"/>
        <v>4.3499999999999996</v>
      </c>
      <c r="Q8" s="4">
        <f t="shared" si="9"/>
        <v>4.3499999999999996</v>
      </c>
      <c r="R8" s="3">
        <v>4.83</v>
      </c>
      <c r="S8" s="3">
        <f t="shared" si="10"/>
        <v>4.83</v>
      </c>
      <c r="T8" s="4">
        <f t="shared" si="11"/>
        <v>4.83</v>
      </c>
      <c r="U8" s="3">
        <v>1.7</v>
      </c>
      <c r="V8" s="3">
        <f t="shared" si="12"/>
        <v>1.7</v>
      </c>
      <c r="W8" s="4">
        <f t="shared" si="13"/>
        <v>1.7</v>
      </c>
      <c r="X8" s="3">
        <v>2.2599999999999998</v>
      </c>
      <c r="Y8" s="3">
        <f t="shared" si="14"/>
        <v>2.2599999999999998</v>
      </c>
      <c r="Z8" s="21">
        <f t="shared" si="15"/>
        <v>2.2599999999999998</v>
      </c>
      <c r="AB8" s="20" t="s">
        <v>67</v>
      </c>
      <c r="AC8" s="3">
        <v>2.86</v>
      </c>
      <c r="AD8" s="3">
        <f t="shared" si="16"/>
        <v>2.86</v>
      </c>
      <c r="AE8" s="4">
        <f t="shared" si="17"/>
        <v>2.86</v>
      </c>
      <c r="AF8" s="3">
        <v>5.47</v>
      </c>
      <c r="AG8" s="3">
        <f t="shared" si="18"/>
        <v>5.47</v>
      </c>
      <c r="AH8" s="4">
        <f t="shared" si="19"/>
        <v>5.47</v>
      </c>
      <c r="AI8" s="3">
        <v>5.23</v>
      </c>
      <c r="AJ8" s="3">
        <f t="shared" si="20"/>
        <v>5.23</v>
      </c>
      <c r="AK8" s="4">
        <f t="shared" si="21"/>
        <v>5.23</v>
      </c>
      <c r="AL8" s="3">
        <v>6.05</v>
      </c>
      <c r="AM8" s="3">
        <f t="shared" si="22"/>
        <v>6.05</v>
      </c>
      <c r="AN8" s="4">
        <f t="shared" si="23"/>
        <v>6.05</v>
      </c>
      <c r="AO8" s="3">
        <v>0</v>
      </c>
      <c r="AP8" s="3" t="str">
        <f t="shared" si="24"/>
        <v/>
      </c>
      <c r="AQ8" s="4" t="str">
        <f t="shared" si="25"/>
        <v/>
      </c>
      <c r="AR8" s="3">
        <v>3.75</v>
      </c>
      <c r="AS8" s="3">
        <f t="shared" si="26"/>
        <v>3.75</v>
      </c>
      <c r="AT8" s="4">
        <f t="shared" si="27"/>
        <v>3.75</v>
      </c>
      <c r="AU8" s="3">
        <v>3.09</v>
      </c>
      <c r="AV8" s="3">
        <f t="shared" si="28"/>
        <v>3.09</v>
      </c>
      <c r="AW8" s="4">
        <f t="shared" si="29"/>
        <v>3.09</v>
      </c>
      <c r="AX8" s="3">
        <v>0.97</v>
      </c>
      <c r="AY8" s="3">
        <f t="shared" si="30"/>
        <v>0.97</v>
      </c>
      <c r="AZ8" s="21" t="str">
        <f t="shared" si="31"/>
        <v/>
      </c>
      <c r="BB8" s="20" t="s">
        <v>68</v>
      </c>
      <c r="BC8" s="3">
        <v>3.9</v>
      </c>
      <c r="BD8" s="3">
        <f t="shared" si="32"/>
        <v>3.9</v>
      </c>
      <c r="BE8" s="4">
        <f t="shared" si="33"/>
        <v>3.9</v>
      </c>
      <c r="BF8" s="3">
        <v>2.54</v>
      </c>
      <c r="BG8" s="3">
        <f t="shared" si="34"/>
        <v>2.54</v>
      </c>
      <c r="BH8" s="4" t="str">
        <f t="shared" si="35"/>
        <v/>
      </c>
      <c r="BI8" s="3">
        <v>4.1399999999999997</v>
      </c>
      <c r="BJ8" s="3">
        <f t="shared" si="36"/>
        <v>4.1399999999999997</v>
      </c>
      <c r="BK8" s="4">
        <f t="shared" si="37"/>
        <v>4.1399999999999997</v>
      </c>
      <c r="BL8" s="3">
        <v>4.3099999999999996</v>
      </c>
      <c r="BM8" s="3">
        <f t="shared" si="38"/>
        <v>4.3099999999999996</v>
      </c>
      <c r="BN8" s="4">
        <f t="shared" si="39"/>
        <v>4.3099999999999996</v>
      </c>
      <c r="BO8" s="3">
        <v>3.61</v>
      </c>
      <c r="BP8" s="3">
        <f t="shared" si="40"/>
        <v>3.61</v>
      </c>
      <c r="BQ8" s="4">
        <f t="shared" si="41"/>
        <v>3.61</v>
      </c>
      <c r="BR8" s="3">
        <v>3.14</v>
      </c>
      <c r="BS8" s="3">
        <f t="shared" si="42"/>
        <v>3.14</v>
      </c>
      <c r="BT8" s="4">
        <f t="shared" si="43"/>
        <v>3.14</v>
      </c>
      <c r="BU8" s="3">
        <v>1.63</v>
      </c>
      <c r="BV8" s="3">
        <f t="shared" si="44"/>
        <v>1.63</v>
      </c>
      <c r="BW8" s="4">
        <f t="shared" si="45"/>
        <v>1.63</v>
      </c>
      <c r="BX8" s="3">
        <v>1.21</v>
      </c>
      <c r="BY8" s="3">
        <f t="shared" si="46"/>
        <v>1.21</v>
      </c>
      <c r="BZ8" s="21">
        <f t="shared" si="47"/>
        <v>1.21</v>
      </c>
      <c r="CB8" s="20" t="s">
        <v>69</v>
      </c>
      <c r="CC8" s="3">
        <v>4.16</v>
      </c>
      <c r="CD8" s="3">
        <f t="shared" si="48"/>
        <v>4.16</v>
      </c>
      <c r="CE8" s="4">
        <f t="shared" si="49"/>
        <v>4.16</v>
      </c>
      <c r="CF8" s="3">
        <v>2.66</v>
      </c>
      <c r="CG8" s="3">
        <f t="shared" si="50"/>
        <v>2.66</v>
      </c>
      <c r="CH8" s="4" t="str">
        <f t="shared" si="51"/>
        <v/>
      </c>
      <c r="CI8" s="3">
        <v>3.79</v>
      </c>
      <c r="CJ8" s="3">
        <f t="shared" si="52"/>
        <v>3.79</v>
      </c>
      <c r="CK8" s="4">
        <f t="shared" si="53"/>
        <v>3.79</v>
      </c>
      <c r="CL8" s="3">
        <v>6.2</v>
      </c>
      <c r="CM8" s="3">
        <f t="shared" si="54"/>
        <v>6.2</v>
      </c>
      <c r="CN8" s="4" t="str">
        <f t="shared" si="55"/>
        <v/>
      </c>
      <c r="CO8" s="3">
        <v>5.46</v>
      </c>
      <c r="CP8" s="3">
        <f t="shared" si="56"/>
        <v>5.46</v>
      </c>
      <c r="CQ8" s="4">
        <f t="shared" si="57"/>
        <v>5.46</v>
      </c>
      <c r="CR8" s="3">
        <v>1.85</v>
      </c>
      <c r="CS8" s="3">
        <f t="shared" si="58"/>
        <v>1.85</v>
      </c>
      <c r="CT8" s="4">
        <f t="shared" si="59"/>
        <v>1.85</v>
      </c>
      <c r="CU8" s="3">
        <v>3.75</v>
      </c>
      <c r="CV8" s="3">
        <f t="shared" si="60"/>
        <v>3.75</v>
      </c>
      <c r="CW8" s="4">
        <f t="shared" si="61"/>
        <v>3.75</v>
      </c>
      <c r="CX8" s="3">
        <v>3.17</v>
      </c>
      <c r="CY8" s="3">
        <f t="shared" si="62"/>
        <v>3.17</v>
      </c>
      <c r="CZ8" s="21">
        <f t="shared" si="63"/>
        <v>3.17</v>
      </c>
      <c r="DB8" s="20" t="s">
        <v>70</v>
      </c>
      <c r="DC8" s="3">
        <v>2.59</v>
      </c>
      <c r="DD8" s="3">
        <f t="shared" si="64"/>
        <v>2.59</v>
      </c>
      <c r="DE8" s="4">
        <f t="shared" si="65"/>
        <v>2.59</v>
      </c>
      <c r="DF8" s="3">
        <v>1.17</v>
      </c>
      <c r="DG8" s="3">
        <f t="shared" si="66"/>
        <v>1.17</v>
      </c>
      <c r="DH8" s="4">
        <f t="shared" si="67"/>
        <v>1.17</v>
      </c>
      <c r="DI8" s="3">
        <v>2.59</v>
      </c>
      <c r="DJ8" s="3">
        <f t="shared" si="68"/>
        <v>2.59</v>
      </c>
      <c r="DK8" s="4">
        <f t="shared" si="69"/>
        <v>2.59</v>
      </c>
      <c r="DL8" s="3">
        <v>3.56</v>
      </c>
      <c r="DM8" s="3">
        <f t="shared" si="127"/>
        <v>3.56</v>
      </c>
      <c r="DN8" s="4">
        <f t="shared" si="70"/>
        <v>3.56</v>
      </c>
      <c r="DO8" s="3">
        <v>1.37</v>
      </c>
      <c r="DP8" s="3">
        <f t="shared" si="71"/>
        <v>1.37</v>
      </c>
      <c r="DQ8" s="4">
        <f t="shared" si="72"/>
        <v>1.37</v>
      </c>
      <c r="DR8" s="3">
        <v>1.37</v>
      </c>
      <c r="DS8" s="3">
        <f t="shared" si="73"/>
        <v>1.37</v>
      </c>
      <c r="DT8" s="4">
        <f t="shared" si="74"/>
        <v>1.37</v>
      </c>
      <c r="DU8" s="3">
        <v>1.37</v>
      </c>
      <c r="DV8" s="3">
        <f t="shared" si="75"/>
        <v>1.37</v>
      </c>
      <c r="DW8" s="4">
        <f t="shared" si="76"/>
        <v>1.37</v>
      </c>
      <c r="DX8" s="3">
        <v>3.04</v>
      </c>
      <c r="DY8" s="3">
        <f t="shared" si="77"/>
        <v>3.04</v>
      </c>
      <c r="DZ8" s="21">
        <f t="shared" si="78"/>
        <v>3.04</v>
      </c>
      <c r="EB8" s="20" t="s">
        <v>71</v>
      </c>
      <c r="EC8" s="3">
        <v>0.53</v>
      </c>
      <c r="ED8" s="3">
        <f t="shared" si="79"/>
        <v>0.53</v>
      </c>
      <c r="EE8" s="4">
        <f t="shared" si="80"/>
        <v>0.53</v>
      </c>
      <c r="EF8" s="3">
        <v>0.45</v>
      </c>
      <c r="EG8" s="3">
        <f t="shared" si="81"/>
        <v>0.45</v>
      </c>
      <c r="EH8" s="4" t="str">
        <f t="shared" si="82"/>
        <v/>
      </c>
      <c r="EI8" s="3">
        <v>0.33</v>
      </c>
      <c r="EJ8" s="3">
        <f t="shared" si="83"/>
        <v>0.33</v>
      </c>
      <c r="EK8" s="4">
        <f t="shared" si="84"/>
        <v>0.33</v>
      </c>
      <c r="EL8" s="3">
        <v>1.61</v>
      </c>
      <c r="EM8" s="3">
        <f t="shared" si="85"/>
        <v>1.61</v>
      </c>
      <c r="EN8" s="4">
        <f t="shared" si="86"/>
        <v>1.61</v>
      </c>
      <c r="EO8" s="3">
        <v>2.21</v>
      </c>
      <c r="EP8" s="3">
        <f t="shared" si="87"/>
        <v>2.21</v>
      </c>
      <c r="EQ8" s="4">
        <f t="shared" si="88"/>
        <v>2.21</v>
      </c>
      <c r="ER8" s="3">
        <v>1.89</v>
      </c>
      <c r="ES8" s="3">
        <f t="shared" si="89"/>
        <v>1.89</v>
      </c>
      <c r="ET8" s="4">
        <f t="shared" si="90"/>
        <v>1.89</v>
      </c>
      <c r="EU8" s="3">
        <v>0.62</v>
      </c>
      <c r="EV8" s="3">
        <f t="shared" si="91"/>
        <v>0.62</v>
      </c>
      <c r="EW8" s="4">
        <f t="shared" si="92"/>
        <v>0.62</v>
      </c>
      <c r="EX8" s="3">
        <v>1.17</v>
      </c>
      <c r="EY8" s="3">
        <f t="shared" si="93"/>
        <v>1.17</v>
      </c>
      <c r="EZ8" s="21">
        <f t="shared" si="94"/>
        <v>1.17</v>
      </c>
      <c r="FB8" s="20" t="s">
        <v>72</v>
      </c>
      <c r="FC8" s="3">
        <v>10.83</v>
      </c>
      <c r="FD8" s="3">
        <f t="shared" si="95"/>
        <v>10.83</v>
      </c>
      <c r="FE8" s="4">
        <f t="shared" si="96"/>
        <v>10.83</v>
      </c>
      <c r="FF8" s="3">
        <v>0.85</v>
      </c>
      <c r="FG8" s="3">
        <f t="shared" si="97"/>
        <v>0.85</v>
      </c>
      <c r="FH8" s="4" t="str">
        <f t="shared" si="98"/>
        <v/>
      </c>
      <c r="FI8" s="3">
        <v>1.61</v>
      </c>
      <c r="FJ8" s="3">
        <f t="shared" si="99"/>
        <v>1.61</v>
      </c>
      <c r="FK8" s="4">
        <f t="shared" si="100"/>
        <v>1.61</v>
      </c>
      <c r="FL8" s="3">
        <v>3.56</v>
      </c>
      <c r="FM8" s="3">
        <f t="shared" si="101"/>
        <v>3.56</v>
      </c>
      <c r="FN8" s="4">
        <f t="shared" si="102"/>
        <v>3.56</v>
      </c>
      <c r="FO8" s="3">
        <v>1.61</v>
      </c>
      <c r="FP8" s="3">
        <f t="shared" si="103"/>
        <v>1.61</v>
      </c>
      <c r="FQ8" s="4">
        <f t="shared" si="104"/>
        <v>1.61</v>
      </c>
      <c r="FR8" s="3">
        <v>3.56</v>
      </c>
      <c r="FS8" s="3">
        <f t="shared" si="105"/>
        <v>3.56</v>
      </c>
      <c r="FT8" s="4" t="str">
        <f t="shared" si="106"/>
        <v/>
      </c>
      <c r="FU8" s="3">
        <v>0.2</v>
      </c>
      <c r="FV8" s="3">
        <f t="shared" si="107"/>
        <v>0.2</v>
      </c>
      <c r="FW8" s="4">
        <f t="shared" si="108"/>
        <v>0.2</v>
      </c>
      <c r="FX8" s="3">
        <v>0.24</v>
      </c>
      <c r="FY8" s="3">
        <f t="shared" si="109"/>
        <v>0.24</v>
      </c>
      <c r="FZ8" s="21">
        <f t="shared" si="110"/>
        <v>0.24</v>
      </c>
      <c r="GB8" s="20" t="s">
        <v>73</v>
      </c>
      <c r="GC8" s="3">
        <v>0</v>
      </c>
      <c r="GD8" s="3" t="str">
        <f t="shared" si="111"/>
        <v/>
      </c>
      <c r="GE8" s="4" t="str">
        <f t="shared" si="112"/>
        <v/>
      </c>
      <c r="GF8" s="3">
        <v>1.37</v>
      </c>
      <c r="GG8" s="3">
        <f t="shared" si="113"/>
        <v>1.37</v>
      </c>
      <c r="GH8" s="4">
        <f t="shared" si="114"/>
        <v>1.37</v>
      </c>
      <c r="GI8" s="3">
        <v>0.13</v>
      </c>
      <c r="GJ8" s="3">
        <f t="shared" si="115"/>
        <v>0.13</v>
      </c>
      <c r="GK8" s="4">
        <f t="shared" si="116"/>
        <v>0.13</v>
      </c>
      <c r="GL8" s="3">
        <v>9.24</v>
      </c>
      <c r="GM8" s="3">
        <f t="shared" si="117"/>
        <v>9.24</v>
      </c>
      <c r="GN8" s="4" t="str">
        <f t="shared" si="118"/>
        <v/>
      </c>
      <c r="GO8" s="3">
        <v>0.85</v>
      </c>
      <c r="GP8" s="3">
        <f t="shared" si="119"/>
        <v>0.85</v>
      </c>
      <c r="GQ8" s="4" t="str">
        <f t="shared" si="120"/>
        <v/>
      </c>
      <c r="GR8" s="3">
        <v>0.33</v>
      </c>
      <c r="GS8" s="3">
        <f t="shared" si="121"/>
        <v>0.33</v>
      </c>
      <c r="GT8" s="4" t="str">
        <f t="shared" si="122"/>
        <v/>
      </c>
      <c r="GU8" s="3">
        <v>0.28000000000000003</v>
      </c>
      <c r="GV8" s="3">
        <f t="shared" si="123"/>
        <v>0.28000000000000003</v>
      </c>
      <c r="GW8" s="4">
        <f t="shared" si="124"/>
        <v>0.28000000000000003</v>
      </c>
      <c r="GX8" s="3">
        <v>3.56</v>
      </c>
      <c r="GY8" s="3">
        <f t="shared" si="125"/>
        <v>3.56</v>
      </c>
      <c r="GZ8" s="21" t="str">
        <f t="shared" si="126"/>
        <v/>
      </c>
    </row>
    <row r="9" spans="2:208">
      <c r="B9" s="20" t="s">
        <v>74</v>
      </c>
      <c r="C9" s="3">
        <v>2.96</v>
      </c>
      <c r="D9" s="3">
        <f t="shared" si="0"/>
        <v>2.96</v>
      </c>
      <c r="E9" s="4">
        <f t="shared" si="1"/>
        <v>2.96</v>
      </c>
      <c r="F9" s="3">
        <v>4.42</v>
      </c>
      <c r="G9" s="3">
        <f t="shared" si="2"/>
        <v>4.42</v>
      </c>
      <c r="H9" s="4">
        <f t="shared" si="3"/>
        <v>4.42</v>
      </c>
      <c r="I9" s="3">
        <v>2.56</v>
      </c>
      <c r="J9" s="3">
        <f t="shared" si="4"/>
        <v>2.56</v>
      </c>
      <c r="K9" s="4" t="str">
        <f t="shared" si="5"/>
        <v/>
      </c>
      <c r="L9" s="3">
        <v>5.62</v>
      </c>
      <c r="M9" s="3">
        <f t="shared" si="6"/>
        <v>5.62</v>
      </c>
      <c r="N9" s="4">
        <f t="shared" si="7"/>
        <v>5.62</v>
      </c>
      <c r="O9" s="3">
        <v>4.3099999999999996</v>
      </c>
      <c r="P9" s="3">
        <f t="shared" si="8"/>
        <v>4.3099999999999996</v>
      </c>
      <c r="Q9" s="4">
        <f t="shared" si="9"/>
        <v>4.3099999999999996</v>
      </c>
      <c r="R9" s="3">
        <v>4.7699999999999996</v>
      </c>
      <c r="S9" s="3">
        <f t="shared" si="10"/>
        <v>4.7699999999999996</v>
      </c>
      <c r="T9" s="4">
        <f t="shared" si="11"/>
        <v>4.7699999999999996</v>
      </c>
      <c r="U9" s="3">
        <v>0.1</v>
      </c>
      <c r="V9" s="3">
        <f t="shared" si="12"/>
        <v>0.1</v>
      </c>
      <c r="W9" s="4" t="str">
        <f t="shared" si="13"/>
        <v/>
      </c>
      <c r="X9" s="3">
        <v>2.2599999999999998</v>
      </c>
      <c r="Y9" s="3">
        <f t="shared" si="14"/>
        <v>2.2599999999999998</v>
      </c>
      <c r="Z9" s="21">
        <f t="shared" si="15"/>
        <v>2.2599999999999998</v>
      </c>
      <c r="AB9" s="20" t="s">
        <v>75</v>
      </c>
      <c r="AC9" s="3">
        <v>2.85</v>
      </c>
      <c r="AD9" s="3">
        <f t="shared" si="16"/>
        <v>2.85</v>
      </c>
      <c r="AE9" s="4">
        <f t="shared" si="17"/>
        <v>2.85</v>
      </c>
      <c r="AF9" s="3">
        <v>5.45</v>
      </c>
      <c r="AG9" s="3">
        <f t="shared" si="18"/>
        <v>5.45</v>
      </c>
      <c r="AH9" s="4">
        <f t="shared" si="19"/>
        <v>5.45</v>
      </c>
      <c r="AI9" s="3">
        <v>5.1100000000000003</v>
      </c>
      <c r="AJ9" s="3">
        <f t="shared" si="20"/>
        <v>5.1100000000000003</v>
      </c>
      <c r="AK9" s="4">
        <f t="shared" si="21"/>
        <v>5.1100000000000003</v>
      </c>
      <c r="AL9" s="3">
        <v>4.9800000000000004</v>
      </c>
      <c r="AM9" s="3">
        <f t="shared" si="22"/>
        <v>4.9800000000000004</v>
      </c>
      <c r="AN9" s="4">
        <f t="shared" si="23"/>
        <v>4.9800000000000004</v>
      </c>
      <c r="AO9" s="3">
        <v>0</v>
      </c>
      <c r="AP9" s="3" t="str">
        <f t="shared" si="24"/>
        <v/>
      </c>
      <c r="AQ9" s="4" t="str">
        <f t="shared" si="25"/>
        <v/>
      </c>
      <c r="AR9" s="3">
        <v>2.59</v>
      </c>
      <c r="AS9" s="3">
        <f t="shared" si="26"/>
        <v>2.59</v>
      </c>
      <c r="AT9" s="4" t="str">
        <f t="shared" si="27"/>
        <v/>
      </c>
      <c r="AU9" s="3">
        <v>3.06</v>
      </c>
      <c r="AV9" s="3">
        <f t="shared" si="28"/>
        <v>3.06</v>
      </c>
      <c r="AW9" s="4">
        <f t="shared" si="29"/>
        <v>3.06</v>
      </c>
      <c r="AX9" s="3">
        <v>3.48</v>
      </c>
      <c r="AY9" s="3">
        <f t="shared" si="30"/>
        <v>3.48</v>
      </c>
      <c r="AZ9" s="21">
        <f t="shared" si="31"/>
        <v>3.48</v>
      </c>
      <c r="BB9" s="20" t="s">
        <v>76</v>
      </c>
      <c r="BC9" s="3">
        <v>3.95</v>
      </c>
      <c r="BD9" s="3">
        <f t="shared" si="32"/>
        <v>3.95</v>
      </c>
      <c r="BE9" s="4">
        <f t="shared" si="33"/>
        <v>3.95</v>
      </c>
      <c r="BF9" s="3">
        <v>4.25</v>
      </c>
      <c r="BG9" s="3">
        <f t="shared" si="34"/>
        <v>4.25</v>
      </c>
      <c r="BH9" s="4">
        <f t="shared" si="35"/>
        <v>4.25</v>
      </c>
      <c r="BI9" s="3">
        <v>4.18</v>
      </c>
      <c r="BJ9" s="3">
        <f t="shared" si="36"/>
        <v>4.18</v>
      </c>
      <c r="BK9" s="4">
        <f t="shared" si="37"/>
        <v>4.18</v>
      </c>
      <c r="BL9" s="3">
        <v>4.29</v>
      </c>
      <c r="BM9" s="3">
        <f t="shared" si="38"/>
        <v>4.29</v>
      </c>
      <c r="BN9" s="4">
        <f t="shared" si="39"/>
        <v>4.29</v>
      </c>
      <c r="BO9" s="3">
        <v>3.59</v>
      </c>
      <c r="BP9" s="3">
        <f t="shared" si="40"/>
        <v>3.59</v>
      </c>
      <c r="BQ9" s="4">
        <f t="shared" si="41"/>
        <v>3.59</v>
      </c>
      <c r="BR9" s="3">
        <v>3.12</v>
      </c>
      <c r="BS9" s="3">
        <f t="shared" si="42"/>
        <v>3.12</v>
      </c>
      <c r="BT9" s="4">
        <f t="shared" si="43"/>
        <v>3.12</v>
      </c>
      <c r="BU9" s="3">
        <v>1.63</v>
      </c>
      <c r="BV9" s="3">
        <f t="shared" si="44"/>
        <v>1.63</v>
      </c>
      <c r="BW9" s="4">
        <f t="shared" si="45"/>
        <v>1.63</v>
      </c>
      <c r="BX9" s="3">
        <v>1.32</v>
      </c>
      <c r="BY9" s="3">
        <f t="shared" si="46"/>
        <v>1.32</v>
      </c>
      <c r="BZ9" s="21">
        <f t="shared" si="47"/>
        <v>1.32</v>
      </c>
      <c r="CB9" s="20" t="s">
        <v>77</v>
      </c>
      <c r="CC9" s="3">
        <v>4.1399999999999997</v>
      </c>
      <c r="CD9" s="3">
        <f t="shared" si="48"/>
        <v>4.1399999999999997</v>
      </c>
      <c r="CE9" s="4">
        <f t="shared" si="49"/>
        <v>4.1399999999999997</v>
      </c>
      <c r="CF9" s="3">
        <v>6.11</v>
      </c>
      <c r="CG9" s="3">
        <f t="shared" si="50"/>
        <v>6.11</v>
      </c>
      <c r="CH9" s="4">
        <f t="shared" si="51"/>
        <v>6.11</v>
      </c>
      <c r="CI9" s="3">
        <v>3.77</v>
      </c>
      <c r="CJ9" s="3">
        <f t="shared" si="52"/>
        <v>3.77</v>
      </c>
      <c r="CK9" s="4">
        <f t="shared" si="53"/>
        <v>3.77</v>
      </c>
      <c r="CL9" s="3">
        <v>0</v>
      </c>
      <c r="CM9" s="3" t="str">
        <f t="shared" si="54"/>
        <v/>
      </c>
      <c r="CN9" s="4" t="str">
        <f t="shared" si="55"/>
        <v/>
      </c>
      <c r="CO9" s="3">
        <v>5.49</v>
      </c>
      <c r="CP9" s="3">
        <f t="shared" si="56"/>
        <v>5.49</v>
      </c>
      <c r="CQ9" s="4">
        <f t="shared" si="57"/>
        <v>5.49</v>
      </c>
      <c r="CR9" s="3">
        <v>1.85</v>
      </c>
      <c r="CS9" s="3">
        <f t="shared" si="58"/>
        <v>1.85</v>
      </c>
      <c r="CT9" s="4">
        <f t="shared" si="59"/>
        <v>1.85</v>
      </c>
      <c r="CU9" s="3">
        <v>3.72</v>
      </c>
      <c r="CV9" s="3">
        <f t="shared" si="60"/>
        <v>3.72</v>
      </c>
      <c r="CW9" s="4">
        <f t="shared" si="61"/>
        <v>3.72</v>
      </c>
      <c r="CX9" s="3">
        <v>3.17</v>
      </c>
      <c r="CY9" s="3">
        <f t="shared" si="62"/>
        <v>3.17</v>
      </c>
      <c r="CZ9" s="21">
        <f t="shared" si="63"/>
        <v>3.17</v>
      </c>
      <c r="DB9" s="20" t="s">
        <v>78</v>
      </c>
      <c r="DC9" s="3">
        <v>2.59</v>
      </c>
      <c r="DD9" s="3">
        <f t="shared" si="64"/>
        <v>2.59</v>
      </c>
      <c r="DE9" s="4">
        <f t="shared" si="65"/>
        <v>2.59</v>
      </c>
      <c r="DF9" s="3">
        <v>1.17</v>
      </c>
      <c r="DG9" s="3">
        <f t="shared" si="66"/>
        <v>1.17</v>
      </c>
      <c r="DH9" s="4">
        <f t="shared" si="67"/>
        <v>1.17</v>
      </c>
      <c r="DI9" s="3">
        <v>2.59</v>
      </c>
      <c r="DJ9" s="3">
        <f t="shared" si="68"/>
        <v>2.59</v>
      </c>
      <c r="DK9" s="4">
        <f t="shared" si="69"/>
        <v>2.59</v>
      </c>
      <c r="DL9" s="3">
        <v>3.56</v>
      </c>
      <c r="DM9" s="3">
        <f t="shared" si="127"/>
        <v>3.56</v>
      </c>
      <c r="DN9" s="4">
        <f t="shared" si="70"/>
        <v>3.56</v>
      </c>
      <c r="DO9" s="3">
        <v>1.37</v>
      </c>
      <c r="DP9" s="3">
        <f t="shared" si="71"/>
        <v>1.37</v>
      </c>
      <c r="DQ9" s="4">
        <f t="shared" si="72"/>
        <v>1.37</v>
      </c>
      <c r="DR9" s="3">
        <v>1.37</v>
      </c>
      <c r="DS9" s="3">
        <f t="shared" si="73"/>
        <v>1.37</v>
      </c>
      <c r="DT9" s="4">
        <f t="shared" si="74"/>
        <v>1.37</v>
      </c>
      <c r="DU9" s="3">
        <v>1.17</v>
      </c>
      <c r="DV9" s="3">
        <f t="shared" si="75"/>
        <v>1.17</v>
      </c>
      <c r="DW9" s="4">
        <f t="shared" si="76"/>
        <v>1.17</v>
      </c>
      <c r="DX9" s="3">
        <v>0</v>
      </c>
      <c r="DY9" s="3" t="str">
        <f t="shared" si="77"/>
        <v/>
      </c>
      <c r="DZ9" s="21" t="str">
        <f t="shared" si="78"/>
        <v/>
      </c>
      <c r="EB9" s="20" t="s">
        <v>79</v>
      </c>
      <c r="EC9" s="3">
        <v>0.53</v>
      </c>
      <c r="ED9" s="3">
        <f t="shared" si="79"/>
        <v>0.53</v>
      </c>
      <c r="EE9" s="4">
        <f t="shared" si="80"/>
        <v>0.53</v>
      </c>
      <c r="EF9" s="3">
        <v>3.56</v>
      </c>
      <c r="EG9" s="3">
        <f t="shared" si="81"/>
        <v>3.56</v>
      </c>
      <c r="EH9" s="4">
        <f t="shared" si="82"/>
        <v>3.56</v>
      </c>
      <c r="EI9" s="3">
        <v>0.15</v>
      </c>
      <c r="EJ9" s="3">
        <f t="shared" si="83"/>
        <v>0.15</v>
      </c>
      <c r="EK9" s="4">
        <f t="shared" si="84"/>
        <v>0.15</v>
      </c>
      <c r="EL9" s="3">
        <v>1.61</v>
      </c>
      <c r="EM9" s="3">
        <f t="shared" si="85"/>
        <v>1.61</v>
      </c>
      <c r="EN9" s="4">
        <f t="shared" si="86"/>
        <v>1.61</v>
      </c>
      <c r="EO9" s="3">
        <v>0.62</v>
      </c>
      <c r="EP9" s="3">
        <f t="shared" si="87"/>
        <v>0.62</v>
      </c>
      <c r="EQ9" s="4">
        <f t="shared" si="88"/>
        <v>0.62</v>
      </c>
      <c r="ER9" s="3">
        <v>1.61</v>
      </c>
      <c r="ES9" s="3">
        <f t="shared" si="89"/>
        <v>1.61</v>
      </c>
      <c r="ET9" s="4">
        <f t="shared" si="90"/>
        <v>1.61</v>
      </c>
      <c r="EU9" s="3">
        <v>0.73</v>
      </c>
      <c r="EV9" s="3">
        <f t="shared" si="91"/>
        <v>0.73</v>
      </c>
      <c r="EW9" s="4">
        <f t="shared" si="92"/>
        <v>0.73</v>
      </c>
      <c r="EX9" s="3">
        <v>1.17</v>
      </c>
      <c r="EY9" s="3">
        <f t="shared" si="93"/>
        <v>1.17</v>
      </c>
      <c r="EZ9" s="21">
        <f t="shared" si="94"/>
        <v>1.17</v>
      </c>
      <c r="FB9" s="20" t="s">
        <v>80</v>
      </c>
      <c r="FC9" s="3">
        <v>12.69</v>
      </c>
      <c r="FD9" s="3">
        <f t="shared" si="95"/>
        <v>12.69</v>
      </c>
      <c r="FE9" s="4">
        <f t="shared" si="96"/>
        <v>12.69</v>
      </c>
      <c r="FF9" s="3">
        <v>1.37</v>
      </c>
      <c r="FG9" s="3">
        <f t="shared" si="97"/>
        <v>1.37</v>
      </c>
      <c r="FH9" s="4">
        <f t="shared" si="98"/>
        <v>1.37</v>
      </c>
      <c r="FI9" s="3">
        <v>0.2</v>
      </c>
      <c r="FJ9" s="3">
        <f t="shared" si="99"/>
        <v>0.2</v>
      </c>
      <c r="FK9" s="4">
        <f t="shared" si="100"/>
        <v>0.2</v>
      </c>
      <c r="FL9" s="3">
        <v>3.56</v>
      </c>
      <c r="FM9" s="3">
        <f t="shared" si="101"/>
        <v>3.56</v>
      </c>
      <c r="FN9" s="4">
        <f t="shared" si="102"/>
        <v>3.56</v>
      </c>
      <c r="FO9" s="3">
        <v>1.17</v>
      </c>
      <c r="FP9" s="3">
        <f t="shared" si="103"/>
        <v>1.17</v>
      </c>
      <c r="FQ9" s="4" t="str">
        <f t="shared" si="104"/>
        <v/>
      </c>
      <c r="FR9" s="3">
        <v>3.04</v>
      </c>
      <c r="FS9" s="3">
        <f t="shared" si="105"/>
        <v>3.04</v>
      </c>
      <c r="FT9" s="4">
        <f t="shared" si="106"/>
        <v>3.04</v>
      </c>
      <c r="FU9" s="3">
        <v>0.24</v>
      </c>
      <c r="FV9" s="3">
        <f t="shared" si="107"/>
        <v>0.24</v>
      </c>
      <c r="FW9" s="4">
        <f t="shared" si="108"/>
        <v>0.24</v>
      </c>
      <c r="FX9" s="3">
        <v>0.2</v>
      </c>
      <c r="FY9" s="3">
        <f t="shared" si="109"/>
        <v>0.2</v>
      </c>
      <c r="FZ9" s="21">
        <f t="shared" si="110"/>
        <v>0.2</v>
      </c>
      <c r="GB9" s="20" t="s">
        <v>81</v>
      </c>
      <c r="GC9" s="3">
        <v>0</v>
      </c>
      <c r="GD9" s="3" t="str">
        <f t="shared" si="111"/>
        <v/>
      </c>
      <c r="GE9" s="4" t="str">
        <f t="shared" si="112"/>
        <v/>
      </c>
      <c r="GF9" s="3">
        <v>7.88</v>
      </c>
      <c r="GG9" s="3">
        <f t="shared" si="113"/>
        <v>7.88</v>
      </c>
      <c r="GH9" s="4" t="str">
        <f t="shared" si="114"/>
        <v/>
      </c>
      <c r="GI9" s="3">
        <v>0.13</v>
      </c>
      <c r="GJ9" s="3">
        <f t="shared" si="115"/>
        <v>0.13</v>
      </c>
      <c r="GK9" s="4">
        <f t="shared" si="116"/>
        <v>0.13</v>
      </c>
      <c r="GL9" s="3">
        <v>2.21</v>
      </c>
      <c r="GM9" s="3">
        <f t="shared" si="117"/>
        <v>2.21</v>
      </c>
      <c r="GN9" s="4">
        <f t="shared" si="118"/>
        <v>2.21</v>
      </c>
      <c r="GO9" s="3">
        <v>0.85</v>
      </c>
      <c r="GP9" s="3">
        <f t="shared" si="119"/>
        <v>0.85</v>
      </c>
      <c r="GQ9" s="4" t="str">
        <f t="shared" si="120"/>
        <v/>
      </c>
      <c r="GR9" s="3">
        <v>0.33</v>
      </c>
      <c r="GS9" s="3">
        <f t="shared" si="121"/>
        <v>0.33</v>
      </c>
      <c r="GT9" s="4" t="str">
        <f t="shared" si="122"/>
        <v/>
      </c>
      <c r="GU9" s="3">
        <v>0.33</v>
      </c>
      <c r="GV9" s="3">
        <f t="shared" si="123"/>
        <v>0.33</v>
      </c>
      <c r="GW9" s="4">
        <f t="shared" si="124"/>
        <v>0.33</v>
      </c>
      <c r="GX9" s="3">
        <v>3.56</v>
      </c>
      <c r="GY9" s="3">
        <f t="shared" si="125"/>
        <v>3.56</v>
      </c>
      <c r="GZ9" s="21" t="str">
        <f t="shared" si="126"/>
        <v/>
      </c>
    </row>
    <row r="10" spans="2:208">
      <c r="B10" s="20" t="s">
        <v>82</v>
      </c>
      <c r="C10" s="3">
        <v>3.03</v>
      </c>
      <c r="D10" s="3">
        <f t="shared" si="0"/>
        <v>3.03</v>
      </c>
      <c r="E10" s="4">
        <f t="shared" si="1"/>
        <v>3.03</v>
      </c>
      <c r="F10" s="3">
        <v>4.37</v>
      </c>
      <c r="G10" s="3">
        <f t="shared" si="2"/>
        <v>4.37</v>
      </c>
      <c r="H10" s="4">
        <f t="shared" si="3"/>
        <v>4.37</v>
      </c>
      <c r="I10" s="3">
        <v>5.3</v>
      </c>
      <c r="J10" s="3">
        <f t="shared" si="4"/>
        <v>5.3</v>
      </c>
      <c r="K10" s="4">
        <f t="shared" si="5"/>
        <v>5.3</v>
      </c>
      <c r="L10" s="3">
        <v>5.63</v>
      </c>
      <c r="M10" s="3">
        <f t="shared" si="6"/>
        <v>5.63</v>
      </c>
      <c r="N10" s="4">
        <f t="shared" si="7"/>
        <v>5.63</v>
      </c>
      <c r="O10" s="3">
        <v>4.37</v>
      </c>
      <c r="P10" s="3">
        <f t="shared" si="8"/>
        <v>4.37</v>
      </c>
      <c r="Q10" s="4">
        <f t="shared" si="9"/>
        <v>4.37</v>
      </c>
      <c r="R10" s="3">
        <v>4.82</v>
      </c>
      <c r="S10" s="3">
        <f t="shared" si="10"/>
        <v>4.82</v>
      </c>
      <c r="T10" s="4">
        <f t="shared" si="11"/>
        <v>4.82</v>
      </c>
      <c r="U10" s="3">
        <v>1.81</v>
      </c>
      <c r="V10" s="3">
        <f t="shared" si="12"/>
        <v>1.81</v>
      </c>
      <c r="W10" s="4">
        <f t="shared" si="13"/>
        <v>1.81</v>
      </c>
      <c r="X10" s="3">
        <v>2.25</v>
      </c>
      <c r="Y10" s="3">
        <f t="shared" si="14"/>
        <v>2.25</v>
      </c>
      <c r="Z10" s="21">
        <f t="shared" si="15"/>
        <v>2.25</v>
      </c>
      <c r="AB10" s="20" t="s">
        <v>83</v>
      </c>
      <c r="AC10" s="3">
        <v>2.83</v>
      </c>
      <c r="AD10" s="3">
        <f t="shared" si="16"/>
        <v>2.83</v>
      </c>
      <c r="AE10" s="4">
        <f t="shared" si="17"/>
        <v>2.83</v>
      </c>
      <c r="AF10" s="3">
        <v>5.47</v>
      </c>
      <c r="AG10" s="3">
        <f t="shared" si="18"/>
        <v>5.47</v>
      </c>
      <c r="AH10" s="4">
        <f t="shared" si="19"/>
        <v>5.47</v>
      </c>
      <c r="AI10" s="3">
        <v>5.18</v>
      </c>
      <c r="AJ10" s="3">
        <f t="shared" si="20"/>
        <v>5.18</v>
      </c>
      <c r="AK10" s="4">
        <f t="shared" si="21"/>
        <v>5.18</v>
      </c>
      <c r="AL10" s="3">
        <v>4.53</v>
      </c>
      <c r="AM10" s="3">
        <f t="shared" si="22"/>
        <v>4.53</v>
      </c>
      <c r="AN10" s="4">
        <f t="shared" si="23"/>
        <v>4.53</v>
      </c>
      <c r="AO10" s="3">
        <v>0</v>
      </c>
      <c r="AP10" s="3" t="str">
        <f t="shared" si="24"/>
        <v/>
      </c>
      <c r="AQ10" s="4" t="str">
        <f t="shared" si="25"/>
        <v/>
      </c>
      <c r="AR10" s="3">
        <v>2.0099999999999998</v>
      </c>
      <c r="AS10" s="3">
        <f t="shared" si="26"/>
        <v>2.0099999999999998</v>
      </c>
      <c r="AT10" s="4" t="str">
        <f t="shared" si="27"/>
        <v/>
      </c>
      <c r="AU10" s="3">
        <v>2.73</v>
      </c>
      <c r="AV10" s="3">
        <f t="shared" si="28"/>
        <v>2.73</v>
      </c>
      <c r="AW10" s="4">
        <f t="shared" si="29"/>
        <v>2.73</v>
      </c>
      <c r="AX10" s="3">
        <v>3.49</v>
      </c>
      <c r="AY10" s="3">
        <f t="shared" si="30"/>
        <v>3.49</v>
      </c>
      <c r="AZ10" s="21">
        <f t="shared" si="31"/>
        <v>3.49</v>
      </c>
      <c r="BB10" s="20" t="s">
        <v>84</v>
      </c>
      <c r="BC10" s="3">
        <v>3.89</v>
      </c>
      <c r="BD10" s="3">
        <f t="shared" si="32"/>
        <v>3.89</v>
      </c>
      <c r="BE10" s="4">
        <f t="shared" si="33"/>
        <v>3.89</v>
      </c>
      <c r="BF10" s="3">
        <v>3.16</v>
      </c>
      <c r="BG10" s="3">
        <f t="shared" si="34"/>
        <v>3.16</v>
      </c>
      <c r="BH10" s="4" t="str">
        <f t="shared" si="35"/>
        <v/>
      </c>
      <c r="BI10" s="3">
        <v>4.17</v>
      </c>
      <c r="BJ10" s="3">
        <f t="shared" si="36"/>
        <v>4.17</v>
      </c>
      <c r="BK10" s="4">
        <f t="shared" si="37"/>
        <v>4.17</v>
      </c>
      <c r="BL10" s="3">
        <v>4.32</v>
      </c>
      <c r="BM10" s="3">
        <f t="shared" si="38"/>
        <v>4.32</v>
      </c>
      <c r="BN10" s="4">
        <f t="shared" si="39"/>
        <v>4.32</v>
      </c>
      <c r="BO10" s="3">
        <v>3.62</v>
      </c>
      <c r="BP10" s="3">
        <f t="shared" si="40"/>
        <v>3.62</v>
      </c>
      <c r="BQ10" s="4">
        <f t="shared" si="41"/>
        <v>3.62</v>
      </c>
      <c r="BR10" s="3">
        <v>3.13</v>
      </c>
      <c r="BS10" s="3">
        <f t="shared" si="42"/>
        <v>3.13</v>
      </c>
      <c r="BT10" s="4">
        <f t="shared" si="43"/>
        <v>3.13</v>
      </c>
      <c r="BU10" s="3">
        <v>1.62</v>
      </c>
      <c r="BV10" s="3">
        <f t="shared" si="44"/>
        <v>1.62</v>
      </c>
      <c r="BW10" s="4">
        <f t="shared" si="45"/>
        <v>1.62</v>
      </c>
      <c r="BX10" s="3">
        <v>0.68</v>
      </c>
      <c r="BY10" s="3">
        <f t="shared" si="46"/>
        <v>0.68</v>
      </c>
      <c r="BZ10" s="21" t="str">
        <f t="shared" si="47"/>
        <v/>
      </c>
      <c r="CB10" s="20" t="s">
        <v>85</v>
      </c>
      <c r="CC10" s="3">
        <v>4.16</v>
      </c>
      <c r="CD10" s="3">
        <f t="shared" si="48"/>
        <v>4.16</v>
      </c>
      <c r="CE10" s="4">
        <f t="shared" si="49"/>
        <v>4.16</v>
      </c>
      <c r="CF10" s="3">
        <v>6.13</v>
      </c>
      <c r="CG10" s="3">
        <f t="shared" si="50"/>
        <v>6.13</v>
      </c>
      <c r="CH10" s="4">
        <f t="shared" si="51"/>
        <v>6.13</v>
      </c>
      <c r="CI10" s="3">
        <v>3.75</v>
      </c>
      <c r="CJ10" s="3">
        <f t="shared" si="52"/>
        <v>3.75</v>
      </c>
      <c r="CK10" s="4">
        <f t="shared" si="53"/>
        <v>3.75</v>
      </c>
      <c r="CL10" s="3">
        <v>4.05</v>
      </c>
      <c r="CM10" s="3">
        <f t="shared" si="54"/>
        <v>4.05</v>
      </c>
      <c r="CN10" s="4">
        <f t="shared" si="55"/>
        <v>4.05</v>
      </c>
      <c r="CO10" s="3">
        <v>5.45</v>
      </c>
      <c r="CP10" s="3">
        <f t="shared" si="56"/>
        <v>5.45</v>
      </c>
      <c r="CQ10" s="4">
        <f t="shared" si="57"/>
        <v>5.45</v>
      </c>
      <c r="CR10" s="3">
        <v>1.89</v>
      </c>
      <c r="CS10" s="3">
        <f t="shared" si="58"/>
        <v>1.89</v>
      </c>
      <c r="CT10" s="4">
        <f t="shared" si="59"/>
        <v>1.89</v>
      </c>
      <c r="CU10" s="3">
        <v>3.73</v>
      </c>
      <c r="CV10" s="3">
        <f t="shared" si="60"/>
        <v>3.73</v>
      </c>
      <c r="CW10" s="4">
        <f t="shared" si="61"/>
        <v>3.73</v>
      </c>
      <c r="CX10" s="3">
        <v>3.13</v>
      </c>
      <c r="CY10" s="3">
        <f t="shared" si="62"/>
        <v>3.13</v>
      </c>
      <c r="CZ10" s="21">
        <f t="shared" si="63"/>
        <v>3.13</v>
      </c>
      <c r="DB10" s="20" t="s">
        <v>86</v>
      </c>
      <c r="DC10" s="3">
        <v>1.89</v>
      </c>
      <c r="DD10" s="3">
        <f t="shared" si="64"/>
        <v>1.89</v>
      </c>
      <c r="DE10" s="4">
        <f t="shared" si="65"/>
        <v>1.89</v>
      </c>
      <c r="DF10" s="3">
        <v>1.17</v>
      </c>
      <c r="DG10" s="3">
        <f t="shared" si="66"/>
        <v>1.17</v>
      </c>
      <c r="DH10" s="4">
        <f t="shared" si="67"/>
        <v>1.17</v>
      </c>
      <c r="DI10" s="3">
        <v>2.59</v>
      </c>
      <c r="DJ10" s="3">
        <f t="shared" si="68"/>
        <v>2.59</v>
      </c>
      <c r="DK10" s="4">
        <f t="shared" si="69"/>
        <v>2.59</v>
      </c>
      <c r="DL10" s="3">
        <v>3.56</v>
      </c>
      <c r="DM10" s="3">
        <f t="shared" si="127"/>
        <v>3.56</v>
      </c>
      <c r="DN10" s="4">
        <f t="shared" si="70"/>
        <v>3.56</v>
      </c>
      <c r="DO10" s="3">
        <v>1.37</v>
      </c>
      <c r="DP10" s="3">
        <f t="shared" si="71"/>
        <v>1.37</v>
      </c>
      <c r="DQ10" s="4">
        <f t="shared" si="72"/>
        <v>1.37</v>
      </c>
      <c r="DR10" s="3">
        <v>5.74</v>
      </c>
      <c r="DS10" s="3">
        <f t="shared" si="73"/>
        <v>5.74</v>
      </c>
      <c r="DT10" s="4">
        <f t="shared" si="74"/>
        <v>5.74</v>
      </c>
      <c r="DU10" s="3">
        <v>1.37</v>
      </c>
      <c r="DV10" s="3">
        <f t="shared" si="75"/>
        <v>1.37</v>
      </c>
      <c r="DW10" s="4">
        <f t="shared" si="76"/>
        <v>1.37</v>
      </c>
      <c r="DX10" s="3">
        <v>0</v>
      </c>
      <c r="DY10" s="3" t="str">
        <f t="shared" si="77"/>
        <v/>
      </c>
      <c r="DZ10" s="21" t="str">
        <f t="shared" si="78"/>
        <v/>
      </c>
      <c r="EB10" s="20" t="s">
        <v>87</v>
      </c>
      <c r="EC10" s="3">
        <v>0.53</v>
      </c>
      <c r="ED10" s="3">
        <f t="shared" si="79"/>
        <v>0.53</v>
      </c>
      <c r="EE10" s="4">
        <f t="shared" si="80"/>
        <v>0.53</v>
      </c>
      <c r="EF10" s="3">
        <v>3.56</v>
      </c>
      <c r="EG10" s="3">
        <f t="shared" si="81"/>
        <v>3.56</v>
      </c>
      <c r="EH10" s="4">
        <f t="shared" si="82"/>
        <v>3.56</v>
      </c>
      <c r="EI10" s="3">
        <v>0.39</v>
      </c>
      <c r="EJ10" s="3">
        <f t="shared" si="83"/>
        <v>0.39</v>
      </c>
      <c r="EK10" s="4">
        <f t="shared" si="84"/>
        <v>0.39</v>
      </c>
      <c r="EL10" s="3">
        <v>1.61</v>
      </c>
      <c r="EM10" s="3">
        <f t="shared" si="85"/>
        <v>1.61</v>
      </c>
      <c r="EN10" s="4">
        <f t="shared" si="86"/>
        <v>1.61</v>
      </c>
      <c r="EO10" s="3">
        <v>2.59</v>
      </c>
      <c r="EP10" s="3">
        <f t="shared" si="87"/>
        <v>2.59</v>
      </c>
      <c r="EQ10" s="4">
        <f t="shared" si="88"/>
        <v>2.59</v>
      </c>
      <c r="ER10" s="3">
        <v>1.61</v>
      </c>
      <c r="ES10" s="3">
        <f t="shared" si="89"/>
        <v>1.61</v>
      </c>
      <c r="ET10" s="4">
        <f t="shared" si="90"/>
        <v>1.61</v>
      </c>
      <c r="EU10" s="3">
        <v>0.62</v>
      </c>
      <c r="EV10" s="3">
        <f t="shared" si="91"/>
        <v>0.62</v>
      </c>
      <c r="EW10" s="4">
        <f t="shared" si="92"/>
        <v>0.62</v>
      </c>
      <c r="EX10" s="3">
        <v>1.37</v>
      </c>
      <c r="EY10" s="3">
        <f t="shared" si="93"/>
        <v>1.37</v>
      </c>
      <c r="EZ10" s="21">
        <f t="shared" si="94"/>
        <v>1.37</v>
      </c>
      <c r="FB10" s="20" t="s">
        <v>88</v>
      </c>
      <c r="FC10" s="3">
        <v>12.69</v>
      </c>
      <c r="FD10" s="3">
        <f t="shared" si="95"/>
        <v>12.69</v>
      </c>
      <c r="FE10" s="4">
        <f t="shared" si="96"/>
        <v>12.69</v>
      </c>
      <c r="FF10" s="3">
        <v>1.37</v>
      </c>
      <c r="FG10" s="3">
        <f t="shared" si="97"/>
        <v>1.37</v>
      </c>
      <c r="FH10" s="4">
        <f t="shared" si="98"/>
        <v>1.37</v>
      </c>
      <c r="FI10" s="3">
        <v>1.61</v>
      </c>
      <c r="FJ10" s="3">
        <f t="shared" si="99"/>
        <v>1.61</v>
      </c>
      <c r="FK10" s="4">
        <f t="shared" si="100"/>
        <v>1.61</v>
      </c>
      <c r="FL10" s="3">
        <v>3.56</v>
      </c>
      <c r="FM10" s="3">
        <f t="shared" si="101"/>
        <v>3.56</v>
      </c>
      <c r="FN10" s="4">
        <f t="shared" si="102"/>
        <v>3.56</v>
      </c>
      <c r="FO10" s="3">
        <v>1.61</v>
      </c>
      <c r="FP10" s="3">
        <f t="shared" si="103"/>
        <v>1.61</v>
      </c>
      <c r="FQ10" s="4">
        <f t="shared" si="104"/>
        <v>1.61</v>
      </c>
      <c r="FR10" s="3">
        <v>2.21</v>
      </c>
      <c r="FS10" s="3">
        <f t="shared" si="105"/>
        <v>2.21</v>
      </c>
      <c r="FT10" s="4">
        <f t="shared" si="106"/>
        <v>2.21</v>
      </c>
      <c r="FU10" s="3">
        <v>0.17</v>
      </c>
      <c r="FV10" s="3">
        <f t="shared" si="107"/>
        <v>0.17</v>
      </c>
      <c r="FW10" s="4">
        <f t="shared" si="108"/>
        <v>0.17</v>
      </c>
      <c r="FX10" s="3">
        <v>0.24</v>
      </c>
      <c r="FY10" s="3">
        <f t="shared" si="109"/>
        <v>0.24</v>
      </c>
      <c r="FZ10" s="21">
        <f t="shared" si="110"/>
        <v>0.24</v>
      </c>
      <c r="GB10" s="20" t="s">
        <v>89</v>
      </c>
      <c r="GC10" s="3">
        <v>0</v>
      </c>
      <c r="GD10" s="3" t="str">
        <f t="shared" si="111"/>
        <v/>
      </c>
      <c r="GE10" s="4" t="str">
        <f t="shared" si="112"/>
        <v/>
      </c>
      <c r="GF10" s="3">
        <v>0.39</v>
      </c>
      <c r="GG10" s="3">
        <f t="shared" si="113"/>
        <v>0.39</v>
      </c>
      <c r="GH10" s="4">
        <f t="shared" si="114"/>
        <v>0.39</v>
      </c>
      <c r="GI10" s="3">
        <v>0.17</v>
      </c>
      <c r="GJ10" s="3">
        <f t="shared" si="115"/>
        <v>0.17</v>
      </c>
      <c r="GK10" s="4">
        <f t="shared" si="116"/>
        <v>0.17</v>
      </c>
      <c r="GL10" s="3">
        <v>0</v>
      </c>
      <c r="GM10" s="3" t="str">
        <f t="shared" si="117"/>
        <v/>
      </c>
      <c r="GN10" s="4" t="str">
        <f t="shared" si="118"/>
        <v/>
      </c>
      <c r="GO10" s="3">
        <v>2.21</v>
      </c>
      <c r="GP10" s="3">
        <f t="shared" si="119"/>
        <v>2.21</v>
      </c>
      <c r="GQ10" s="4">
        <f t="shared" si="120"/>
        <v>2.21</v>
      </c>
      <c r="GR10" s="3">
        <v>0.73</v>
      </c>
      <c r="GS10" s="3">
        <f t="shared" si="121"/>
        <v>0.73</v>
      </c>
      <c r="GT10" s="4">
        <f t="shared" si="122"/>
        <v>0.73</v>
      </c>
      <c r="GU10" s="3">
        <v>0.28000000000000003</v>
      </c>
      <c r="GV10" s="3">
        <f t="shared" si="123"/>
        <v>0.28000000000000003</v>
      </c>
      <c r="GW10" s="4">
        <f t="shared" si="124"/>
        <v>0.28000000000000003</v>
      </c>
      <c r="GX10" s="3">
        <v>3.56</v>
      </c>
      <c r="GY10" s="3">
        <f t="shared" si="125"/>
        <v>3.56</v>
      </c>
      <c r="GZ10" s="21" t="str">
        <f t="shared" si="126"/>
        <v/>
      </c>
    </row>
    <row r="11" spans="2:208">
      <c r="B11" s="20" t="s">
        <v>90</v>
      </c>
      <c r="C11" s="3">
        <v>3.03</v>
      </c>
      <c r="D11" s="3">
        <f t="shared" si="0"/>
        <v>3.03</v>
      </c>
      <c r="E11" s="4">
        <f t="shared" si="1"/>
        <v>3.03</v>
      </c>
      <c r="F11" s="3">
        <v>4.38</v>
      </c>
      <c r="G11" s="3">
        <f t="shared" si="2"/>
        <v>4.38</v>
      </c>
      <c r="H11" s="4">
        <f t="shared" si="3"/>
        <v>4.38</v>
      </c>
      <c r="I11" s="3">
        <v>5.31</v>
      </c>
      <c r="J11" s="3">
        <f t="shared" si="4"/>
        <v>5.31</v>
      </c>
      <c r="K11" s="4">
        <f t="shared" si="5"/>
        <v>5.31</v>
      </c>
      <c r="L11" s="3">
        <v>4.3099999999999996</v>
      </c>
      <c r="M11" s="3">
        <f t="shared" si="6"/>
        <v>4.3099999999999996</v>
      </c>
      <c r="N11" s="4">
        <f t="shared" si="7"/>
        <v>4.3099999999999996</v>
      </c>
      <c r="O11" s="3">
        <v>4.32</v>
      </c>
      <c r="P11" s="3">
        <f t="shared" si="8"/>
        <v>4.32</v>
      </c>
      <c r="Q11" s="4">
        <f t="shared" si="9"/>
        <v>4.32</v>
      </c>
      <c r="R11" s="3">
        <v>4.84</v>
      </c>
      <c r="S11" s="3">
        <f t="shared" si="10"/>
        <v>4.84</v>
      </c>
      <c r="T11" s="4">
        <f t="shared" si="11"/>
        <v>4.84</v>
      </c>
      <c r="U11" s="3">
        <v>1.78</v>
      </c>
      <c r="V11" s="3">
        <f t="shared" si="12"/>
        <v>1.78</v>
      </c>
      <c r="W11" s="4">
        <f t="shared" si="13"/>
        <v>1.78</v>
      </c>
      <c r="X11" s="3">
        <v>2.2599999999999998</v>
      </c>
      <c r="Y11" s="3">
        <f t="shared" si="14"/>
        <v>2.2599999999999998</v>
      </c>
      <c r="Z11" s="21">
        <f t="shared" si="15"/>
        <v>2.2599999999999998</v>
      </c>
      <c r="AB11" s="20" t="s">
        <v>91</v>
      </c>
      <c r="AC11" s="3">
        <v>2.85</v>
      </c>
      <c r="AD11" s="3">
        <f t="shared" si="16"/>
        <v>2.85</v>
      </c>
      <c r="AE11" s="4">
        <f t="shared" si="17"/>
        <v>2.85</v>
      </c>
      <c r="AF11" s="3">
        <v>5.42</v>
      </c>
      <c r="AG11" s="3">
        <f t="shared" si="18"/>
        <v>5.42</v>
      </c>
      <c r="AH11" s="4">
        <f t="shared" si="19"/>
        <v>5.42</v>
      </c>
      <c r="AI11" s="3">
        <v>5.22</v>
      </c>
      <c r="AJ11" s="3">
        <f t="shared" si="20"/>
        <v>5.22</v>
      </c>
      <c r="AK11" s="4">
        <f t="shared" si="21"/>
        <v>5.22</v>
      </c>
      <c r="AL11" s="3">
        <v>6.09</v>
      </c>
      <c r="AM11" s="3">
        <f t="shared" si="22"/>
        <v>6.09</v>
      </c>
      <c r="AN11" s="4">
        <f t="shared" si="23"/>
        <v>6.09</v>
      </c>
      <c r="AO11" s="3">
        <v>0</v>
      </c>
      <c r="AP11" s="3" t="str">
        <f t="shared" si="24"/>
        <v/>
      </c>
      <c r="AQ11" s="4" t="str">
        <f t="shared" si="25"/>
        <v/>
      </c>
      <c r="AR11" s="3">
        <v>3.76</v>
      </c>
      <c r="AS11" s="3">
        <f t="shared" si="26"/>
        <v>3.76</v>
      </c>
      <c r="AT11" s="4">
        <f t="shared" si="27"/>
        <v>3.76</v>
      </c>
      <c r="AU11" s="3">
        <v>3.1</v>
      </c>
      <c r="AV11" s="3">
        <f t="shared" si="28"/>
        <v>3.1</v>
      </c>
      <c r="AW11" s="4">
        <f t="shared" si="29"/>
        <v>3.1</v>
      </c>
      <c r="AX11" s="3">
        <v>3.46</v>
      </c>
      <c r="AY11" s="3">
        <f t="shared" si="30"/>
        <v>3.46</v>
      </c>
      <c r="AZ11" s="21">
        <f t="shared" si="31"/>
        <v>3.46</v>
      </c>
      <c r="BB11" s="20" t="s">
        <v>92</v>
      </c>
      <c r="BC11" s="3">
        <v>3.93</v>
      </c>
      <c r="BD11" s="3">
        <f t="shared" si="32"/>
        <v>3.93</v>
      </c>
      <c r="BE11" s="4">
        <f t="shared" si="33"/>
        <v>3.93</v>
      </c>
      <c r="BF11" s="3">
        <v>1.07</v>
      </c>
      <c r="BG11" s="3">
        <f t="shared" si="34"/>
        <v>1.07</v>
      </c>
      <c r="BH11" s="4" t="str">
        <f t="shared" si="35"/>
        <v/>
      </c>
      <c r="BI11" s="3">
        <v>4.1500000000000004</v>
      </c>
      <c r="BJ11" s="3">
        <f t="shared" si="36"/>
        <v>4.1500000000000004</v>
      </c>
      <c r="BK11" s="4">
        <f t="shared" si="37"/>
        <v>4.1500000000000004</v>
      </c>
      <c r="BL11" s="3">
        <v>4.32</v>
      </c>
      <c r="BM11" s="3">
        <f t="shared" si="38"/>
        <v>4.32</v>
      </c>
      <c r="BN11" s="4">
        <f t="shared" si="39"/>
        <v>4.32</v>
      </c>
      <c r="BO11" s="3">
        <v>3.63</v>
      </c>
      <c r="BP11" s="3">
        <f t="shared" si="40"/>
        <v>3.63</v>
      </c>
      <c r="BQ11" s="4">
        <f t="shared" si="41"/>
        <v>3.63</v>
      </c>
      <c r="BR11" s="3">
        <v>3.13</v>
      </c>
      <c r="BS11" s="3">
        <f t="shared" si="42"/>
        <v>3.13</v>
      </c>
      <c r="BT11" s="4">
        <f t="shared" si="43"/>
        <v>3.13</v>
      </c>
      <c r="BU11" s="3">
        <v>1.6</v>
      </c>
      <c r="BV11" s="3">
        <f t="shared" si="44"/>
        <v>1.6</v>
      </c>
      <c r="BW11" s="4">
        <f t="shared" si="45"/>
        <v>1.6</v>
      </c>
      <c r="BX11" s="3">
        <v>1.26</v>
      </c>
      <c r="BY11" s="3">
        <f t="shared" si="46"/>
        <v>1.26</v>
      </c>
      <c r="BZ11" s="21">
        <f t="shared" si="47"/>
        <v>1.26</v>
      </c>
      <c r="CB11" s="20" t="s">
        <v>93</v>
      </c>
      <c r="CC11" s="3">
        <v>4.16</v>
      </c>
      <c r="CD11" s="3">
        <f t="shared" si="48"/>
        <v>4.16</v>
      </c>
      <c r="CE11" s="4">
        <f t="shared" si="49"/>
        <v>4.16</v>
      </c>
      <c r="CF11" s="3">
        <v>6.06</v>
      </c>
      <c r="CG11" s="3">
        <f t="shared" si="50"/>
        <v>6.06</v>
      </c>
      <c r="CH11" s="4">
        <f t="shared" si="51"/>
        <v>6.06</v>
      </c>
      <c r="CI11" s="3">
        <v>3.81</v>
      </c>
      <c r="CJ11" s="3">
        <f t="shared" si="52"/>
        <v>3.81</v>
      </c>
      <c r="CK11" s="4">
        <f t="shared" si="53"/>
        <v>3.81</v>
      </c>
      <c r="CL11" s="3">
        <v>5.21</v>
      </c>
      <c r="CM11" s="3">
        <f t="shared" si="54"/>
        <v>5.21</v>
      </c>
      <c r="CN11" s="4">
        <f t="shared" si="55"/>
        <v>5.21</v>
      </c>
      <c r="CO11" s="3">
        <v>5.5</v>
      </c>
      <c r="CP11" s="3">
        <f t="shared" si="56"/>
        <v>5.5</v>
      </c>
      <c r="CQ11" s="4">
        <f t="shared" si="57"/>
        <v>5.5</v>
      </c>
      <c r="CR11" s="3">
        <v>1.82</v>
      </c>
      <c r="CS11" s="3">
        <f t="shared" si="58"/>
        <v>1.82</v>
      </c>
      <c r="CT11" s="4">
        <f t="shared" si="59"/>
        <v>1.82</v>
      </c>
      <c r="CU11" s="3">
        <v>3.75</v>
      </c>
      <c r="CV11" s="3">
        <f t="shared" si="60"/>
        <v>3.75</v>
      </c>
      <c r="CW11" s="4">
        <f t="shared" si="61"/>
        <v>3.75</v>
      </c>
      <c r="CX11" s="3">
        <v>0</v>
      </c>
      <c r="CY11" s="3" t="str">
        <f t="shared" si="62"/>
        <v/>
      </c>
      <c r="CZ11" s="21" t="str">
        <f t="shared" si="63"/>
        <v/>
      </c>
      <c r="DB11" s="20" t="s">
        <v>94</v>
      </c>
      <c r="DC11" s="3">
        <v>2.59</v>
      </c>
      <c r="DD11" s="3">
        <f t="shared" si="64"/>
        <v>2.59</v>
      </c>
      <c r="DE11" s="4">
        <f t="shared" si="65"/>
        <v>2.59</v>
      </c>
      <c r="DF11" s="3">
        <v>1.17</v>
      </c>
      <c r="DG11" s="3">
        <f t="shared" si="66"/>
        <v>1.17</v>
      </c>
      <c r="DH11" s="4">
        <f t="shared" si="67"/>
        <v>1.17</v>
      </c>
      <c r="DI11" s="3">
        <v>2.59</v>
      </c>
      <c r="DJ11" s="3">
        <f t="shared" si="68"/>
        <v>2.59</v>
      </c>
      <c r="DK11" s="4">
        <f t="shared" si="69"/>
        <v>2.59</v>
      </c>
      <c r="DL11" s="3">
        <v>3.56</v>
      </c>
      <c r="DM11" s="3">
        <f t="shared" si="127"/>
        <v>3.56</v>
      </c>
      <c r="DN11" s="4">
        <f t="shared" si="70"/>
        <v>3.56</v>
      </c>
      <c r="DO11" s="3">
        <v>1.37</v>
      </c>
      <c r="DP11" s="3">
        <f t="shared" si="71"/>
        <v>1.37</v>
      </c>
      <c r="DQ11" s="4">
        <f t="shared" si="72"/>
        <v>1.37</v>
      </c>
      <c r="DR11" s="3">
        <v>1.17</v>
      </c>
      <c r="DS11" s="3">
        <f t="shared" si="73"/>
        <v>1.17</v>
      </c>
      <c r="DT11" s="4">
        <f t="shared" si="74"/>
        <v>1.17</v>
      </c>
      <c r="DU11" s="3">
        <v>1.17</v>
      </c>
      <c r="DV11" s="3">
        <f t="shared" si="75"/>
        <v>1.17</v>
      </c>
      <c r="DW11" s="4">
        <f t="shared" si="76"/>
        <v>1.17</v>
      </c>
      <c r="DX11" s="3">
        <v>0</v>
      </c>
      <c r="DY11" s="3" t="str">
        <f t="shared" si="77"/>
        <v/>
      </c>
      <c r="DZ11" s="21" t="str">
        <f t="shared" si="78"/>
        <v/>
      </c>
      <c r="EB11" s="20" t="s">
        <v>95</v>
      </c>
      <c r="EC11" s="3">
        <v>0.53</v>
      </c>
      <c r="ED11" s="3">
        <f t="shared" si="79"/>
        <v>0.53</v>
      </c>
      <c r="EE11" s="4">
        <f t="shared" si="80"/>
        <v>0.53</v>
      </c>
      <c r="EF11" s="3">
        <v>0.45</v>
      </c>
      <c r="EG11" s="3">
        <f t="shared" si="81"/>
        <v>0.45</v>
      </c>
      <c r="EH11" s="4" t="str">
        <f t="shared" si="82"/>
        <v/>
      </c>
      <c r="EI11" s="3">
        <v>0.17</v>
      </c>
      <c r="EJ11" s="3">
        <f t="shared" si="83"/>
        <v>0.17</v>
      </c>
      <c r="EK11" s="4">
        <f t="shared" si="84"/>
        <v>0.17</v>
      </c>
      <c r="EL11" s="3">
        <v>1.61</v>
      </c>
      <c r="EM11" s="3">
        <f t="shared" si="85"/>
        <v>1.61</v>
      </c>
      <c r="EN11" s="4">
        <f t="shared" si="86"/>
        <v>1.61</v>
      </c>
      <c r="EO11" s="3">
        <v>2.21</v>
      </c>
      <c r="EP11" s="3">
        <f t="shared" si="87"/>
        <v>2.21</v>
      </c>
      <c r="EQ11" s="4">
        <f t="shared" si="88"/>
        <v>2.21</v>
      </c>
      <c r="ER11" s="3">
        <v>1.61</v>
      </c>
      <c r="ES11" s="3">
        <f t="shared" si="89"/>
        <v>1.61</v>
      </c>
      <c r="ET11" s="4">
        <f t="shared" si="90"/>
        <v>1.61</v>
      </c>
      <c r="EU11" s="3">
        <v>0.45</v>
      </c>
      <c r="EV11" s="3">
        <f t="shared" si="91"/>
        <v>0.45</v>
      </c>
      <c r="EW11" s="4" t="str">
        <f t="shared" si="92"/>
        <v/>
      </c>
      <c r="EX11" s="3">
        <v>1.17</v>
      </c>
      <c r="EY11" s="3">
        <f t="shared" si="93"/>
        <v>1.17</v>
      </c>
      <c r="EZ11" s="21">
        <f t="shared" si="94"/>
        <v>1.17</v>
      </c>
      <c r="FB11" s="20" t="s">
        <v>96</v>
      </c>
      <c r="FC11" s="3">
        <v>12.69</v>
      </c>
      <c r="FD11" s="3">
        <f t="shared" si="95"/>
        <v>12.69</v>
      </c>
      <c r="FE11" s="4">
        <f t="shared" si="96"/>
        <v>12.69</v>
      </c>
      <c r="FF11" s="3">
        <v>1.17</v>
      </c>
      <c r="FG11" s="3">
        <f t="shared" si="97"/>
        <v>1.17</v>
      </c>
      <c r="FH11" s="4">
        <f t="shared" si="98"/>
        <v>1.17</v>
      </c>
      <c r="FI11" s="3">
        <v>1.61</v>
      </c>
      <c r="FJ11" s="3">
        <f t="shared" si="99"/>
        <v>1.61</v>
      </c>
      <c r="FK11" s="4">
        <f t="shared" si="100"/>
        <v>1.61</v>
      </c>
      <c r="FL11" s="3">
        <v>3.56</v>
      </c>
      <c r="FM11" s="3">
        <f t="shared" si="101"/>
        <v>3.56</v>
      </c>
      <c r="FN11" s="4">
        <f t="shared" si="102"/>
        <v>3.56</v>
      </c>
      <c r="FO11" s="3">
        <v>1.89</v>
      </c>
      <c r="FP11" s="3">
        <f t="shared" si="103"/>
        <v>1.89</v>
      </c>
      <c r="FQ11" s="4">
        <f t="shared" si="104"/>
        <v>1.89</v>
      </c>
      <c r="FR11" s="3">
        <v>2.59</v>
      </c>
      <c r="FS11" s="3">
        <f t="shared" si="105"/>
        <v>2.59</v>
      </c>
      <c r="FT11" s="4">
        <f t="shared" si="106"/>
        <v>2.59</v>
      </c>
      <c r="FU11" s="3">
        <v>0</v>
      </c>
      <c r="FV11" s="3" t="str">
        <f t="shared" si="107"/>
        <v/>
      </c>
      <c r="FW11" s="4" t="str">
        <f t="shared" si="108"/>
        <v/>
      </c>
      <c r="FX11" s="3">
        <v>0.2</v>
      </c>
      <c r="FY11" s="3">
        <f t="shared" si="109"/>
        <v>0.2</v>
      </c>
      <c r="FZ11" s="21">
        <f t="shared" si="110"/>
        <v>0.2</v>
      </c>
      <c r="GB11" s="20" t="s">
        <v>97</v>
      </c>
      <c r="GC11" s="3">
        <v>0.73</v>
      </c>
      <c r="GD11" s="3">
        <f t="shared" si="111"/>
        <v>0.73</v>
      </c>
      <c r="GE11" s="4" t="str">
        <f t="shared" si="112"/>
        <v/>
      </c>
      <c r="GF11" s="3">
        <v>0.39</v>
      </c>
      <c r="GG11" s="3">
        <f t="shared" si="113"/>
        <v>0.39</v>
      </c>
      <c r="GH11" s="4">
        <f t="shared" si="114"/>
        <v>0.39</v>
      </c>
      <c r="GI11" s="3">
        <v>0.09</v>
      </c>
      <c r="GJ11" s="3">
        <f t="shared" si="115"/>
        <v>0.09</v>
      </c>
      <c r="GK11" s="4" t="str">
        <f t="shared" si="116"/>
        <v/>
      </c>
      <c r="GL11" s="3">
        <v>1.17</v>
      </c>
      <c r="GM11" s="3">
        <f t="shared" si="117"/>
        <v>1.17</v>
      </c>
      <c r="GN11" s="4">
        <f t="shared" si="118"/>
        <v>1.17</v>
      </c>
      <c r="GO11" s="3">
        <v>1.89</v>
      </c>
      <c r="GP11" s="3">
        <f t="shared" si="119"/>
        <v>1.89</v>
      </c>
      <c r="GQ11" s="4">
        <f t="shared" si="120"/>
        <v>1.89</v>
      </c>
      <c r="GR11" s="3">
        <v>0.73</v>
      </c>
      <c r="GS11" s="3">
        <f t="shared" si="121"/>
        <v>0.73</v>
      </c>
      <c r="GT11" s="4">
        <f t="shared" si="122"/>
        <v>0.73</v>
      </c>
      <c r="GU11" s="3">
        <v>0.28000000000000003</v>
      </c>
      <c r="GV11" s="3">
        <f t="shared" si="123"/>
        <v>0.28000000000000003</v>
      </c>
      <c r="GW11" s="4">
        <f t="shared" si="124"/>
        <v>0.28000000000000003</v>
      </c>
      <c r="GX11" s="3">
        <v>2.21</v>
      </c>
      <c r="GY11" s="3">
        <f t="shared" si="125"/>
        <v>2.21</v>
      </c>
      <c r="GZ11" s="21">
        <f t="shared" si="126"/>
        <v>2.21</v>
      </c>
    </row>
    <row r="12" spans="2:208">
      <c r="B12" s="20" t="s">
        <v>98</v>
      </c>
      <c r="C12" s="3">
        <v>3.01</v>
      </c>
      <c r="D12" s="3">
        <f t="shared" si="0"/>
        <v>3.01</v>
      </c>
      <c r="E12" s="4">
        <f t="shared" si="1"/>
        <v>3.01</v>
      </c>
      <c r="F12" s="3">
        <v>4.3899999999999997</v>
      </c>
      <c r="G12" s="3">
        <f t="shared" si="2"/>
        <v>4.3899999999999997</v>
      </c>
      <c r="H12" s="4">
        <f t="shared" si="3"/>
        <v>4.3899999999999997</v>
      </c>
      <c r="I12" s="3">
        <v>5.25</v>
      </c>
      <c r="J12" s="3">
        <f t="shared" si="4"/>
        <v>5.25</v>
      </c>
      <c r="K12" s="4">
        <f t="shared" si="5"/>
        <v>5.25</v>
      </c>
      <c r="L12" s="3">
        <v>5.62</v>
      </c>
      <c r="M12" s="3">
        <f t="shared" si="6"/>
        <v>5.62</v>
      </c>
      <c r="N12" s="4">
        <f t="shared" si="7"/>
        <v>5.62</v>
      </c>
      <c r="O12" s="3">
        <v>4.3099999999999996</v>
      </c>
      <c r="P12" s="3">
        <f t="shared" si="8"/>
        <v>4.3099999999999996</v>
      </c>
      <c r="Q12" s="4">
        <f t="shared" si="9"/>
        <v>4.3099999999999996</v>
      </c>
      <c r="R12" s="3">
        <v>4.8899999999999997</v>
      </c>
      <c r="S12" s="3">
        <f t="shared" si="10"/>
        <v>4.8899999999999997</v>
      </c>
      <c r="T12" s="4">
        <f t="shared" si="11"/>
        <v>4.8899999999999997</v>
      </c>
      <c r="U12" s="3">
        <v>1.81</v>
      </c>
      <c r="V12" s="3">
        <f t="shared" si="12"/>
        <v>1.81</v>
      </c>
      <c r="W12" s="4">
        <f t="shared" si="13"/>
        <v>1.81</v>
      </c>
      <c r="X12" s="3">
        <v>2.27</v>
      </c>
      <c r="Y12" s="3">
        <f t="shared" si="14"/>
        <v>2.27</v>
      </c>
      <c r="Z12" s="21">
        <f t="shared" si="15"/>
        <v>2.27</v>
      </c>
      <c r="AB12" s="20" t="s">
        <v>99</v>
      </c>
      <c r="AC12" s="3">
        <v>2.84</v>
      </c>
      <c r="AD12" s="3">
        <f t="shared" si="16"/>
        <v>2.84</v>
      </c>
      <c r="AE12" s="4">
        <f t="shared" si="17"/>
        <v>2.84</v>
      </c>
      <c r="AF12" s="3">
        <v>5.45</v>
      </c>
      <c r="AG12" s="3">
        <f t="shared" si="18"/>
        <v>5.45</v>
      </c>
      <c r="AH12" s="4">
        <f t="shared" si="19"/>
        <v>5.45</v>
      </c>
      <c r="AI12" s="3">
        <v>5.15</v>
      </c>
      <c r="AJ12" s="3">
        <f t="shared" si="20"/>
        <v>5.15</v>
      </c>
      <c r="AK12" s="4">
        <f t="shared" si="21"/>
        <v>5.15</v>
      </c>
      <c r="AL12" s="3">
        <v>6.1</v>
      </c>
      <c r="AM12" s="3">
        <f t="shared" si="22"/>
        <v>6.1</v>
      </c>
      <c r="AN12" s="4">
        <f t="shared" si="23"/>
        <v>6.1</v>
      </c>
      <c r="AO12" s="3">
        <v>0</v>
      </c>
      <c r="AP12" s="3" t="str">
        <f t="shared" si="24"/>
        <v/>
      </c>
      <c r="AQ12" s="4" t="str">
        <f t="shared" si="25"/>
        <v/>
      </c>
      <c r="AR12" s="3">
        <v>3.71</v>
      </c>
      <c r="AS12" s="3">
        <f t="shared" si="26"/>
        <v>3.71</v>
      </c>
      <c r="AT12" s="4">
        <f t="shared" si="27"/>
        <v>3.71</v>
      </c>
      <c r="AU12" s="3">
        <v>3.03</v>
      </c>
      <c r="AV12" s="3">
        <f t="shared" si="28"/>
        <v>3.03</v>
      </c>
      <c r="AW12" s="4">
        <f t="shared" si="29"/>
        <v>3.03</v>
      </c>
      <c r="AX12" s="3">
        <v>3.48</v>
      </c>
      <c r="AY12" s="3">
        <f t="shared" si="30"/>
        <v>3.48</v>
      </c>
      <c r="AZ12" s="21">
        <f t="shared" si="31"/>
        <v>3.48</v>
      </c>
      <c r="BB12" s="20" t="s">
        <v>100</v>
      </c>
      <c r="BC12" s="3">
        <v>3.91</v>
      </c>
      <c r="BD12" s="3">
        <f t="shared" si="32"/>
        <v>3.91</v>
      </c>
      <c r="BE12" s="4">
        <f t="shared" si="33"/>
        <v>3.91</v>
      </c>
      <c r="BF12" s="3">
        <v>4.28</v>
      </c>
      <c r="BG12" s="3">
        <f t="shared" si="34"/>
        <v>4.28</v>
      </c>
      <c r="BH12" s="4">
        <f t="shared" si="35"/>
        <v>4.28</v>
      </c>
      <c r="BI12" s="3">
        <v>4.17</v>
      </c>
      <c r="BJ12" s="3">
        <f t="shared" si="36"/>
        <v>4.17</v>
      </c>
      <c r="BK12" s="4">
        <f t="shared" si="37"/>
        <v>4.17</v>
      </c>
      <c r="BL12" s="3">
        <v>4.3099999999999996</v>
      </c>
      <c r="BM12" s="3">
        <f t="shared" si="38"/>
        <v>4.3099999999999996</v>
      </c>
      <c r="BN12" s="4">
        <f t="shared" si="39"/>
        <v>4.3099999999999996</v>
      </c>
      <c r="BO12" s="3">
        <v>3.6</v>
      </c>
      <c r="BP12" s="3">
        <f t="shared" si="40"/>
        <v>3.6</v>
      </c>
      <c r="BQ12" s="4">
        <f t="shared" si="41"/>
        <v>3.6</v>
      </c>
      <c r="BR12" s="3">
        <v>3.17</v>
      </c>
      <c r="BS12" s="3">
        <f t="shared" si="42"/>
        <v>3.17</v>
      </c>
      <c r="BT12" s="4">
        <f t="shared" si="43"/>
        <v>3.17</v>
      </c>
      <c r="BU12" s="3">
        <v>1.65</v>
      </c>
      <c r="BV12" s="3">
        <f t="shared" si="44"/>
        <v>1.65</v>
      </c>
      <c r="BW12" s="4">
        <f t="shared" si="45"/>
        <v>1.65</v>
      </c>
      <c r="BX12" s="3">
        <v>1.17</v>
      </c>
      <c r="BY12" s="3">
        <f t="shared" si="46"/>
        <v>1.17</v>
      </c>
      <c r="BZ12" s="21">
        <f t="shared" si="47"/>
        <v>1.17</v>
      </c>
      <c r="CB12" s="20" t="s">
        <v>101</v>
      </c>
      <c r="CC12" s="3">
        <v>3.36</v>
      </c>
      <c r="CD12" s="3">
        <f t="shared" si="48"/>
        <v>3.36</v>
      </c>
      <c r="CE12" s="4">
        <f t="shared" si="49"/>
        <v>3.36</v>
      </c>
      <c r="CF12" s="3">
        <v>6.08</v>
      </c>
      <c r="CG12" s="3">
        <f t="shared" si="50"/>
        <v>6.08</v>
      </c>
      <c r="CH12" s="4">
        <f t="shared" si="51"/>
        <v>6.08</v>
      </c>
      <c r="CI12" s="3">
        <v>3.32</v>
      </c>
      <c r="CJ12" s="3">
        <f t="shared" si="52"/>
        <v>3.32</v>
      </c>
      <c r="CK12" s="4">
        <f t="shared" si="53"/>
        <v>3.32</v>
      </c>
      <c r="CL12" s="3">
        <v>5.14</v>
      </c>
      <c r="CM12" s="3">
        <f t="shared" si="54"/>
        <v>5.14</v>
      </c>
      <c r="CN12" s="4">
        <f t="shared" si="55"/>
        <v>5.14</v>
      </c>
      <c r="CO12" s="3">
        <v>5.44</v>
      </c>
      <c r="CP12" s="3">
        <f t="shared" si="56"/>
        <v>5.44</v>
      </c>
      <c r="CQ12" s="4">
        <f t="shared" si="57"/>
        <v>5.44</v>
      </c>
      <c r="CR12" s="3">
        <v>1.83</v>
      </c>
      <c r="CS12" s="3">
        <f t="shared" si="58"/>
        <v>1.83</v>
      </c>
      <c r="CT12" s="4">
        <f t="shared" si="59"/>
        <v>1.83</v>
      </c>
      <c r="CU12" s="3">
        <v>3.75</v>
      </c>
      <c r="CV12" s="3">
        <f t="shared" si="60"/>
        <v>3.75</v>
      </c>
      <c r="CW12" s="4">
        <f t="shared" si="61"/>
        <v>3.75</v>
      </c>
      <c r="CX12" s="3">
        <v>3.07</v>
      </c>
      <c r="CY12" s="3">
        <f t="shared" si="62"/>
        <v>3.07</v>
      </c>
      <c r="CZ12" s="21">
        <f t="shared" si="63"/>
        <v>3.07</v>
      </c>
      <c r="DB12" s="20" t="s">
        <v>102</v>
      </c>
      <c r="DC12" s="3">
        <v>2.59</v>
      </c>
      <c r="DD12" s="3">
        <f t="shared" si="64"/>
        <v>2.59</v>
      </c>
      <c r="DE12" s="4">
        <f t="shared" si="65"/>
        <v>2.59</v>
      </c>
      <c r="DF12" s="3">
        <v>4.18</v>
      </c>
      <c r="DG12" s="3">
        <f t="shared" si="66"/>
        <v>4.18</v>
      </c>
      <c r="DH12" s="4" t="str">
        <f t="shared" si="67"/>
        <v/>
      </c>
      <c r="DI12" s="3">
        <v>2.59</v>
      </c>
      <c r="DJ12" s="3">
        <f t="shared" si="68"/>
        <v>2.59</v>
      </c>
      <c r="DK12" s="4">
        <f t="shared" si="69"/>
        <v>2.59</v>
      </c>
      <c r="DL12" s="3">
        <v>2.59</v>
      </c>
      <c r="DM12" s="3">
        <f t="shared" si="127"/>
        <v>2.59</v>
      </c>
      <c r="DN12" s="4">
        <f t="shared" si="70"/>
        <v>2.59</v>
      </c>
      <c r="DO12" s="3">
        <v>1.37</v>
      </c>
      <c r="DP12" s="3">
        <f t="shared" si="71"/>
        <v>1.37</v>
      </c>
      <c r="DQ12" s="4">
        <f t="shared" si="72"/>
        <v>1.37</v>
      </c>
      <c r="DR12" s="3">
        <v>1.17</v>
      </c>
      <c r="DS12" s="3">
        <f t="shared" si="73"/>
        <v>1.17</v>
      </c>
      <c r="DT12" s="4">
        <f t="shared" si="74"/>
        <v>1.17</v>
      </c>
      <c r="DU12" s="3">
        <v>1.17</v>
      </c>
      <c r="DV12" s="3">
        <f t="shared" si="75"/>
        <v>1.17</v>
      </c>
      <c r="DW12" s="4">
        <f t="shared" si="76"/>
        <v>1.17</v>
      </c>
      <c r="DX12" s="3">
        <v>0</v>
      </c>
      <c r="DY12" s="3" t="str">
        <f t="shared" si="77"/>
        <v/>
      </c>
      <c r="DZ12" s="21" t="str">
        <f t="shared" si="78"/>
        <v/>
      </c>
      <c r="EB12" s="20" t="s">
        <v>103</v>
      </c>
      <c r="EC12" s="3">
        <v>1.17</v>
      </c>
      <c r="ED12" s="3">
        <f t="shared" si="79"/>
        <v>1.17</v>
      </c>
      <c r="EE12" s="4" t="str">
        <f t="shared" si="80"/>
        <v/>
      </c>
      <c r="EF12" s="3">
        <v>0.45</v>
      </c>
      <c r="EG12" s="3">
        <f t="shared" si="81"/>
        <v>0.45</v>
      </c>
      <c r="EH12" s="4" t="str">
        <f t="shared" si="82"/>
        <v/>
      </c>
      <c r="EI12" s="3">
        <v>0.15</v>
      </c>
      <c r="EJ12" s="3">
        <f t="shared" si="83"/>
        <v>0.15</v>
      </c>
      <c r="EK12" s="4">
        <f t="shared" si="84"/>
        <v>0.15</v>
      </c>
      <c r="EL12" s="3">
        <v>1.61</v>
      </c>
      <c r="EM12" s="3">
        <f t="shared" si="85"/>
        <v>1.61</v>
      </c>
      <c r="EN12" s="4">
        <f t="shared" si="86"/>
        <v>1.61</v>
      </c>
      <c r="EO12" s="3">
        <v>14.87</v>
      </c>
      <c r="EP12" s="3">
        <f t="shared" si="87"/>
        <v>14.87</v>
      </c>
      <c r="EQ12" s="4" t="str">
        <f t="shared" si="88"/>
        <v/>
      </c>
      <c r="ER12" s="3">
        <v>1.89</v>
      </c>
      <c r="ES12" s="3">
        <f t="shared" si="89"/>
        <v>1.89</v>
      </c>
      <c r="ET12" s="4">
        <f t="shared" si="90"/>
        <v>1.89</v>
      </c>
      <c r="EU12" s="3">
        <v>0.73</v>
      </c>
      <c r="EV12" s="3">
        <f t="shared" si="91"/>
        <v>0.73</v>
      </c>
      <c r="EW12" s="4">
        <f t="shared" si="92"/>
        <v>0.73</v>
      </c>
      <c r="EX12" s="3">
        <v>1.17</v>
      </c>
      <c r="EY12" s="3">
        <f t="shared" si="93"/>
        <v>1.17</v>
      </c>
      <c r="EZ12" s="21">
        <f t="shared" si="94"/>
        <v>1.17</v>
      </c>
      <c r="FB12" s="20" t="s">
        <v>104</v>
      </c>
      <c r="FC12" s="3">
        <v>4.8899999999999997</v>
      </c>
      <c r="FD12" s="3">
        <f t="shared" si="95"/>
        <v>4.8899999999999997</v>
      </c>
      <c r="FE12" s="4" t="str">
        <f t="shared" si="96"/>
        <v/>
      </c>
      <c r="FF12" s="3">
        <v>0.85</v>
      </c>
      <c r="FG12" s="3">
        <f t="shared" si="97"/>
        <v>0.85</v>
      </c>
      <c r="FH12" s="4" t="str">
        <f t="shared" si="98"/>
        <v/>
      </c>
      <c r="FI12" s="3">
        <v>1.61</v>
      </c>
      <c r="FJ12" s="3">
        <f t="shared" si="99"/>
        <v>1.61</v>
      </c>
      <c r="FK12" s="4">
        <f t="shared" si="100"/>
        <v>1.61</v>
      </c>
      <c r="FL12" s="3">
        <v>1.89</v>
      </c>
      <c r="FM12" s="3">
        <f t="shared" si="101"/>
        <v>1.89</v>
      </c>
      <c r="FN12" s="4" t="str">
        <f t="shared" si="102"/>
        <v/>
      </c>
      <c r="FO12" s="3">
        <v>1.37</v>
      </c>
      <c r="FP12" s="3">
        <f t="shared" si="103"/>
        <v>1.37</v>
      </c>
      <c r="FQ12" s="4" t="str">
        <f t="shared" si="104"/>
        <v/>
      </c>
      <c r="FR12" s="3">
        <v>4.18</v>
      </c>
      <c r="FS12" s="3">
        <f t="shared" si="105"/>
        <v>4.18</v>
      </c>
      <c r="FT12" s="4" t="str">
        <f t="shared" si="106"/>
        <v/>
      </c>
      <c r="FU12" s="3">
        <v>0.2</v>
      </c>
      <c r="FV12" s="3">
        <f t="shared" si="107"/>
        <v>0.2</v>
      </c>
      <c r="FW12" s="4">
        <f t="shared" si="108"/>
        <v>0.2</v>
      </c>
      <c r="FX12" s="3">
        <v>0.2</v>
      </c>
      <c r="FY12" s="3">
        <f t="shared" si="109"/>
        <v>0.2</v>
      </c>
      <c r="FZ12" s="21">
        <f t="shared" si="110"/>
        <v>0.2</v>
      </c>
      <c r="GB12" s="20" t="s">
        <v>105</v>
      </c>
      <c r="GC12" s="3">
        <v>0.85</v>
      </c>
      <c r="GD12" s="3">
        <f t="shared" si="111"/>
        <v>0.85</v>
      </c>
      <c r="GE12" s="4">
        <f t="shared" si="112"/>
        <v>0.85</v>
      </c>
      <c r="GF12" s="3">
        <v>7.88</v>
      </c>
      <c r="GG12" s="3">
        <f t="shared" si="113"/>
        <v>7.88</v>
      </c>
      <c r="GH12" s="4" t="str">
        <f t="shared" si="114"/>
        <v/>
      </c>
      <c r="GI12" s="3">
        <v>0.15</v>
      </c>
      <c r="GJ12" s="3">
        <f t="shared" si="115"/>
        <v>0.15</v>
      </c>
      <c r="GK12" s="4">
        <f t="shared" si="116"/>
        <v>0.15</v>
      </c>
      <c r="GL12" s="3">
        <v>2.21</v>
      </c>
      <c r="GM12" s="3">
        <f t="shared" si="117"/>
        <v>2.21</v>
      </c>
      <c r="GN12" s="4">
        <f t="shared" si="118"/>
        <v>2.21</v>
      </c>
      <c r="GO12" s="3">
        <v>2.21</v>
      </c>
      <c r="GP12" s="3">
        <f t="shared" si="119"/>
        <v>2.21</v>
      </c>
      <c r="GQ12" s="4">
        <f t="shared" si="120"/>
        <v>2.21</v>
      </c>
      <c r="GR12" s="3">
        <v>0.73</v>
      </c>
      <c r="GS12" s="3">
        <f t="shared" si="121"/>
        <v>0.73</v>
      </c>
      <c r="GT12" s="4">
        <f t="shared" si="122"/>
        <v>0.73</v>
      </c>
      <c r="GU12" s="3">
        <v>0.28000000000000003</v>
      </c>
      <c r="GV12" s="3">
        <f t="shared" si="123"/>
        <v>0.28000000000000003</v>
      </c>
      <c r="GW12" s="4">
        <f t="shared" si="124"/>
        <v>0.28000000000000003</v>
      </c>
      <c r="GX12" s="3">
        <v>1.89</v>
      </c>
      <c r="GY12" s="3">
        <f t="shared" si="125"/>
        <v>1.89</v>
      </c>
      <c r="GZ12" s="21">
        <f t="shared" si="126"/>
        <v>1.89</v>
      </c>
    </row>
    <row r="13" spans="2:208">
      <c r="B13" s="20" t="s">
        <v>106</v>
      </c>
      <c r="C13" s="3">
        <v>3</v>
      </c>
      <c r="D13" s="3">
        <f t="shared" si="0"/>
        <v>3</v>
      </c>
      <c r="E13" s="4">
        <f t="shared" si="1"/>
        <v>3</v>
      </c>
      <c r="F13" s="3">
        <v>2.58</v>
      </c>
      <c r="G13" s="3">
        <f t="shared" si="2"/>
        <v>2.58</v>
      </c>
      <c r="H13" s="4" t="str">
        <f t="shared" si="3"/>
        <v/>
      </c>
      <c r="I13" s="3">
        <v>5.3</v>
      </c>
      <c r="J13" s="3">
        <f t="shared" si="4"/>
        <v>5.3</v>
      </c>
      <c r="K13" s="4">
        <f t="shared" si="5"/>
        <v>5.3</v>
      </c>
      <c r="L13" s="3">
        <v>5.61</v>
      </c>
      <c r="M13" s="3">
        <f t="shared" si="6"/>
        <v>5.61</v>
      </c>
      <c r="N13" s="4">
        <f t="shared" si="7"/>
        <v>5.61</v>
      </c>
      <c r="O13" s="3">
        <v>4.3099999999999996</v>
      </c>
      <c r="P13" s="3">
        <f t="shared" si="8"/>
        <v>4.3099999999999996</v>
      </c>
      <c r="Q13" s="4">
        <f t="shared" si="9"/>
        <v>4.3099999999999996</v>
      </c>
      <c r="R13" s="3">
        <v>4.84</v>
      </c>
      <c r="S13" s="3">
        <f t="shared" si="10"/>
        <v>4.84</v>
      </c>
      <c r="T13" s="4">
        <f t="shared" si="11"/>
        <v>4.84</v>
      </c>
      <c r="U13" s="3">
        <v>1.79</v>
      </c>
      <c r="V13" s="3">
        <f t="shared" si="12"/>
        <v>1.79</v>
      </c>
      <c r="W13" s="4">
        <f t="shared" si="13"/>
        <v>1.79</v>
      </c>
      <c r="X13" s="3">
        <v>2.23</v>
      </c>
      <c r="Y13" s="3">
        <f t="shared" si="14"/>
        <v>2.23</v>
      </c>
      <c r="Z13" s="21">
        <f t="shared" si="15"/>
        <v>2.23</v>
      </c>
      <c r="AB13" s="20" t="s">
        <v>107</v>
      </c>
      <c r="AC13" s="3">
        <v>2.84</v>
      </c>
      <c r="AD13" s="3">
        <f t="shared" si="16"/>
        <v>2.84</v>
      </c>
      <c r="AE13" s="4">
        <f t="shared" si="17"/>
        <v>2.84</v>
      </c>
      <c r="AF13" s="3">
        <v>5.45</v>
      </c>
      <c r="AG13" s="3">
        <f t="shared" si="18"/>
        <v>5.45</v>
      </c>
      <c r="AH13" s="4">
        <f t="shared" si="19"/>
        <v>5.45</v>
      </c>
      <c r="AI13" s="3">
        <v>5.18</v>
      </c>
      <c r="AJ13" s="3">
        <f t="shared" si="20"/>
        <v>5.18</v>
      </c>
      <c r="AK13" s="4">
        <f t="shared" si="21"/>
        <v>5.18</v>
      </c>
      <c r="AL13" s="3">
        <v>4.21</v>
      </c>
      <c r="AM13" s="3">
        <f t="shared" si="22"/>
        <v>4.21</v>
      </c>
      <c r="AN13" s="4">
        <f t="shared" si="23"/>
        <v>4.21</v>
      </c>
      <c r="AO13" s="3">
        <v>0</v>
      </c>
      <c r="AP13" s="3" t="str">
        <f t="shared" si="24"/>
        <v/>
      </c>
      <c r="AQ13" s="4" t="str">
        <f t="shared" si="25"/>
        <v/>
      </c>
      <c r="AR13" s="3">
        <v>3.75</v>
      </c>
      <c r="AS13" s="3">
        <f t="shared" si="26"/>
        <v>3.75</v>
      </c>
      <c r="AT13" s="4">
        <f t="shared" si="27"/>
        <v>3.75</v>
      </c>
      <c r="AU13" s="3">
        <v>3.08</v>
      </c>
      <c r="AV13" s="3">
        <f t="shared" si="28"/>
        <v>3.08</v>
      </c>
      <c r="AW13" s="4">
        <f t="shared" si="29"/>
        <v>3.08</v>
      </c>
      <c r="AX13" s="3">
        <v>3.48</v>
      </c>
      <c r="AY13" s="3">
        <f t="shared" si="30"/>
        <v>3.48</v>
      </c>
      <c r="AZ13" s="21">
        <f t="shared" si="31"/>
        <v>3.48</v>
      </c>
      <c r="BB13" s="20" t="s">
        <v>108</v>
      </c>
      <c r="BC13" s="3">
        <v>3.92</v>
      </c>
      <c r="BD13" s="3">
        <f t="shared" si="32"/>
        <v>3.92</v>
      </c>
      <c r="BE13" s="4">
        <f t="shared" si="33"/>
        <v>3.92</v>
      </c>
      <c r="BF13" s="3">
        <v>4.26</v>
      </c>
      <c r="BG13" s="3">
        <f t="shared" si="34"/>
        <v>4.26</v>
      </c>
      <c r="BH13" s="4">
        <f t="shared" si="35"/>
        <v>4.26</v>
      </c>
      <c r="BI13" s="3">
        <v>4.1900000000000004</v>
      </c>
      <c r="BJ13" s="3">
        <f t="shared" si="36"/>
        <v>4.1900000000000004</v>
      </c>
      <c r="BK13" s="4">
        <f t="shared" si="37"/>
        <v>4.1900000000000004</v>
      </c>
      <c r="BL13" s="3">
        <v>4.32</v>
      </c>
      <c r="BM13" s="3">
        <f t="shared" si="38"/>
        <v>4.32</v>
      </c>
      <c r="BN13" s="4">
        <f t="shared" si="39"/>
        <v>4.32</v>
      </c>
      <c r="BO13" s="3">
        <v>3.6</v>
      </c>
      <c r="BP13" s="3">
        <f t="shared" si="40"/>
        <v>3.6</v>
      </c>
      <c r="BQ13" s="4">
        <f t="shared" si="41"/>
        <v>3.6</v>
      </c>
      <c r="BR13" s="3">
        <v>3.14</v>
      </c>
      <c r="BS13" s="3">
        <f t="shared" si="42"/>
        <v>3.14</v>
      </c>
      <c r="BT13" s="4">
        <f t="shared" si="43"/>
        <v>3.14</v>
      </c>
      <c r="BU13" s="3">
        <v>1.64</v>
      </c>
      <c r="BV13" s="3">
        <f t="shared" si="44"/>
        <v>1.64</v>
      </c>
      <c r="BW13" s="4">
        <f t="shared" si="45"/>
        <v>1.64</v>
      </c>
      <c r="BX13" s="3">
        <v>1.21</v>
      </c>
      <c r="BY13" s="3">
        <f t="shared" si="46"/>
        <v>1.21</v>
      </c>
      <c r="BZ13" s="21">
        <f t="shared" si="47"/>
        <v>1.21</v>
      </c>
      <c r="CB13" s="20" t="s">
        <v>109</v>
      </c>
      <c r="CC13" s="3">
        <v>4.17</v>
      </c>
      <c r="CD13" s="3">
        <f t="shared" si="48"/>
        <v>4.17</v>
      </c>
      <c r="CE13" s="4">
        <f t="shared" si="49"/>
        <v>4.17</v>
      </c>
      <c r="CF13" s="3">
        <v>6.06</v>
      </c>
      <c r="CG13" s="3">
        <f t="shared" si="50"/>
        <v>6.06</v>
      </c>
      <c r="CH13" s="4">
        <f t="shared" si="51"/>
        <v>6.06</v>
      </c>
      <c r="CI13" s="3">
        <v>3.28</v>
      </c>
      <c r="CJ13" s="3">
        <f t="shared" si="52"/>
        <v>3.28</v>
      </c>
      <c r="CK13" s="4">
        <f t="shared" si="53"/>
        <v>3.28</v>
      </c>
      <c r="CL13" s="3">
        <v>5.1100000000000003</v>
      </c>
      <c r="CM13" s="3">
        <f t="shared" si="54"/>
        <v>5.1100000000000003</v>
      </c>
      <c r="CN13" s="4">
        <f t="shared" si="55"/>
        <v>5.1100000000000003</v>
      </c>
      <c r="CO13" s="3">
        <v>5.45</v>
      </c>
      <c r="CP13" s="3">
        <f t="shared" si="56"/>
        <v>5.45</v>
      </c>
      <c r="CQ13" s="4">
        <f t="shared" si="57"/>
        <v>5.45</v>
      </c>
      <c r="CR13" s="3">
        <v>1.83</v>
      </c>
      <c r="CS13" s="3">
        <f t="shared" si="58"/>
        <v>1.83</v>
      </c>
      <c r="CT13" s="4">
        <f t="shared" si="59"/>
        <v>1.83</v>
      </c>
      <c r="CU13" s="3">
        <v>3.72</v>
      </c>
      <c r="CV13" s="3">
        <f t="shared" si="60"/>
        <v>3.72</v>
      </c>
      <c r="CW13" s="4">
        <f t="shared" si="61"/>
        <v>3.72</v>
      </c>
      <c r="CX13" s="3">
        <v>3.11</v>
      </c>
      <c r="CY13" s="3">
        <f t="shared" si="62"/>
        <v>3.11</v>
      </c>
      <c r="CZ13" s="21">
        <f t="shared" si="63"/>
        <v>3.11</v>
      </c>
      <c r="DB13" s="20" t="s">
        <v>110</v>
      </c>
      <c r="DC13" s="3">
        <v>1.61</v>
      </c>
      <c r="DD13" s="3">
        <f t="shared" si="64"/>
        <v>1.61</v>
      </c>
      <c r="DE13" s="4">
        <f t="shared" si="65"/>
        <v>1.61</v>
      </c>
      <c r="DF13" s="3">
        <v>1.17</v>
      </c>
      <c r="DG13" s="3">
        <f t="shared" si="66"/>
        <v>1.17</v>
      </c>
      <c r="DH13" s="4">
        <f t="shared" si="67"/>
        <v>1.17</v>
      </c>
      <c r="DI13" s="3">
        <v>2.59</v>
      </c>
      <c r="DJ13" s="3">
        <f t="shared" si="68"/>
        <v>2.59</v>
      </c>
      <c r="DK13" s="4">
        <f t="shared" si="69"/>
        <v>2.59</v>
      </c>
      <c r="DL13" s="3">
        <v>3.56</v>
      </c>
      <c r="DM13" s="3">
        <f t="shared" si="127"/>
        <v>3.56</v>
      </c>
      <c r="DN13" s="4">
        <f t="shared" si="70"/>
        <v>3.56</v>
      </c>
      <c r="DO13" s="3">
        <v>6.72</v>
      </c>
      <c r="DP13" s="3">
        <f t="shared" si="71"/>
        <v>6.72</v>
      </c>
      <c r="DQ13" s="4" t="str">
        <f t="shared" si="72"/>
        <v/>
      </c>
      <c r="DR13" s="3">
        <v>1.17</v>
      </c>
      <c r="DS13" s="3">
        <f t="shared" si="73"/>
        <v>1.17</v>
      </c>
      <c r="DT13" s="4">
        <f t="shared" si="74"/>
        <v>1.17</v>
      </c>
      <c r="DU13" s="3">
        <v>1.17</v>
      </c>
      <c r="DV13" s="3">
        <f t="shared" si="75"/>
        <v>1.17</v>
      </c>
      <c r="DW13" s="4">
        <f t="shared" si="76"/>
        <v>1.17</v>
      </c>
      <c r="DX13" s="3">
        <v>0.85</v>
      </c>
      <c r="DY13" s="3">
        <f t="shared" si="77"/>
        <v>0.85</v>
      </c>
      <c r="DZ13" s="21" t="str">
        <f t="shared" si="78"/>
        <v/>
      </c>
      <c r="EB13" s="20" t="s">
        <v>111</v>
      </c>
      <c r="EC13" s="3">
        <v>0.53</v>
      </c>
      <c r="ED13" s="3">
        <f t="shared" si="79"/>
        <v>0.53</v>
      </c>
      <c r="EE13" s="4">
        <f t="shared" si="80"/>
        <v>0.53</v>
      </c>
      <c r="EF13" s="3">
        <v>3.04</v>
      </c>
      <c r="EG13" s="3">
        <f t="shared" si="81"/>
        <v>3.04</v>
      </c>
      <c r="EH13" s="4">
        <f t="shared" si="82"/>
        <v>3.04</v>
      </c>
      <c r="EI13" s="3">
        <v>0.39</v>
      </c>
      <c r="EJ13" s="3">
        <f t="shared" si="83"/>
        <v>0.39</v>
      </c>
      <c r="EK13" s="4">
        <f t="shared" si="84"/>
        <v>0.39</v>
      </c>
      <c r="EL13" s="3">
        <v>1.61</v>
      </c>
      <c r="EM13" s="3">
        <f t="shared" si="85"/>
        <v>1.61</v>
      </c>
      <c r="EN13" s="4">
        <f t="shared" si="86"/>
        <v>1.61</v>
      </c>
      <c r="EO13" s="3">
        <v>2.21</v>
      </c>
      <c r="EP13" s="3">
        <f t="shared" si="87"/>
        <v>2.21</v>
      </c>
      <c r="EQ13" s="4">
        <f t="shared" si="88"/>
        <v>2.21</v>
      </c>
      <c r="ER13" s="3">
        <v>1.89</v>
      </c>
      <c r="ES13" s="3">
        <f t="shared" si="89"/>
        <v>1.89</v>
      </c>
      <c r="ET13" s="4">
        <f t="shared" si="90"/>
        <v>1.89</v>
      </c>
      <c r="EU13" s="3">
        <v>0.73</v>
      </c>
      <c r="EV13" s="3">
        <f t="shared" si="91"/>
        <v>0.73</v>
      </c>
      <c r="EW13" s="4">
        <f t="shared" si="92"/>
        <v>0.73</v>
      </c>
      <c r="EX13" s="3">
        <v>0</v>
      </c>
      <c r="EY13" s="3" t="str">
        <f t="shared" si="93"/>
        <v/>
      </c>
      <c r="EZ13" s="21" t="str">
        <f t="shared" si="94"/>
        <v/>
      </c>
      <c r="FB13" s="20" t="s">
        <v>112</v>
      </c>
      <c r="FC13" s="3">
        <v>10.83</v>
      </c>
      <c r="FD13" s="3">
        <f t="shared" si="95"/>
        <v>10.83</v>
      </c>
      <c r="FE13" s="4">
        <f t="shared" si="96"/>
        <v>10.83</v>
      </c>
      <c r="FF13" s="3">
        <v>1.37</v>
      </c>
      <c r="FG13" s="3">
        <f t="shared" si="97"/>
        <v>1.37</v>
      </c>
      <c r="FH13" s="4">
        <f t="shared" si="98"/>
        <v>1.37</v>
      </c>
      <c r="FI13" s="3">
        <v>1.61</v>
      </c>
      <c r="FJ13" s="3">
        <f t="shared" si="99"/>
        <v>1.61</v>
      </c>
      <c r="FK13" s="4">
        <f t="shared" si="100"/>
        <v>1.61</v>
      </c>
      <c r="FL13" s="3">
        <v>3.04</v>
      </c>
      <c r="FM13" s="3">
        <f t="shared" si="101"/>
        <v>3.04</v>
      </c>
      <c r="FN13" s="4">
        <f t="shared" si="102"/>
        <v>3.04</v>
      </c>
      <c r="FO13" s="3">
        <v>1.89</v>
      </c>
      <c r="FP13" s="3">
        <f t="shared" si="103"/>
        <v>1.89</v>
      </c>
      <c r="FQ13" s="4">
        <f t="shared" si="104"/>
        <v>1.89</v>
      </c>
      <c r="FR13" s="3">
        <v>2.21</v>
      </c>
      <c r="FS13" s="3">
        <f t="shared" si="105"/>
        <v>2.21</v>
      </c>
      <c r="FT13" s="4">
        <f t="shared" si="106"/>
        <v>2.21</v>
      </c>
      <c r="FU13" s="3">
        <v>0.2</v>
      </c>
      <c r="FV13" s="3">
        <f t="shared" si="107"/>
        <v>0.2</v>
      </c>
      <c r="FW13" s="4">
        <f t="shared" si="108"/>
        <v>0.2</v>
      </c>
      <c r="FX13" s="3">
        <v>0.2</v>
      </c>
      <c r="FY13" s="3">
        <f t="shared" si="109"/>
        <v>0.2</v>
      </c>
      <c r="FZ13" s="21">
        <f t="shared" si="110"/>
        <v>0.2</v>
      </c>
      <c r="GB13" s="20" t="s">
        <v>113</v>
      </c>
      <c r="GC13" s="3">
        <v>0.73</v>
      </c>
      <c r="GD13" s="3">
        <f t="shared" si="111"/>
        <v>0.73</v>
      </c>
      <c r="GE13" s="4" t="str">
        <f t="shared" si="112"/>
        <v/>
      </c>
      <c r="GF13" s="3">
        <v>0.45</v>
      </c>
      <c r="GG13" s="3">
        <f t="shared" si="113"/>
        <v>0.45</v>
      </c>
      <c r="GH13" s="4">
        <f t="shared" si="114"/>
        <v>0.45</v>
      </c>
      <c r="GI13" s="3">
        <v>0.15</v>
      </c>
      <c r="GJ13" s="3">
        <f t="shared" si="115"/>
        <v>0.15</v>
      </c>
      <c r="GK13" s="4">
        <f t="shared" si="116"/>
        <v>0.15</v>
      </c>
      <c r="GL13" s="3">
        <v>1.17</v>
      </c>
      <c r="GM13" s="3">
        <f t="shared" si="117"/>
        <v>1.17</v>
      </c>
      <c r="GN13" s="4">
        <f t="shared" si="118"/>
        <v>1.17</v>
      </c>
      <c r="GO13" s="3">
        <v>1.61</v>
      </c>
      <c r="GP13" s="3">
        <f t="shared" si="119"/>
        <v>1.61</v>
      </c>
      <c r="GQ13" s="4">
        <f t="shared" si="120"/>
        <v>1.61</v>
      </c>
      <c r="GR13" s="3">
        <v>0.73</v>
      </c>
      <c r="GS13" s="3">
        <f t="shared" si="121"/>
        <v>0.73</v>
      </c>
      <c r="GT13" s="4">
        <f t="shared" si="122"/>
        <v>0.73</v>
      </c>
      <c r="GU13" s="3">
        <v>0.28000000000000003</v>
      </c>
      <c r="GV13" s="3">
        <f t="shared" si="123"/>
        <v>0.28000000000000003</v>
      </c>
      <c r="GW13" s="4">
        <f t="shared" si="124"/>
        <v>0.28000000000000003</v>
      </c>
      <c r="GX13" s="3">
        <v>3.56</v>
      </c>
      <c r="GY13" s="3">
        <f t="shared" si="125"/>
        <v>3.56</v>
      </c>
      <c r="GZ13" s="21" t="str">
        <f t="shared" si="126"/>
        <v/>
      </c>
    </row>
    <row r="14" spans="2:208">
      <c r="B14" s="20" t="s">
        <v>114</v>
      </c>
      <c r="C14" s="3">
        <v>3.02</v>
      </c>
      <c r="D14" s="3">
        <f t="shared" si="0"/>
        <v>3.02</v>
      </c>
      <c r="E14" s="4">
        <f t="shared" si="1"/>
        <v>3.02</v>
      </c>
      <c r="F14" s="3">
        <v>4.3899999999999997</v>
      </c>
      <c r="G14" s="3">
        <f t="shared" si="2"/>
        <v>4.3899999999999997</v>
      </c>
      <c r="H14" s="4">
        <f t="shared" si="3"/>
        <v>4.3899999999999997</v>
      </c>
      <c r="I14" s="3">
        <v>5.27</v>
      </c>
      <c r="J14" s="3">
        <f t="shared" si="4"/>
        <v>5.27</v>
      </c>
      <c r="K14" s="4">
        <f t="shared" si="5"/>
        <v>5.27</v>
      </c>
      <c r="L14" s="3">
        <v>5.64</v>
      </c>
      <c r="M14" s="3">
        <f t="shared" si="6"/>
        <v>5.64</v>
      </c>
      <c r="N14" s="4">
        <f t="shared" si="7"/>
        <v>5.64</v>
      </c>
      <c r="O14" s="3">
        <v>4.3499999999999996</v>
      </c>
      <c r="P14" s="3">
        <f t="shared" si="8"/>
        <v>4.3499999999999996</v>
      </c>
      <c r="Q14" s="4">
        <f t="shared" si="9"/>
        <v>4.3499999999999996</v>
      </c>
      <c r="R14" s="3">
        <v>4.8499999999999996</v>
      </c>
      <c r="S14" s="3">
        <f t="shared" si="10"/>
        <v>4.8499999999999996</v>
      </c>
      <c r="T14" s="4">
        <f t="shared" si="11"/>
        <v>4.8499999999999996</v>
      </c>
      <c r="U14" s="3">
        <v>1.73</v>
      </c>
      <c r="V14" s="3">
        <f t="shared" si="12"/>
        <v>1.73</v>
      </c>
      <c r="W14" s="4">
        <f t="shared" si="13"/>
        <v>1.73</v>
      </c>
      <c r="X14" s="3">
        <v>2.2400000000000002</v>
      </c>
      <c r="Y14" s="3">
        <f t="shared" si="14"/>
        <v>2.2400000000000002</v>
      </c>
      <c r="Z14" s="21">
        <f t="shared" si="15"/>
        <v>2.2400000000000002</v>
      </c>
      <c r="AB14" s="20" t="s">
        <v>115</v>
      </c>
      <c r="AC14" s="3">
        <v>2.82</v>
      </c>
      <c r="AD14" s="3">
        <f t="shared" si="16"/>
        <v>2.82</v>
      </c>
      <c r="AE14" s="4">
        <f t="shared" si="17"/>
        <v>2.82</v>
      </c>
      <c r="AF14" s="3">
        <v>5.4</v>
      </c>
      <c r="AG14" s="3">
        <f t="shared" si="18"/>
        <v>5.4</v>
      </c>
      <c r="AH14" s="4">
        <f t="shared" si="19"/>
        <v>5.4</v>
      </c>
      <c r="AI14" s="3">
        <v>5.17</v>
      </c>
      <c r="AJ14" s="3">
        <f t="shared" si="20"/>
        <v>5.17</v>
      </c>
      <c r="AK14" s="4">
        <f t="shared" si="21"/>
        <v>5.17</v>
      </c>
      <c r="AL14" s="3">
        <v>6.09</v>
      </c>
      <c r="AM14" s="3">
        <f t="shared" si="22"/>
        <v>6.09</v>
      </c>
      <c r="AN14" s="4">
        <f t="shared" si="23"/>
        <v>6.09</v>
      </c>
      <c r="AO14" s="3">
        <v>5.15</v>
      </c>
      <c r="AP14" s="3">
        <f t="shared" si="24"/>
        <v>5.15</v>
      </c>
      <c r="AQ14" s="4">
        <f t="shared" si="25"/>
        <v>5.15</v>
      </c>
      <c r="AR14" s="3">
        <v>3.74</v>
      </c>
      <c r="AS14" s="3">
        <f t="shared" si="26"/>
        <v>3.74</v>
      </c>
      <c r="AT14" s="4">
        <f t="shared" si="27"/>
        <v>3.74</v>
      </c>
      <c r="AU14" s="3">
        <v>3.07</v>
      </c>
      <c r="AV14" s="3">
        <f t="shared" si="28"/>
        <v>3.07</v>
      </c>
      <c r="AW14" s="4">
        <f t="shared" si="29"/>
        <v>3.07</v>
      </c>
      <c r="AX14" s="3">
        <v>3.15</v>
      </c>
      <c r="AY14" s="3">
        <f t="shared" si="30"/>
        <v>3.15</v>
      </c>
      <c r="AZ14" s="21">
        <f t="shared" si="31"/>
        <v>3.15</v>
      </c>
      <c r="BB14" s="20" t="s">
        <v>116</v>
      </c>
      <c r="BC14" s="3">
        <v>3.91</v>
      </c>
      <c r="BD14" s="3">
        <f t="shared" si="32"/>
        <v>3.91</v>
      </c>
      <c r="BE14" s="4">
        <f t="shared" si="33"/>
        <v>3.91</v>
      </c>
      <c r="BF14" s="3">
        <v>4.26</v>
      </c>
      <c r="BG14" s="3">
        <f t="shared" si="34"/>
        <v>4.26</v>
      </c>
      <c r="BH14" s="4">
        <f t="shared" si="35"/>
        <v>4.26</v>
      </c>
      <c r="BI14" s="3">
        <v>4.16</v>
      </c>
      <c r="BJ14" s="3">
        <f t="shared" si="36"/>
        <v>4.16</v>
      </c>
      <c r="BK14" s="4">
        <f t="shared" si="37"/>
        <v>4.16</v>
      </c>
      <c r="BL14" s="3">
        <v>4.3</v>
      </c>
      <c r="BM14" s="3">
        <f t="shared" si="38"/>
        <v>4.3</v>
      </c>
      <c r="BN14" s="4">
        <f t="shared" si="39"/>
        <v>4.3</v>
      </c>
      <c r="BO14" s="3">
        <v>3.62</v>
      </c>
      <c r="BP14" s="3">
        <f t="shared" si="40"/>
        <v>3.62</v>
      </c>
      <c r="BQ14" s="4">
        <f t="shared" si="41"/>
        <v>3.62</v>
      </c>
      <c r="BR14" s="3">
        <v>3.12</v>
      </c>
      <c r="BS14" s="3">
        <f t="shared" si="42"/>
        <v>3.12</v>
      </c>
      <c r="BT14" s="4">
        <f t="shared" si="43"/>
        <v>3.12</v>
      </c>
      <c r="BU14" s="3">
        <v>1.65</v>
      </c>
      <c r="BV14" s="3">
        <f t="shared" si="44"/>
        <v>1.65</v>
      </c>
      <c r="BW14" s="4">
        <f t="shared" si="45"/>
        <v>1.65</v>
      </c>
      <c r="BX14" s="3">
        <v>1.29</v>
      </c>
      <c r="BY14" s="3">
        <f t="shared" si="46"/>
        <v>1.29</v>
      </c>
      <c r="BZ14" s="21">
        <f t="shared" si="47"/>
        <v>1.29</v>
      </c>
      <c r="CB14" s="20" t="s">
        <v>117</v>
      </c>
      <c r="CC14" s="3">
        <v>4.17</v>
      </c>
      <c r="CD14" s="3">
        <f t="shared" si="48"/>
        <v>4.17</v>
      </c>
      <c r="CE14" s="4">
        <f t="shared" si="49"/>
        <v>4.17</v>
      </c>
      <c r="CF14" s="3">
        <v>6.12</v>
      </c>
      <c r="CG14" s="3">
        <f t="shared" si="50"/>
        <v>6.12</v>
      </c>
      <c r="CH14" s="4">
        <f t="shared" si="51"/>
        <v>6.12</v>
      </c>
      <c r="CI14" s="3">
        <v>2.06</v>
      </c>
      <c r="CJ14" s="3">
        <f t="shared" si="52"/>
        <v>2.06</v>
      </c>
      <c r="CK14" s="4" t="str">
        <f t="shared" si="53"/>
        <v/>
      </c>
      <c r="CL14" s="3">
        <v>5.17</v>
      </c>
      <c r="CM14" s="3">
        <f t="shared" si="54"/>
        <v>5.17</v>
      </c>
      <c r="CN14" s="4">
        <f t="shared" si="55"/>
        <v>5.17</v>
      </c>
      <c r="CO14" s="3">
        <v>5.45</v>
      </c>
      <c r="CP14" s="3">
        <f t="shared" si="56"/>
        <v>5.45</v>
      </c>
      <c r="CQ14" s="4">
        <f t="shared" si="57"/>
        <v>5.45</v>
      </c>
      <c r="CR14" s="3">
        <v>1.85</v>
      </c>
      <c r="CS14" s="3">
        <f t="shared" si="58"/>
        <v>1.85</v>
      </c>
      <c r="CT14" s="4">
        <f t="shared" si="59"/>
        <v>1.85</v>
      </c>
      <c r="CU14" s="3">
        <v>3.76</v>
      </c>
      <c r="CV14" s="3">
        <f t="shared" si="60"/>
        <v>3.76</v>
      </c>
      <c r="CW14" s="4">
        <f t="shared" si="61"/>
        <v>3.76</v>
      </c>
      <c r="CX14" s="3">
        <v>3.29</v>
      </c>
      <c r="CY14" s="3">
        <f t="shared" si="62"/>
        <v>3.29</v>
      </c>
      <c r="CZ14" s="21">
        <f t="shared" si="63"/>
        <v>3.29</v>
      </c>
      <c r="DB14" s="20" t="s">
        <v>118</v>
      </c>
      <c r="DC14" s="3">
        <v>2.59</v>
      </c>
      <c r="DD14" s="3">
        <f t="shared" si="64"/>
        <v>2.59</v>
      </c>
      <c r="DE14" s="4">
        <f t="shared" si="65"/>
        <v>2.59</v>
      </c>
      <c r="DF14" s="3">
        <v>1.17</v>
      </c>
      <c r="DG14" s="3">
        <f t="shared" si="66"/>
        <v>1.17</v>
      </c>
      <c r="DH14" s="4">
        <f t="shared" si="67"/>
        <v>1.17</v>
      </c>
      <c r="DI14" s="3">
        <v>2.59</v>
      </c>
      <c r="DJ14" s="3">
        <f t="shared" si="68"/>
        <v>2.59</v>
      </c>
      <c r="DK14" s="4">
        <f t="shared" si="69"/>
        <v>2.59</v>
      </c>
      <c r="DL14" s="3">
        <v>3.56</v>
      </c>
      <c r="DM14" s="3">
        <f t="shared" si="127"/>
        <v>3.56</v>
      </c>
      <c r="DN14" s="4">
        <f t="shared" si="70"/>
        <v>3.56</v>
      </c>
      <c r="DO14" s="3">
        <v>1.17</v>
      </c>
      <c r="DP14" s="3">
        <f t="shared" si="71"/>
        <v>1.17</v>
      </c>
      <c r="DQ14" s="4">
        <f t="shared" si="72"/>
        <v>1.17</v>
      </c>
      <c r="DR14" s="3">
        <v>1.17</v>
      </c>
      <c r="DS14" s="3">
        <f t="shared" si="73"/>
        <v>1.17</v>
      </c>
      <c r="DT14" s="4">
        <f t="shared" si="74"/>
        <v>1.17</v>
      </c>
      <c r="DU14" s="3">
        <v>1.37</v>
      </c>
      <c r="DV14" s="3">
        <f t="shared" si="75"/>
        <v>1.37</v>
      </c>
      <c r="DW14" s="4">
        <f t="shared" si="76"/>
        <v>1.37</v>
      </c>
      <c r="DX14" s="3">
        <v>0</v>
      </c>
      <c r="DY14" s="3" t="str">
        <f t="shared" si="77"/>
        <v/>
      </c>
      <c r="DZ14" s="21" t="str">
        <f t="shared" si="78"/>
        <v/>
      </c>
      <c r="EB14" s="20" t="s">
        <v>119</v>
      </c>
      <c r="EC14" s="3">
        <v>0.53</v>
      </c>
      <c r="ED14" s="3">
        <f t="shared" si="79"/>
        <v>0.53</v>
      </c>
      <c r="EE14" s="4">
        <f t="shared" si="80"/>
        <v>0.53</v>
      </c>
      <c r="EF14" s="3">
        <v>4.18</v>
      </c>
      <c r="EG14" s="3">
        <f t="shared" si="81"/>
        <v>4.18</v>
      </c>
      <c r="EH14" s="4">
        <f t="shared" si="82"/>
        <v>4.18</v>
      </c>
      <c r="EI14" s="3">
        <v>0.39</v>
      </c>
      <c r="EJ14" s="3">
        <f t="shared" si="83"/>
        <v>0.39</v>
      </c>
      <c r="EK14" s="4">
        <f t="shared" si="84"/>
        <v>0.39</v>
      </c>
      <c r="EL14" s="3">
        <v>3.56</v>
      </c>
      <c r="EM14" s="3">
        <f t="shared" si="85"/>
        <v>3.56</v>
      </c>
      <c r="EN14" s="4" t="str">
        <f t="shared" si="86"/>
        <v/>
      </c>
      <c r="EO14" s="3">
        <v>2.21</v>
      </c>
      <c r="EP14" s="3">
        <f t="shared" si="87"/>
        <v>2.21</v>
      </c>
      <c r="EQ14" s="4">
        <f t="shared" si="88"/>
        <v>2.21</v>
      </c>
      <c r="ER14" s="3">
        <v>1.61</v>
      </c>
      <c r="ES14" s="3">
        <f t="shared" si="89"/>
        <v>1.61</v>
      </c>
      <c r="ET14" s="4">
        <f t="shared" si="90"/>
        <v>1.61</v>
      </c>
      <c r="EU14" s="3">
        <v>0.73</v>
      </c>
      <c r="EV14" s="3">
        <f t="shared" si="91"/>
        <v>0.73</v>
      </c>
      <c r="EW14" s="4">
        <f t="shared" si="92"/>
        <v>0.73</v>
      </c>
      <c r="EX14" s="3">
        <v>4.18</v>
      </c>
      <c r="EY14" s="3">
        <f t="shared" si="93"/>
        <v>4.18</v>
      </c>
      <c r="EZ14" s="21" t="str">
        <f t="shared" si="94"/>
        <v/>
      </c>
      <c r="FB14" s="20" t="s">
        <v>120</v>
      </c>
      <c r="FC14" s="3">
        <v>12.69</v>
      </c>
      <c r="FD14" s="3">
        <f t="shared" si="95"/>
        <v>12.69</v>
      </c>
      <c r="FE14" s="4">
        <f t="shared" si="96"/>
        <v>12.69</v>
      </c>
      <c r="FF14" s="3">
        <v>1.37</v>
      </c>
      <c r="FG14" s="3">
        <f t="shared" si="97"/>
        <v>1.37</v>
      </c>
      <c r="FH14" s="4">
        <f t="shared" si="98"/>
        <v>1.37</v>
      </c>
      <c r="FI14" s="3">
        <v>1.61</v>
      </c>
      <c r="FJ14" s="3">
        <f t="shared" si="99"/>
        <v>1.61</v>
      </c>
      <c r="FK14" s="4">
        <f t="shared" si="100"/>
        <v>1.61</v>
      </c>
      <c r="FL14" s="3">
        <v>0</v>
      </c>
      <c r="FM14" s="3" t="str">
        <f t="shared" si="101"/>
        <v/>
      </c>
      <c r="FN14" s="4" t="str">
        <f t="shared" si="102"/>
        <v/>
      </c>
      <c r="FO14" s="3">
        <v>1.61</v>
      </c>
      <c r="FP14" s="3">
        <f t="shared" si="103"/>
        <v>1.61</v>
      </c>
      <c r="FQ14" s="4">
        <f t="shared" si="104"/>
        <v>1.61</v>
      </c>
      <c r="FR14" s="3">
        <v>2.21</v>
      </c>
      <c r="FS14" s="3">
        <f t="shared" si="105"/>
        <v>2.21</v>
      </c>
      <c r="FT14" s="4">
        <f t="shared" si="106"/>
        <v>2.21</v>
      </c>
      <c r="FU14" s="3">
        <v>0.17</v>
      </c>
      <c r="FV14" s="3">
        <f t="shared" si="107"/>
        <v>0.17</v>
      </c>
      <c r="FW14" s="4">
        <f t="shared" si="108"/>
        <v>0.17</v>
      </c>
      <c r="FX14" s="3">
        <v>0.2</v>
      </c>
      <c r="FY14" s="3">
        <f t="shared" si="109"/>
        <v>0.2</v>
      </c>
      <c r="FZ14" s="21">
        <f t="shared" si="110"/>
        <v>0.2</v>
      </c>
      <c r="GB14" s="20" t="s">
        <v>121</v>
      </c>
      <c r="GC14" s="3">
        <v>0.85</v>
      </c>
      <c r="GD14" s="3">
        <f t="shared" si="111"/>
        <v>0.85</v>
      </c>
      <c r="GE14" s="4">
        <f t="shared" si="112"/>
        <v>0.85</v>
      </c>
      <c r="GF14" s="3">
        <v>0.45</v>
      </c>
      <c r="GG14" s="3">
        <f t="shared" si="113"/>
        <v>0.45</v>
      </c>
      <c r="GH14" s="4">
        <f t="shared" si="114"/>
        <v>0.45</v>
      </c>
      <c r="GI14" s="3">
        <v>0.15</v>
      </c>
      <c r="GJ14" s="3">
        <f t="shared" si="115"/>
        <v>0.15</v>
      </c>
      <c r="GK14" s="4">
        <f t="shared" si="116"/>
        <v>0.15</v>
      </c>
      <c r="GL14" s="3">
        <v>1.17</v>
      </c>
      <c r="GM14" s="3">
        <f t="shared" si="117"/>
        <v>1.17</v>
      </c>
      <c r="GN14" s="4">
        <f t="shared" si="118"/>
        <v>1.17</v>
      </c>
      <c r="GO14" s="3">
        <v>1.89</v>
      </c>
      <c r="GP14" s="3">
        <f t="shared" si="119"/>
        <v>1.89</v>
      </c>
      <c r="GQ14" s="4">
        <f t="shared" si="120"/>
        <v>1.89</v>
      </c>
      <c r="GR14" s="3">
        <v>0.73</v>
      </c>
      <c r="GS14" s="3">
        <f t="shared" si="121"/>
        <v>0.73</v>
      </c>
      <c r="GT14" s="4">
        <f t="shared" si="122"/>
        <v>0.73</v>
      </c>
      <c r="GU14" s="3">
        <v>0.28000000000000003</v>
      </c>
      <c r="GV14" s="3">
        <f t="shared" si="123"/>
        <v>0.28000000000000003</v>
      </c>
      <c r="GW14" s="4">
        <f t="shared" si="124"/>
        <v>0.28000000000000003</v>
      </c>
      <c r="GX14" s="3">
        <v>2.59</v>
      </c>
      <c r="GY14" s="3">
        <f t="shared" si="125"/>
        <v>2.59</v>
      </c>
      <c r="GZ14" s="21">
        <f t="shared" si="126"/>
        <v>2.59</v>
      </c>
    </row>
    <row r="15" spans="2:208">
      <c r="B15" s="20" t="s">
        <v>122</v>
      </c>
      <c r="C15" s="3">
        <v>2.99</v>
      </c>
      <c r="D15" s="3">
        <f t="shared" si="0"/>
        <v>2.99</v>
      </c>
      <c r="E15" s="4">
        <f t="shared" si="1"/>
        <v>2.99</v>
      </c>
      <c r="F15" s="3">
        <v>0</v>
      </c>
      <c r="G15" s="3" t="str">
        <f t="shared" si="2"/>
        <v/>
      </c>
      <c r="H15" s="4" t="str">
        <f t="shared" si="3"/>
        <v/>
      </c>
      <c r="I15" s="3">
        <v>5.29</v>
      </c>
      <c r="J15" s="3">
        <f t="shared" si="4"/>
        <v>5.29</v>
      </c>
      <c r="K15" s="4">
        <f t="shared" si="5"/>
        <v>5.29</v>
      </c>
      <c r="L15" s="3">
        <v>0.61</v>
      </c>
      <c r="M15" s="3">
        <f t="shared" si="6"/>
        <v>0.61</v>
      </c>
      <c r="N15" s="4" t="str">
        <f t="shared" si="7"/>
        <v/>
      </c>
      <c r="O15" s="3">
        <v>4.33</v>
      </c>
      <c r="P15" s="3">
        <f t="shared" si="8"/>
        <v>4.33</v>
      </c>
      <c r="Q15" s="4">
        <f t="shared" si="9"/>
        <v>4.33</v>
      </c>
      <c r="R15" s="3">
        <v>4.84</v>
      </c>
      <c r="S15" s="3">
        <f t="shared" si="10"/>
        <v>4.84</v>
      </c>
      <c r="T15" s="4">
        <f t="shared" si="11"/>
        <v>4.84</v>
      </c>
      <c r="U15" s="3">
        <v>1.77</v>
      </c>
      <c r="V15" s="3">
        <f t="shared" si="12"/>
        <v>1.77</v>
      </c>
      <c r="W15" s="4">
        <f t="shared" si="13"/>
        <v>1.77</v>
      </c>
      <c r="X15" s="3">
        <v>2.2599999999999998</v>
      </c>
      <c r="Y15" s="3">
        <f t="shared" si="14"/>
        <v>2.2599999999999998</v>
      </c>
      <c r="Z15" s="21">
        <f t="shared" si="15"/>
        <v>2.2599999999999998</v>
      </c>
      <c r="AB15" s="20" t="s">
        <v>123</v>
      </c>
      <c r="AC15" s="3">
        <v>2.83</v>
      </c>
      <c r="AD15" s="3">
        <f t="shared" si="16"/>
        <v>2.83</v>
      </c>
      <c r="AE15" s="4">
        <f t="shared" si="17"/>
        <v>2.83</v>
      </c>
      <c r="AF15" s="3">
        <v>5.45</v>
      </c>
      <c r="AG15" s="3">
        <f t="shared" si="18"/>
        <v>5.45</v>
      </c>
      <c r="AH15" s="4">
        <f t="shared" si="19"/>
        <v>5.45</v>
      </c>
      <c r="AI15" s="3">
        <v>5.18</v>
      </c>
      <c r="AJ15" s="3">
        <f t="shared" si="20"/>
        <v>5.18</v>
      </c>
      <c r="AK15" s="4">
        <f t="shared" si="21"/>
        <v>5.18</v>
      </c>
      <c r="AL15" s="3">
        <v>6.08</v>
      </c>
      <c r="AM15" s="3">
        <f t="shared" si="22"/>
        <v>6.08</v>
      </c>
      <c r="AN15" s="4">
        <f t="shared" si="23"/>
        <v>6.08</v>
      </c>
      <c r="AO15" s="3">
        <v>0</v>
      </c>
      <c r="AP15" s="3" t="str">
        <f t="shared" si="24"/>
        <v/>
      </c>
      <c r="AQ15" s="4" t="str">
        <f t="shared" si="25"/>
        <v/>
      </c>
      <c r="AR15" s="3">
        <v>3.78</v>
      </c>
      <c r="AS15" s="3">
        <f t="shared" si="26"/>
        <v>3.78</v>
      </c>
      <c r="AT15" s="4">
        <f t="shared" si="27"/>
        <v>3.78</v>
      </c>
      <c r="AU15" s="3">
        <v>3.05</v>
      </c>
      <c r="AV15" s="3">
        <f t="shared" si="28"/>
        <v>3.05</v>
      </c>
      <c r="AW15" s="4">
        <f t="shared" si="29"/>
        <v>3.05</v>
      </c>
      <c r="AX15" s="3">
        <v>3.08</v>
      </c>
      <c r="AY15" s="3">
        <f t="shared" si="30"/>
        <v>3.08</v>
      </c>
      <c r="AZ15" s="21">
        <f t="shared" si="31"/>
        <v>3.08</v>
      </c>
      <c r="BB15" s="20" t="s">
        <v>124</v>
      </c>
      <c r="BC15" s="3">
        <v>3.92</v>
      </c>
      <c r="BD15" s="3">
        <f t="shared" si="32"/>
        <v>3.92</v>
      </c>
      <c r="BE15" s="4">
        <f t="shared" si="33"/>
        <v>3.92</v>
      </c>
      <c r="BF15" s="3">
        <v>4.28</v>
      </c>
      <c r="BG15" s="3">
        <f t="shared" si="34"/>
        <v>4.28</v>
      </c>
      <c r="BH15" s="4">
        <f t="shared" si="35"/>
        <v>4.28</v>
      </c>
      <c r="BI15" s="3">
        <v>4.22</v>
      </c>
      <c r="BJ15" s="3">
        <f t="shared" si="36"/>
        <v>4.22</v>
      </c>
      <c r="BK15" s="4">
        <f t="shared" si="37"/>
        <v>4.22</v>
      </c>
      <c r="BL15" s="3">
        <v>4.3</v>
      </c>
      <c r="BM15" s="3">
        <f t="shared" si="38"/>
        <v>4.3</v>
      </c>
      <c r="BN15" s="4">
        <f t="shared" si="39"/>
        <v>4.3</v>
      </c>
      <c r="BO15" s="3">
        <v>3.65</v>
      </c>
      <c r="BP15" s="3">
        <f t="shared" si="40"/>
        <v>3.65</v>
      </c>
      <c r="BQ15" s="4">
        <f t="shared" si="41"/>
        <v>3.65</v>
      </c>
      <c r="BR15" s="3">
        <v>3.13</v>
      </c>
      <c r="BS15" s="3">
        <f t="shared" si="42"/>
        <v>3.13</v>
      </c>
      <c r="BT15" s="4">
        <f t="shared" si="43"/>
        <v>3.13</v>
      </c>
      <c r="BU15" s="3">
        <v>1.65</v>
      </c>
      <c r="BV15" s="3">
        <f t="shared" si="44"/>
        <v>1.65</v>
      </c>
      <c r="BW15" s="4">
        <f t="shared" si="45"/>
        <v>1.65</v>
      </c>
      <c r="BX15" s="3">
        <v>1.24</v>
      </c>
      <c r="BY15" s="3">
        <f t="shared" si="46"/>
        <v>1.24</v>
      </c>
      <c r="BZ15" s="21">
        <f t="shared" si="47"/>
        <v>1.24</v>
      </c>
      <c r="CB15" s="20" t="s">
        <v>125</v>
      </c>
      <c r="CC15" s="3">
        <v>2.4</v>
      </c>
      <c r="CD15" s="3">
        <f t="shared" si="48"/>
        <v>2.4</v>
      </c>
      <c r="CE15" s="4" t="str">
        <f t="shared" si="49"/>
        <v/>
      </c>
      <c r="CF15" s="3">
        <v>6.07</v>
      </c>
      <c r="CG15" s="3">
        <f t="shared" si="50"/>
        <v>6.07</v>
      </c>
      <c r="CH15" s="4">
        <f t="shared" si="51"/>
        <v>6.07</v>
      </c>
      <c r="CI15" s="3">
        <v>3.8</v>
      </c>
      <c r="CJ15" s="3">
        <f t="shared" si="52"/>
        <v>3.8</v>
      </c>
      <c r="CK15" s="4">
        <f t="shared" si="53"/>
        <v>3.8</v>
      </c>
      <c r="CL15" s="3">
        <v>5.2</v>
      </c>
      <c r="CM15" s="3">
        <f t="shared" si="54"/>
        <v>5.2</v>
      </c>
      <c r="CN15" s="4">
        <f t="shared" si="55"/>
        <v>5.2</v>
      </c>
      <c r="CO15" s="3">
        <v>5.45</v>
      </c>
      <c r="CP15" s="3">
        <f t="shared" si="56"/>
        <v>5.45</v>
      </c>
      <c r="CQ15" s="4">
        <f t="shared" si="57"/>
        <v>5.45</v>
      </c>
      <c r="CR15" s="3">
        <v>1.84</v>
      </c>
      <c r="CS15" s="3">
        <f t="shared" si="58"/>
        <v>1.84</v>
      </c>
      <c r="CT15" s="4">
        <f t="shared" si="59"/>
        <v>1.84</v>
      </c>
      <c r="CU15" s="3">
        <v>1.68</v>
      </c>
      <c r="CV15" s="3">
        <f t="shared" si="60"/>
        <v>1.68</v>
      </c>
      <c r="CW15" s="4" t="str">
        <f t="shared" si="61"/>
        <v/>
      </c>
      <c r="CX15" s="3">
        <v>3.06</v>
      </c>
      <c r="CY15" s="3">
        <f t="shared" si="62"/>
        <v>3.06</v>
      </c>
      <c r="CZ15" s="21">
        <f t="shared" si="63"/>
        <v>3.06</v>
      </c>
      <c r="DB15" s="20" t="s">
        <v>126</v>
      </c>
      <c r="DC15" s="3">
        <v>2.59</v>
      </c>
      <c r="DD15" s="3">
        <f t="shared" si="64"/>
        <v>2.59</v>
      </c>
      <c r="DE15" s="4">
        <f t="shared" si="65"/>
        <v>2.59</v>
      </c>
      <c r="DF15" s="3">
        <v>1.17</v>
      </c>
      <c r="DG15" s="3">
        <f t="shared" si="66"/>
        <v>1.17</v>
      </c>
      <c r="DH15" s="4">
        <f t="shared" si="67"/>
        <v>1.17</v>
      </c>
      <c r="DI15" s="3">
        <v>2.59</v>
      </c>
      <c r="DJ15" s="3">
        <f t="shared" si="68"/>
        <v>2.59</v>
      </c>
      <c r="DK15" s="4">
        <f t="shared" si="69"/>
        <v>2.59</v>
      </c>
      <c r="DL15" s="3">
        <v>3.56</v>
      </c>
      <c r="DM15" s="3">
        <f t="shared" si="127"/>
        <v>3.56</v>
      </c>
      <c r="DN15" s="4">
        <f t="shared" si="70"/>
        <v>3.56</v>
      </c>
      <c r="DO15" s="3">
        <v>1.37</v>
      </c>
      <c r="DP15" s="3">
        <f t="shared" si="71"/>
        <v>1.37</v>
      </c>
      <c r="DQ15" s="4">
        <f t="shared" si="72"/>
        <v>1.37</v>
      </c>
      <c r="DR15" s="3">
        <v>1.37</v>
      </c>
      <c r="DS15" s="3">
        <f t="shared" si="73"/>
        <v>1.37</v>
      </c>
      <c r="DT15" s="4">
        <f t="shared" si="74"/>
        <v>1.37</v>
      </c>
      <c r="DU15" s="3">
        <v>0.33</v>
      </c>
      <c r="DV15" s="3">
        <f t="shared" si="75"/>
        <v>0.33</v>
      </c>
      <c r="DW15" s="4" t="str">
        <f t="shared" si="76"/>
        <v/>
      </c>
      <c r="DX15" s="3">
        <v>0</v>
      </c>
      <c r="DY15" s="3" t="str">
        <f t="shared" si="77"/>
        <v/>
      </c>
      <c r="DZ15" s="21" t="str">
        <f t="shared" si="78"/>
        <v/>
      </c>
      <c r="EB15" s="20" t="s">
        <v>127</v>
      </c>
      <c r="EC15" s="3">
        <v>0.53</v>
      </c>
      <c r="ED15" s="3">
        <f t="shared" si="79"/>
        <v>0.53</v>
      </c>
      <c r="EE15" s="4">
        <f t="shared" si="80"/>
        <v>0.53</v>
      </c>
      <c r="EF15" s="3">
        <v>4.18</v>
      </c>
      <c r="EG15" s="3">
        <f t="shared" si="81"/>
        <v>4.18</v>
      </c>
      <c r="EH15" s="4">
        <f t="shared" si="82"/>
        <v>4.18</v>
      </c>
      <c r="EI15" s="3">
        <v>0.39</v>
      </c>
      <c r="EJ15" s="3">
        <f t="shared" si="83"/>
        <v>0.39</v>
      </c>
      <c r="EK15" s="4">
        <f t="shared" si="84"/>
        <v>0.39</v>
      </c>
      <c r="EL15" s="3">
        <v>3.56</v>
      </c>
      <c r="EM15" s="3">
        <f t="shared" si="85"/>
        <v>3.56</v>
      </c>
      <c r="EN15" s="4" t="str">
        <f t="shared" si="86"/>
        <v/>
      </c>
      <c r="EO15" s="3">
        <v>20.43</v>
      </c>
      <c r="EP15" s="3">
        <f t="shared" si="87"/>
        <v>20.43</v>
      </c>
      <c r="EQ15" s="4" t="str">
        <f t="shared" si="88"/>
        <v/>
      </c>
      <c r="ER15" s="3">
        <v>1.89</v>
      </c>
      <c r="ES15" s="3">
        <f t="shared" si="89"/>
        <v>1.89</v>
      </c>
      <c r="ET15" s="4">
        <f t="shared" si="90"/>
        <v>1.89</v>
      </c>
      <c r="EU15" s="3">
        <v>0.73</v>
      </c>
      <c r="EV15" s="3">
        <f t="shared" si="91"/>
        <v>0.73</v>
      </c>
      <c r="EW15" s="4">
        <f t="shared" si="92"/>
        <v>0.73</v>
      </c>
      <c r="EX15" s="3">
        <v>1.17</v>
      </c>
      <c r="EY15" s="3">
        <f t="shared" si="93"/>
        <v>1.17</v>
      </c>
      <c r="EZ15" s="21">
        <f t="shared" si="94"/>
        <v>1.17</v>
      </c>
      <c r="FB15" s="20" t="s">
        <v>128</v>
      </c>
      <c r="FC15" s="3">
        <v>9.24</v>
      </c>
      <c r="FD15" s="3">
        <f t="shared" si="95"/>
        <v>9.24</v>
      </c>
      <c r="FE15" s="4" t="str">
        <f t="shared" si="96"/>
        <v/>
      </c>
      <c r="FF15" s="3">
        <v>1.37</v>
      </c>
      <c r="FG15" s="3">
        <f t="shared" si="97"/>
        <v>1.37</v>
      </c>
      <c r="FH15" s="4">
        <f t="shared" si="98"/>
        <v>1.37</v>
      </c>
      <c r="FI15" s="3">
        <v>1.61</v>
      </c>
      <c r="FJ15" s="3">
        <f t="shared" si="99"/>
        <v>1.61</v>
      </c>
      <c r="FK15" s="4">
        <f t="shared" si="100"/>
        <v>1.61</v>
      </c>
      <c r="FL15" s="3">
        <v>4.18</v>
      </c>
      <c r="FM15" s="3">
        <f t="shared" si="101"/>
        <v>4.18</v>
      </c>
      <c r="FN15" s="4" t="str">
        <f t="shared" si="102"/>
        <v/>
      </c>
      <c r="FO15" s="3">
        <v>1.89</v>
      </c>
      <c r="FP15" s="3">
        <f t="shared" si="103"/>
        <v>1.89</v>
      </c>
      <c r="FQ15" s="4">
        <f t="shared" si="104"/>
        <v>1.89</v>
      </c>
      <c r="FR15" s="3">
        <v>2.21</v>
      </c>
      <c r="FS15" s="3">
        <f t="shared" si="105"/>
        <v>2.21</v>
      </c>
      <c r="FT15" s="4">
        <f t="shared" si="106"/>
        <v>2.21</v>
      </c>
      <c r="FU15" s="3">
        <v>0.24</v>
      </c>
      <c r="FV15" s="3">
        <f t="shared" si="107"/>
        <v>0.24</v>
      </c>
      <c r="FW15" s="4">
        <f t="shared" si="108"/>
        <v>0.24</v>
      </c>
      <c r="FX15" s="3">
        <v>0.2</v>
      </c>
      <c r="FY15" s="3">
        <f t="shared" si="109"/>
        <v>0.2</v>
      </c>
      <c r="FZ15" s="21">
        <f t="shared" si="110"/>
        <v>0.2</v>
      </c>
      <c r="GB15" s="20" t="s">
        <v>129</v>
      </c>
      <c r="GC15" s="3">
        <v>0.85</v>
      </c>
      <c r="GD15" s="3">
        <f t="shared" si="111"/>
        <v>0.85</v>
      </c>
      <c r="GE15" s="4">
        <f t="shared" si="112"/>
        <v>0.85</v>
      </c>
      <c r="GF15" s="3">
        <v>0.45</v>
      </c>
      <c r="GG15" s="3">
        <f t="shared" si="113"/>
        <v>0.45</v>
      </c>
      <c r="GH15" s="4">
        <f t="shared" si="114"/>
        <v>0.45</v>
      </c>
      <c r="GI15" s="3">
        <v>0.15</v>
      </c>
      <c r="GJ15" s="3">
        <f t="shared" si="115"/>
        <v>0.15</v>
      </c>
      <c r="GK15" s="4">
        <f t="shared" si="116"/>
        <v>0.15</v>
      </c>
      <c r="GL15" s="3">
        <v>1.17</v>
      </c>
      <c r="GM15" s="3">
        <f t="shared" si="117"/>
        <v>1.17</v>
      </c>
      <c r="GN15" s="4">
        <f t="shared" si="118"/>
        <v>1.17</v>
      </c>
      <c r="GO15" s="3">
        <v>2.21</v>
      </c>
      <c r="GP15" s="3">
        <f t="shared" si="119"/>
        <v>2.21</v>
      </c>
      <c r="GQ15" s="4">
        <f t="shared" si="120"/>
        <v>2.21</v>
      </c>
      <c r="GR15" s="3">
        <v>0.73</v>
      </c>
      <c r="GS15" s="3">
        <f t="shared" si="121"/>
        <v>0.73</v>
      </c>
      <c r="GT15" s="4">
        <f t="shared" si="122"/>
        <v>0.73</v>
      </c>
      <c r="GU15" s="3">
        <v>0.45</v>
      </c>
      <c r="GV15" s="3">
        <f t="shared" si="123"/>
        <v>0.45</v>
      </c>
      <c r="GW15" s="4" t="str">
        <f t="shared" si="124"/>
        <v/>
      </c>
      <c r="GX15" s="3">
        <v>2.21</v>
      </c>
      <c r="GY15" s="3">
        <f t="shared" si="125"/>
        <v>2.21</v>
      </c>
      <c r="GZ15" s="21">
        <f t="shared" si="126"/>
        <v>2.21</v>
      </c>
    </row>
    <row r="16" spans="2:208">
      <c r="B16" s="20" t="s">
        <v>130</v>
      </c>
      <c r="C16" s="3">
        <v>2.1800000000000002</v>
      </c>
      <c r="D16" s="3">
        <f t="shared" si="0"/>
        <v>2.1800000000000002</v>
      </c>
      <c r="E16" s="4" t="str">
        <f t="shared" si="1"/>
        <v/>
      </c>
      <c r="F16" s="3">
        <v>4.3600000000000003</v>
      </c>
      <c r="G16" s="3">
        <f t="shared" si="2"/>
        <v>4.3600000000000003</v>
      </c>
      <c r="H16" s="4">
        <f t="shared" si="3"/>
        <v>4.3600000000000003</v>
      </c>
      <c r="I16" s="3">
        <v>5.3</v>
      </c>
      <c r="J16" s="3">
        <f t="shared" si="4"/>
        <v>5.3</v>
      </c>
      <c r="K16" s="4">
        <f t="shared" si="5"/>
        <v>5.3</v>
      </c>
      <c r="L16" s="3">
        <v>2.46</v>
      </c>
      <c r="M16" s="3">
        <f t="shared" si="6"/>
        <v>2.46</v>
      </c>
      <c r="N16" s="4" t="str">
        <f t="shared" si="7"/>
        <v/>
      </c>
      <c r="O16" s="3">
        <v>4.33</v>
      </c>
      <c r="P16" s="3">
        <f t="shared" si="8"/>
        <v>4.33</v>
      </c>
      <c r="Q16" s="4">
        <f t="shared" si="9"/>
        <v>4.33</v>
      </c>
      <c r="R16" s="3">
        <v>4.8499999999999996</v>
      </c>
      <c r="S16" s="3">
        <f t="shared" si="10"/>
        <v>4.8499999999999996</v>
      </c>
      <c r="T16" s="4">
        <f t="shared" si="11"/>
        <v>4.8499999999999996</v>
      </c>
      <c r="U16" s="3">
        <v>1.74</v>
      </c>
      <c r="V16" s="3">
        <f t="shared" si="12"/>
        <v>1.74</v>
      </c>
      <c r="W16" s="4">
        <f t="shared" si="13"/>
        <v>1.74</v>
      </c>
      <c r="X16" s="3">
        <v>2.29</v>
      </c>
      <c r="Y16" s="3">
        <f t="shared" si="14"/>
        <v>2.29</v>
      </c>
      <c r="Z16" s="21">
        <f t="shared" si="15"/>
        <v>2.29</v>
      </c>
      <c r="AB16" s="20" t="s">
        <v>131</v>
      </c>
      <c r="AC16" s="3">
        <v>2.84</v>
      </c>
      <c r="AD16" s="3">
        <f t="shared" si="16"/>
        <v>2.84</v>
      </c>
      <c r="AE16" s="4">
        <f t="shared" si="17"/>
        <v>2.84</v>
      </c>
      <c r="AF16" s="3">
        <v>5.45</v>
      </c>
      <c r="AG16" s="3">
        <f t="shared" si="18"/>
        <v>5.45</v>
      </c>
      <c r="AH16" s="4">
        <f t="shared" si="19"/>
        <v>5.45</v>
      </c>
      <c r="AI16" s="3">
        <v>5.18</v>
      </c>
      <c r="AJ16" s="3">
        <f t="shared" si="20"/>
        <v>5.18</v>
      </c>
      <c r="AK16" s="4">
        <f t="shared" si="21"/>
        <v>5.18</v>
      </c>
      <c r="AL16" s="3">
        <v>6.12</v>
      </c>
      <c r="AM16" s="3">
        <f t="shared" si="22"/>
        <v>6.12</v>
      </c>
      <c r="AN16" s="4">
        <f t="shared" si="23"/>
        <v>6.12</v>
      </c>
      <c r="AO16" s="3">
        <v>0</v>
      </c>
      <c r="AP16" s="3" t="str">
        <f t="shared" si="24"/>
        <v/>
      </c>
      <c r="AQ16" s="4" t="str">
        <f t="shared" si="25"/>
        <v/>
      </c>
      <c r="AR16" s="3">
        <v>3.73</v>
      </c>
      <c r="AS16" s="3">
        <f t="shared" si="26"/>
        <v>3.73</v>
      </c>
      <c r="AT16" s="4">
        <f t="shared" si="27"/>
        <v>3.73</v>
      </c>
      <c r="AU16" s="3">
        <v>3.05</v>
      </c>
      <c r="AV16" s="3">
        <f t="shared" si="28"/>
        <v>3.05</v>
      </c>
      <c r="AW16" s="4">
        <f t="shared" si="29"/>
        <v>3.05</v>
      </c>
      <c r="AX16" s="3">
        <v>3.23</v>
      </c>
      <c r="AY16" s="3">
        <f t="shared" si="30"/>
        <v>3.23</v>
      </c>
      <c r="AZ16" s="21">
        <f t="shared" si="31"/>
        <v>3.23</v>
      </c>
      <c r="BB16" s="20" t="s">
        <v>132</v>
      </c>
      <c r="BC16" s="3">
        <v>3.92</v>
      </c>
      <c r="BD16" s="3">
        <f t="shared" si="32"/>
        <v>3.92</v>
      </c>
      <c r="BE16" s="4">
        <f t="shared" si="33"/>
        <v>3.92</v>
      </c>
      <c r="BF16" s="3">
        <v>4.29</v>
      </c>
      <c r="BG16" s="3">
        <f t="shared" si="34"/>
        <v>4.29</v>
      </c>
      <c r="BH16" s="4">
        <f t="shared" si="35"/>
        <v>4.29</v>
      </c>
      <c r="BI16" s="3">
        <v>4.16</v>
      </c>
      <c r="BJ16" s="3">
        <f t="shared" si="36"/>
        <v>4.16</v>
      </c>
      <c r="BK16" s="4">
        <f t="shared" si="37"/>
        <v>4.16</v>
      </c>
      <c r="BL16" s="3">
        <v>4.33</v>
      </c>
      <c r="BM16" s="3">
        <f t="shared" si="38"/>
        <v>4.33</v>
      </c>
      <c r="BN16" s="4">
        <f t="shared" si="39"/>
        <v>4.33</v>
      </c>
      <c r="BO16" s="3">
        <v>3.6</v>
      </c>
      <c r="BP16" s="3">
        <f t="shared" si="40"/>
        <v>3.6</v>
      </c>
      <c r="BQ16" s="4">
        <f t="shared" si="41"/>
        <v>3.6</v>
      </c>
      <c r="BR16" s="3">
        <v>3.13</v>
      </c>
      <c r="BS16" s="3">
        <f t="shared" si="42"/>
        <v>3.13</v>
      </c>
      <c r="BT16" s="4">
        <f t="shared" si="43"/>
        <v>3.13</v>
      </c>
      <c r="BU16" s="3">
        <v>1.61</v>
      </c>
      <c r="BV16" s="3">
        <f t="shared" si="44"/>
        <v>1.61</v>
      </c>
      <c r="BW16" s="4">
        <f t="shared" si="45"/>
        <v>1.61</v>
      </c>
      <c r="BX16" s="3">
        <v>1.21</v>
      </c>
      <c r="BY16" s="3">
        <f t="shared" si="46"/>
        <v>1.21</v>
      </c>
      <c r="BZ16" s="21">
        <f t="shared" si="47"/>
        <v>1.21</v>
      </c>
      <c r="CB16" s="20" t="s">
        <v>133</v>
      </c>
      <c r="CC16" s="3">
        <v>3.03</v>
      </c>
      <c r="CD16" s="3">
        <f t="shared" si="48"/>
        <v>3.03</v>
      </c>
      <c r="CE16" s="4">
        <f t="shared" si="49"/>
        <v>3.03</v>
      </c>
      <c r="CF16" s="3">
        <v>6.11</v>
      </c>
      <c r="CG16" s="3">
        <f t="shared" si="50"/>
        <v>6.11</v>
      </c>
      <c r="CH16" s="4">
        <f t="shared" si="51"/>
        <v>6.11</v>
      </c>
      <c r="CI16" s="3">
        <v>3.78</v>
      </c>
      <c r="CJ16" s="3">
        <f t="shared" si="52"/>
        <v>3.78</v>
      </c>
      <c r="CK16" s="4">
        <f t="shared" si="53"/>
        <v>3.78</v>
      </c>
      <c r="CL16" s="3">
        <v>5.16</v>
      </c>
      <c r="CM16" s="3">
        <f t="shared" si="54"/>
        <v>5.16</v>
      </c>
      <c r="CN16" s="4">
        <f t="shared" si="55"/>
        <v>5.16</v>
      </c>
      <c r="CO16" s="3">
        <v>5.45</v>
      </c>
      <c r="CP16" s="3">
        <f t="shared" si="56"/>
        <v>5.45</v>
      </c>
      <c r="CQ16" s="4">
        <f t="shared" si="57"/>
        <v>5.45</v>
      </c>
      <c r="CR16" s="3">
        <v>1.84</v>
      </c>
      <c r="CS16" s="3">
        <f t="shared" si="58"/>
        <v>1.84</v>
      </c>
      <c r="CT16" s="4">
        <f t="shared" si="59"/>
        <v>1.84</v>
      </c>
      <c r="CU16" s="3">
        <v>3.73</v>
      </c>
      <c r="CV16" s="3">
        <f t="shared" si="60"/>
        <v>3.73</v>
      </c>
      <c r="CW16" s="4">
        <f t="shared" si="61"/>
        <v>3.73</v>
      </c>
      <c r="CX16" s="3">
        <v>0</v>
      </c>
      <c r="CY16" s="3" t="str">
        <f t="shared" si="62"/>
        <v/>
      </c>
      <c r="CZ16" s="21" t="str">
        <f t="shared" si="63"/>
        <v/>
      </c>
      <c r="DB16" s="20" t="s">
        <v>134</v>
      </c>
      <c r="DC16" s="3">
        <v>2.59</v>
      </c>
      <c r="DD16" s="3">
        <f t="shared" si="64"/>
        <v>2.59</v>
      </c>
      <c r="DE16" s="4">
        <f t="shared" si="65"/>
        <v>2.59</v>
      </c>
      <c r="DF16" s="3">
        <v>1.17</v>
      </c>
      <c r="DG16" s="3">
        <f t="shared" si="66"/>
        <v>1.17</v>
      </c>
      <c r="DH16" s="4">
        <f t="shared" si="67"/>
        <v>1.17</v>
      </c>
      <c r="DI16" s="3">
        <v>2.59</v>
      </c>
      <c r="DJ16" s="3">
        <f t="shared" si="68"/>
        <v>2.59</v>
      </c>
      <c r="DK16" s="4">
        <f t="shared" si="69"/>
        <v>2.59</v>
      </c>
      <c r="DL16" s="3">
        <v>14.87</v>
      </c>
      <c r="DM16" s="3">
        <f t="shared" si="127"/>
        <v>14.87</v>
      </c>
      <c r="DN16" s="4" t="str">
        <f t="shared" si="70"/>
        <v/>
      </c>
      <c r="DO16" s="3">
        <v>1.37</v>
      </c>
      <c r="DP16" s="3">
        <f t="shared" si="71"/>
        <v>1.37</v>
      </c>
      <c r="DQ16" s="4">
        <f t="shared" si="72"/>
        <v>1.37</v>
      </c>
      <c r="DR16" s="3">
        <v>1.17</v>
      </c>
      <c r="DS16" s="3">
        <f t="shared" si="73"/>
        <v>1.17</v>
      </c>
      <c r="DT16" s="4">
        <f t="shared" si="74"/>
        <v>1.17</v>
      </c>
      <c r="DU16" s="3">
        <v>1.17</v>
      </c>
      <c r="DV16" s="3">
        <f t="shared" si="75"/>
        <v>1.17</v>
      </c>
      <c r="DW16" s="4">
        <f t="shared" si="76"/>
        <v>1.17</v>
      </c>
      <c r="DX16" s="3">
        <v>0</v>
      </c>
      <c r="DY16" s="3" t="str">
        <f t="shared" si="77"/>
        <v/>
      </c>
      <c r="DZ16" s="21" t="str">
        <f t="shared" si="78"/>
        <v/>
      </c>
      <c r="EB16" s="20" t="s">
        <v>135</v>
      </c>
      <c r="EC16" s="3">
        <v>0.53</v>
      </c>
      <c r="ED16" s="3">
        <f t="shared" si="79"/>
        <v>0.53</v>
      </c>
      <c r="EE16" s="4">
        <f t="shared" si="80"/>
        <v>0.53</v>
      </c>
      <c r="EF16" s="3">
        <v>4.18</v>
      </c>
      <c r="EG16" s="3">
        <f t="shared" si="81"/>
        <v>4.18</v>
      </c>
      <c r="EH16" s="4">
        <f t="shared" si="82"/>
        <v>4.18</v>
      </c>
      <c r="EI16" s="3">
        <v>0.39</v>
      </c>
      <c r="EJ16" s="3">
        <f t="shared" si="83"/>
        <v>0.39</v>
      </c>
      <c r="EK16" s="4">
        <f t="shared" si="84"/>
        <v>0.39</v>
      </c>
      <c r="EL16" s="3">
        <v>1.61</v>
      </c>
      <c r="EM16" s="3">
        <f t="shared" si="85"/>
        <v>1.61</v>
      </c>
      <c r="EN16" s="4">
        <f t="shared" si="86"/>
        <v>1.61</v>
      </c>
      <c r="EO16" s="3">
        <v>20.43</v>
      </c>
      <c r="EP16" s="3">
        <f t="shared" si="87"/>
        <v>20.43</v>
      </c>
      <c r="EQ16" s="4" t="str">
        <f t="shared" si="88"/>
        <v/>
      </c>
      <c r="ER16" s="3">
        <v>1.61</v>
      </c>
      <c r="ES16" s="3">
        <f t="shared" si="89"/>
        <v>1.61</v>
      </c>
      <c r="ET16" s="4">
        <f t="shared" si="90"/>
        <v>1.61</v>
      </c>
      <c r="EU16" s="3">
        <v>0.62</v>
      </c>
      <c r="EV16" s="3">
        <f t="shared" si="91"/>
        <v>0.62</v>
      </c>
      <c r="EW16" s="4">
        <f t="shared" si="92"/>
        <v>0.62</v>
      </c>
      <c r="EX16" s="3">
        <v>0</v>
      </c>
      <c r="EY16" s="3" t="str">
        <f t="shared" si="93"/>
        <v/>
      </c>
      <c r="EZ16" s="21" t="str">
        <f t="shared" si="94"/>
        <v/>
      </c>
      <c r="FB16" s="20" t="s">
        <v>136</v>
      </c>
      <c r="FC16" s="3">
        <v>12.69</v>
      </c>
      <c r="FD16" s="3">
        <f t="shared" si="95"/>
        <v>12.69</v>
      </c>
      <c r="FE16" s="4">
        <f t="shared" si="96"/>
        <v>12.69</v>
      </c>
      <c r="FF16" s="3">
        <v>1.37</v>
      </c>
      <c r="FG16" s="3">
        <f t="shared" si="97"/>
        <v>1.37</v>
      </c>
      <c r="FH16" s="4">
        <f t="shared" si="98"/>
        <v>1.37</v>
      </c>
      <c r="FI16" s="3">
        <v>0.2</v>
      </c>
      <c r="FJ16" s="3">
        <f t="shared" si="99"/>
        <v>0.2</v>
      </c>
      <c r="FK16" s="4">
        <f t="shared" si="100"/>
        <v>0.2</v>
      </c>
      <c r="FL16" s="3">
        <v>3.56</v>
      </c>
      <c r="FM16" s="3">
        <f t="shared" si="101"/>
        <v>3.56</v>
      </c>
      <c r="FN16" s="4">
        <f t="shared" si="102"/>
        <v>3.56</v>
      </c>
      <c r="FO16" s="3">
        <v>1.37</v>
      </c>
      <c r="FP16" s="3">
        <f t="shared" si="103"/>
        <v>1.37</v>
      </c>
      <c r="FQ16" s="4" t="str">
        <f t="shared" si="104"/>
        <v/>
      </c>
      <c r="FR16" s="3">
        <v>2.21</v>
      </c>
      <c r="FS16" s="3">
        <f t="shared" si="105"/>
        <v>2.21</v>
      </c>
      <c r="FT16" s="4">
        <f t="shared" si="106"/>
        <v>2.21</v>
      </c>
      <c r="FU16" s="3">
        <v>0.2</v>
      </c>
      <c r="FV16" s="3">
        <f t="shared" si="107"/>
        <v>0.2</v>
      </c>
      <c r="FW16" s="4">
        <f t="shared" si="108"/>
        <v>0.2</v>
      </c>
      <c r="FX16" s="3">
        <v>0.2</v>
      </c>
      <c r="FY16" s="3">
        <f t="shared" si="109"/>
        <v>0.2</v>
      </c>
      <c r="FZ16" s="21">
        <f t="shared" si="110"/>
        <v>0.2</v>
      </c>
      <c r="GB16" s="20" t="s">
        <v>137</v>
      </c>
      <c r="GC16" s="3">
        <v>0.85</v>
      </c>
      <c r="GD16" s="3">
        <f t="shared" si="111"/>
        <v>0.85</v>
      </c>
      <c r="GE16" s="4">
        <f t="shared" si="112"/>
        <v>0.85</v>
      </c>
      <c r="GF16" s="3">
        <v>0.45</v>
      </c>
      <c r="GG16" s="3">
        <f t="shared" si="113"/>
        <v>0.45</v>
      </c>
      <c r="GH16" s="4">
        <f t="shared" si="114"/>
        <v>0.45</v>
      </c>
      <c r="GI16" s="3">
        <v>0.15</v>
      </c>
      <c r="GJ16" s="3">
        <f t="shared" si="115"/>
        <v>0.15</v>
      </c>
      <c r="GK16" s="4">
        <f t="shared" si="116"/>
        <v>0.15</v>
      </c>
      <c r="GL16" s="3">
        <v>1.17</v>
      </c>
      <c r="GM16" s="3">
        <f t="shared" si="117"/>
        <v>1.17</v>
      </c>
      <c r="GN16" s="4">
        <f t="shared" si="118"/>
        <v>1.17</v>
      </c>
      <c r="GO16" s="3">
        <v>2.21</v>
      </c>
      <c r="GP16" s="3">
        <f t="shared" si="119"/>
        <v>2.21</v>
      </c>
      <c r="GQ16" s="4">
        <f t="shared" si="120"/>
        <v>2.21</v>
      </c>
      <c r="GR16" s="3">
        <v>0.73</v>
      </c>
      <c r="GS16" s="3">
        <f t="shared" si="121"/>
        <v>0.73</v>
      </c>
      <c r="GT16" s="4">
        <f t="shared" si="122"/>
        <v>0.73</v>
      </c>
      <c r="GU16" s="3">
        <v>0.28000000000000003</v>
      </c>
      <c r="GV16" s="3">
        <f t="shared" si="123"/>
        <v>0.28000000000000003</v>
      </c>
      <c r="GW16" s="4">
        <f t="shared" si="124"/>
        <v>0.28000000000000003</v>
      </c>
      <c r="GX16" s="3">
        <v>2.21</v>
      </c>
      <c r="GY16" s="3">
        <f t="shared" si="125"/>
        <v>2.21</v>
      </c>
      <c r="GZ16" s="21">
        <f t="shared" si="126"/>
        <v>2.21</v>
      </c>
    </row>
    <row r="17" spans="2:208">
      <c r="B17" s="20" t="s">
        <v>138</v>
      </c>
      <c r="C17" s="3">
        <v>3.03</v>
      </c>
      <c r="D17" s="3">
        <f t="shared" si="0"/>
        <v>3.03</v>
      </c>
      <c r="E17" s="4">
        <f t="shared" si="1"/>
        <v>3.03</v>
      </c>
      <c r="F17" s="3">
        <v>4.41</v>
      </c>
      <c r="G17" s="3">
        <f t="shared" si="2"/>
        <v>4.41</v>
      </c>
      <c r="H17" s="4">
        <f t="shared" si="3"/>
        <v>4.41</v>
      </c>
      <c r="I17" s="3">
        <v>5.32</v>
      </c>
      <c r="J17" s="3">
        <f t="shared" si="4"/>
        <v>5.32</v>
      </c>
      <c r="K17" s="4">
        <f t="shared" si="5"/>
        <v>5.32</v>
      </c>
      <c r="L17" s="3">
        <v>5.61</v>
      </c>
      <c r="M17" s="3">
        <f t="shared" si="6"/>
        <v>5.61</v>
      </c>
      <c r="N17" s="4">
        <f t="shared" si="7"/>
        <v>5.61</v>
      </c>
      <c r="O17" s="3">
        <v>0.52</v>
      </c>
      <c r="P17" s="3">
        <f t="shared" si="8"/>
        <v>0.52</v>
      </c>
      <c r="Q17" s="4" t="str">
        <f t="shared" si="9"/>
        <v/>
      </c>
      <c r="R17" s="3">
        <v>4.8600000000000003</v>
      </c>
      <c r="S17" s="3">
        <f t="shared" si="10"/>
        <v>4.8600000000000003</v>
      </c>
      <c r="T17" s="4">
        <f t="shared" si="11"/>
        <v>4.8600000000000003</v>
      </c>
      <c r="U17" s="3">
        <v>1.77</v>
      </c>
      <c r="V17" s="3">
        <f t="shared" si="12"/>
        <v>1.77</v>
      </c>
      <c r="W17" s="4">
        <f t="shared" si="13"/>
        <v>1.77</v>
      </c>
      <c r="X17" s="3">
        <v>3.28</v>
      </c>
      <c r="Y17" s="3">
        <f t="shared" si="14"/>
        <v>3.28</v>
      </c>
      <c r="Z17" s="21" t="str">
        <f t="shared" si="15"/>
        <v/>
      </c>
      <c r="AB17" s="20" t="s">
        <v>139</v>
      </c>
      <c r="AC17" s="3">
        <v>2.82</v>
      </c>
      <c r="AD17" s="3">
        <f t="shared" si="16"/>
        <v>2.82</v>
      </c>
      <c r="AE17" s="4">
        <f t="shared" si="17"/>
        <v>2.82</v>
      </c>
      <c r="AF17" s="3">
        <v>5.42</v>
      </c>
      <c r="AG17" s="3">
        <f t="shared" si="18"/>
        <v>5.42</v>
      </c>
      <c r="AH17" s="4">
        <f t="shared" si="19"/>
        <v>5.42</v>
      </c>
      <c r="AI17" s="3">
        <v>5.21</v>
      </c>
      <c r="AJ17" s="3">
        <f t="shared" si="20"/>
        <v>5.21</v>
      </c>
      <c r="AK17" s="4">
        <f t="shared" si="21"/>
        <v>5.21</v>
      </c>
      <c r="AL17" s="3">
        <v>4.42</v>
      </c>
      <c r="AM17" s="3">
        <f t="shared" si="22"/>
        <v>4.42</v>
      </c>
      <c r="AN17" s="4">
        <f t="shared" si="23"/>
        <v>4.42</v>
      </c>
      <c r="AO17" s="3">
        <v>0</v>
      </c>
      <c r="AP17" s="3" t="str">
        <f t="shared" si="24"/>
        <v/>
      </c>
      <c r="AQ17" s="4" t="str">
        <f t="shared" si="25"/>
        <v/>
      </c>
      <c r="AR17" s="3">
        <v>3.73</v>
      </c>
      <c r="AS17" s="3">
        <f t="shared" si="26"/>
        <v>3.73</v>
      </c>
      <c r="AT17" s="4">
        <f t="shared" si="27"/>
        <v>3.73</v>
      </c>
      <c r="AU17" s="3">
        <v>3.04</v>
      </c>
      <c r="AV17" s="3">
        <f t="shared" si="28"/>
        <v>3.04</v>
      </c>
      <c r="AW17" s="4">
        <f t="shared" si="29"/>
        <v>3.04</v>
      </c>
      <c r="AX17" s="3">
        <v>3.43</v>
      </c>
      <c r="AY17" s="3">
        <f t="shared" si="30"/>
        <v>3.43</v>
      </c>
      <c r="AZ17" s="21">
        <f t="shared" si="31"/>
        <v>3.43</v>
      </c>
      <c r="BB17" s="20" t="s">
        <v>140</v>
      </c>
      <c r="BC17" s="3">
        <v>3.95</v>
      </c>
      <c r="BD17" s="3">
        <f t="shared" si="32"/>
        <v>3.95</v>
      </c>
      <c r="BE17" s="4">
        <f t="shared" si="33"/>
        <v>3.95</v>
      </c>
      <c r="BF17" s="3">
        <v>4.2699999999999996</v>
      </c>
      <c r="BG17" s="3">
        <f t="shared" si="34"/>
        <v>4.2699999999999996</v>
      </c>
      <c r="BH17" s="4">
        <f t="shared" si="35"/>
        <v>4.2699999999999996</v>
      </c>
      <c r="BI17" s="3">
        <v>4.13</v>
      </c>
      <c r="BJ17" s="3">
        <f t="shared" si="36"/>
        <v>4.13</v>
      </c>
      <c r="BK17" s="4">
        <f t="shared" si="37"/>
        <v>4.13</v>
      </c>
      <c r="BL17" s="3">
        <v>4.3</v>
      </c>
      <c r="BM17" s="3">
        <f t="shared" si="38"/>
        <v>4.3</v>
      </c>
      <c r="BN17" s="4">
        <f t="shared" si="39"/>
        <v>4.3</v>
      </c>
      <c r="BO17" s="3">
        <v>3.59</v>
      </c>
      <c r="BP17" s="3">
        <f t="shared" si="40"/>
        <v>3.59</v>
      </c>
      <c r="BQ17" s="4">
        <f t="shared" si="41"/>
        <v>3.59</v>
      </c>
      <c r="BR17" s="3">
        <v>3.15</v>
      </c>
      <c r="BS17" s="3">
        <f t="shared" si="42"/>
        <v>3.15</v>
      </c>
      <c r="BT17" s="4">
        <f t="shared" si="43"/>
        <v>3.15</v>
      </c>
      <c r="BU17" s="3">
        <v>1.63</v>
      </c>
      <c r="BV17" s="3">
        <f t="shared" si="44"/>
        <v>1.63</v>
      </c>
      <c r="BW17" s="4">
        <f t="shared" si="45"/>
        <v>1.63</v>
      </c>
      <c r="BX17" s="3">
        <v>1.24</v>
      </c>
      <c r="BY17" s="3">
        <f t="shared" si="46"/>
        <v>1.24</v>
      </c>
      <c r="BZ17" s="21">
        <f t="shared" si="47"/>
        <v>1.24</v>
      </c>
      <c r="CB17" s="20" t="s">
        <v>141</v>
      </c>
      <c r="CC17" s="3">
        <v>4.1500000000000004</v>
      </c>
      <c r="CD17" s="3">
        <f t="shared" si="48"/>
        <v>4.1500000000000004</v>
      </c>
      <c r="CE17" s="4">
        <f t="shared" si="49"/>
        <v>4.1500000000000004</v>
      </c>
      <c r="CF17" s="3">
        <v>3.85</v>
      </c>
      <c r="CG17" s="3">
        <f t="shared" si="50"/>
        <v>3.85</v>
      </c>
      <c r="CH17" s="4" t="str">
        <f t="shared" si="51"/>
        <v/>
      </c>
      <c r="CI17" s="3">
        <v>3.75</v>
      </c>
      <c r="CJ17" s="3">
        <f t="shared" si="52"/>
        <v>3.75</v>
      </c>
      <c r="CK17" s="4">
        <f t="shared" si="53"/>
        <v>3.75</v>
      </c>
      <c r="CL17" s="3">
        <v>1.25</v>
      </c>
      <c r="CM17" s="3">
        <f t="shared" si="54"/>
        <v>1.25</v>
      </c>
      <c r="CN17" s="4" t="str">
        <f t="shared" si="55"/>
        <v/>
      </c>
      <c r="CO17" s="3">
        <v>5.46</v>
      </c>
      <c r="CP17" s="3">
        <f t="shared" si="56"/>
        <v>5.46</v>
      </c>
      <c r="CQ17" s="4">
        <f t="shared" si="57"/>
        <v>5.46</v>
      </c>
      <c r="CR17" s="3">
        <v>1.84</v>
      </c>
      <c r="CS17" s="3">
        <f t="shared" si="58"/>
        <v>1.84</v>
      </c>
      <c r="CT17" s="4">
        <f t="shared" si="59"/>
        <v>1.84</v>
      </c>
      <c r="CU17" s="3">
        <v>3.74</v>
      </c>
      <c r="CV17" s="3">
        <f t="shared" si="60"/>
        <v>3.74</v>
      </c>
      <c r="CW17" s="4">
        <f t="shared" si="61"/>
        <v>3.74</v>
      </c>
      <c r="CX17" s="3">
        <v>3.18</v>
      </c>
      <c r="CY17" s="3">
        <f t="shared" si="62"/>
        <v>3.18</v>
      </c>
      <c r="CZ17" s="21">
        <f t="shared" si="63"/>
        <v>3.18</v>
      </c>
      <c r="DB17" s="20" t="s">
        <v>142</v>
      </c>
      <c r="DC17" s="3">
        <v>0</v>
      </c>
      <c r="DD17" s="3" t="str">
        <f t="shared" si="64"/>
        <v/>
      </c>
      <c r="DE17" s="4" t="str">
        <f t="shared" si="65"/>
        <v/>
      </c>
      <c r="DF17" s="3">
        <v>0</v>
      </c>
      <c r="DG17" s="3" t="str">
        <f t="shared" si="66"/>
        <v/>
      </c>
      <c r="DH17" s="4" t="str">
        <f t="shared" si="67"/>
        <v/>
      </c>
      <c r="DI17" s="3">
        <v>2.59</v>
      </c>
      <c r="DJ17" s="3">
        <f t="shared" si="68"/>
        <v>2.59</v>
      </c>
      <c r="DK17" s="4">
        <f t="shared" si="69"/>
        <v>2.59</v>
      </c>
      <c r="DL17" s="3">
        <v>3.04</v>
      </c>
      <c r="DM17" s="3">
        <f t="shared" si="127"/>
        <v>3.04</v>
      </c>
      <c r="DN17" s="4">
        <f t="shared" si="70"/>
        <v>3.04</v>
      </c>
      <c r="DO17" s="3">
        <v>1.61</v>
      </c>
      <c r="DP17" s="3">
        <f t="shared" si="71"/>
        <v>1.61</v>
      </c>
      <c r="DQ17" s="4">
        <f t="shared" si="72"/>
        <v>1.61</v>
      </c>
      <c r="DR17" s="3">
        <v>99.99</v>
      </c>
      <c r="DS17" s="3" t="str">
        <f t="shared" si="73"/>
        <v/>
      </c>
      <c r="DT17" s="4" t="str">
        <f t="shared" si="74"/>
        <v/>
      </c>
      <c r="DU17" s="3">
        <v>0.39</v>
      </c>
      <c r="DV17" s="3">
        <f t="shared" si="75"/>
        <v>0.39</v>
      </c>
      <c r="DW17" s="4" t="str">
        <f t="shared" si="76"/>
        <v/>
      </c>
      <c r="DX17" s="3">
        <v>0</v>
      </c>
      <c r="DY17" s="3" t="str">
        <f t="shared" si="77"/>
        <v/>
      </c>
      <c r="DZ17" s="21" t="str">
        <f t="shared" si="78"/>
        <v/>
      </c>
      <c r="EB17" s="20" t="s">
        <v>143</v>
      </c>
      <c r="EC17" s="3">
        <v>0.53</v>
      </c>
      <c r="ED17" s="3">
        <f t="shared" si="79"/>
        <v>0.53</v>
      </c>
      <c r="EE17" s="4">
        <f t="shared" si="80"/>
        <v>0.53</v>
      </c>
      <c r="EF17" s="3">
        <v>3.56</v>
      </c>
      <c r="EG17" s="3">
        <f t="shared" si="81"/>
        <v>3.56</v>
      </c>
      <c r="EH17" s="4">
        <f t="shared" si="82"/>
        <v>3.56</v>
      </c>
      <c r="EI17" s="3">
        <v>0.33</v>
      </c>
      <c r="EJ17" s="3">
        <f t="shared" si="83"/>
        <v>0.33</v>
      </c>
      <c r="EK17" s="4">
        <f t="shared" si="84"/>
        <v>0.33</v>
      </c>
      <c r="EL17" s="3">
        <v>1.61</v>
      </c>
      <c r="EM17" s="3">
        <f t="shared" si="85"/>
        <v>1.61</v>
      </c>
      <c r="EN17" s="4">
        <f t="shared" si="86"/>
        <v>1.61</v>
      </c>
      <c r="EO17" s="3">
        <v>2.59</v>
      </c>
      <c r="EP17" s="3">
        <f t="shared" si="87"/>
        <v>2.59</v>
      </c>
      <c r="EQ17" s="4">
        <f t="shared" si="88"/>
        <v>2.59</v>
      </c>
      <c r="ER17" s="3">
        <v>1.89</v>
      </c>
      <c r="ES17" s="3">
        <f t="shared" si="89"/>
        <v>1.89</v>
      </c>
      <c r="ET17" s="4">
        <f t="shared" si="90"/>
        <v>1.89</v>
      </c>
      <c r="EU17" s="3">
        <v>0.62</v>
      </c>
      <c r="EV17" s="3">
        <f t="shared" si="91"/>
        <v>0.62</v>
      </c>
      <c r="EW17" s="4">
        <f t="shared" si="92"/>
        <v>0.62</v>
      </c>
      <c r="EX17" s="3">
        <v>1.17</v>
      </c>
      <c r="EY17" s="3">
        <f t="shared" si="93"/>
        <v>1.17</v>
      </c>
      <c r="EZ17" s="21">
        <f t="shared" si="94"/>
        <v>1.17</v>
      </c>
      <c r="FB17" s="20" t="s">
        <v>144</v>
      </c>
      <c r="FC17" s="3">
        <v>12.69</v>
      </c>
      <c r="FD17" s="3">
        <f t="shared" si="95"/>
        <v>12.69</v>
      </c>
      <c r="FE17" s="4">
        <f t="shared" si="96"/>
        <v>12.69</v>
      </c>
      <c r="FF17" s="3">
        <v>1.37</v>
      </c>
      <c r="FG17" s="3">
        <f t="shared" si="97"/>
        <v>1.37</v>
      </c>
      <c r="FH17" s="4">
        <f t="shared" si="98"/>
        <v>1.37</v>
      </c>
      <c r="FI17" s="3">
        <v>1.61</v>
      </c>
      <c r="FJ17" s="3">
        <f t="shared" si="99"/>
        <v>1.61</v>
      </c>
      <c r="FK17" s="4">
        <f t="shared" si="100"/>
        <v>1.61</v>
      </c>
      <c r="FL17" s="3">
        <v>3.56</v>
      </c>
      <c r="FM17" s="3">
        <f t="shared" si="101"/>
        <v>3.56</v>
      </c>
      <c r="FN17" s="4">
        <f t="shared" si="102"/>
        <v>3.56</v>
      </c>
      <c r="FO17" s="3">
        <v>1.89</v>
      </c>
      <c r="FP17" s="3">
        <f t="shared" si="103"/>
        <v>1.89</v>
      </c>
      <c r="FQ17" s="4">
        <f t="shared" si="104"/>
        <v>1.89</v>
      </c>
      <c r="FR17" s="3">
        <v>2.59</v>
      </c>
      <c r="FS17" s="3">
        <f t="shared" si="105"/>
        <v>2.59</v>
      </c>
      <c r="FT17" s="4">
        <f t="shared" si="106"/>
        <v>2.59</v>
      </c>
      <c r="FU17" s="3">
        <v>0.2</v>
      </c>
      <c r="FV17" s="3">
        <f t="shared" si="107"/>
        <v>0.2</v>
      </c>
      <c r="FW17" s="4">
        <f t="shared" si="108"/>
        <v>0.2</v>
      </c>
      <c r="FX17" s="3">
        <v>0.2</v>
      </c>
      <c r="FY17" s="3">
        <f t="shared" si="109"/>
        <v>0.2</v>
      </c>
      <c r="FZ17" s="21">
        <f t="shared" si="110"/>
        <v>0.2</v>
      </c>
      <c r="GB17" s="20" t="s">
        <v>145</v>
      </c>
      <c r="GC17" s="3">
        <v>0.85</v>
      </c>
      <c r="GD17" s="3">
        <f t="shared" si="111"/>
        <v>0.85</v>
      </c>
      <c r="GE17" s="4">
        <f t="shared" si="112"/>
        <v>0.85</v>
      </c>
      <c r="GF17" s="3">
        <v>0.45</v>
      </c>
      <c r="GG17" s="3">
        <f t="shared" si="113"/>
        <v>0.45</v>
      </c>
      <c r="GH17" s="4">
        <f t="shared" si="114"/>
        <v>0.45</v>
      </c>
      <c r="GI17" s="3">
        <v>0.13</v>
      </c>
      <c r="GJ17" s="3">
        <f t="shared" si="115"/>
        <v>0.13</v>
      </c>
      <c r="GK17" s="4">
        <f t="shared" si="116"/>
        <v>0.13</v>
      </c>
      <c r="GL17" s="3">
        <v>1.17</v>
      </c>
      <c r="GM17" s="3">
        <f t="shared" si="117"/>
        <v>1.17</v>
      </c>
      <c r="GN17" s="4">
        <f t="shared" si="118"/>
        <v>1.17</v>
      </c>
      <c r="GO17" s="3">
        <v>2.21</v>
      </c>
      <c r="GP17" s="3">
        <f t="shared" si="119"/>
        <v>2.21</v>
      </c>
      <c r="GQ17" s="4">
        <f t="shared" si="120"/>
        <v>2.21</v>
      </c>
      <c r="GR17" s="3">
        <v>0.33</v>
      </c>
      <c r="GS17" s="3">
        <f t="shared" si="121"/>
        <v>0.33</v>
      </c>
      <c r="GT17" s="4" t="str">
        <f t="shared" si="122"/>
        <v/>
      </c>
      <c r="GU17" s="3">
        <v>0.39</v>
      </c>
      <c r="GV17" s="3">
        <f t="shared" si="123"/>
        <v>0.39</v>
      </c>
      <c r="GW17" s="4" t="str">
        <f t="shared" si="124"/>
        <v/>
      </c>
      <c r="GX17" s="3">
        <v>2.21</v>
      </c>
      <c r="GY17" s="3">
        <f t="shared" si="125"/>
        <v>2.21</v>
      </c>
      <c r="GZ17" s="21">
        <f t="shared" si="126"/>
        <v>2.21</v>
      </c>
    </row>
    <row r="18" spans="2:208">
      <c r="B18" s="20" t="s">
        <v>146</v>
      </c>
      <c r="C18" s="3">
        <v>3</v>
      </c>
      <c r="D18" s="3">
        <f t="shared" si="0"/>
        <v>3</v>
      </c>
      <c r="E18" s="4">
        <f t="shared" si="1"/>
        <v>3</v>
      </c>
      <c r="F18" s="3">
        <v>4.3899999999999997</v>
      </c>
      <c r="G18" s="3">
        <f t="shared" si="2"/>
        <v>4.3899999999999997</v>
      </c>
      <c r="H18" s="4">
        <f t="shared" si="3"/>
        <v>4.3899999999999997</v>
      </c>
      <c r="I18" s="3">
        <v>5.36</v>
      </c>
      <c r="J18" s="3">
        <f t="shared" si="4"/>
        <v>5.36</v>
      </c>
      <c r="K18" s="4">
        <f t="shared" si="5"/>
        <v>5.36</v>
      </c>
      <c r="L18" s="3">
        <v>5.64</v>
      </c>
      <c r="M18" s="3">
        <f t="shared" si="6"/>
        <v>5.64</v>
      </c>
      <c r="N18" s="4">
        <f t="shared" si="7"/>
        <v>5.64</v>
      </c>
      <c r="O18" s="3">
        <v>4.3099999999999996</v>
      </c>
      <c r="P18" s="3">
        <f t="shared" si="8"/>
        <v>4.3099999999999996</v>
      </c>
      <c r="Q18" s="4">
        <f t="shared" si="9"/>
        <v>4.3099999999999996</v>
      </c>
      <c r="R18" s="3">
        <v>4.87</v>
      </c>
      <c r="S18" s="3">
        <f t="shared" si="10"/>
        <v>4.87</v>
      </c>
      <c r="T18" s="4">
        <f t="shared" si="11"/>
        <v>4.87</v>
      </c>
      <c r="U18" s="3">
        <v>1.77</v>
      </c>
      <c r="V18" s="3">
        <f t="shared" si="12"/>
        <v>1.77</v>
      </c>
      <c r="W18" s="4">
        <f t="shared" si="13"/>
        <v>1.77</v>
      </c>
      <c r="X18" s="3">
        <v>2.21</v>
      </c>
      <c r="Y18" s="3">
        <f t="shared" si="14"/>
        <v>2.21</v>
      </c>
      <c r="Z18" s="21">
        <f t="shared" si="15"/>
        <v>2.21</v>
      </c>
      <c r="AB18" s="20" t="s">
        <v>147</v>
      </c>
      <c r="AC18" s="3">
        <v>2.82</v>
      </c>
      <c r="AD18" s="3">
        <f t="shared" si="16"/>
        <v>2.82</v>
      </c>
      <c r="AE18" s="4">
        <f t="shared" si="17"/>
        <v>2.82</v>
      </c>
      <c r="AF18" s="3">
        <v>5.45</v>
      </c>
      <c r="AG18" s="3">
        <f t="shared" si="18"/>
        <v>5.45</v>
      </c>
      <c r="AH18" s="4">
        <f t="shared" si="19"/>
        <v>5.45</v>
      </c>
      <c r="AI18" s="3">
        <v>5.0999999999999996</v>
      </c>
      <c r="AJ18" s="3">
        <f t="shared" si="20"/>
        <v>5.0999999999999996</v>
      </c>
      <c r="AK18" s="4">
        <f t="shared" si="21"/>
        <v>5.0999999999999996</v>
      </c>
      <c r="AL18" s="3">
        <v>6.08</v>
      </c>
      <c r="AM18" s="3">
        <f t="shared" si="22"/>
        <v>6.08</v>
      </c>
      <c r="AN18" s="4">
        <f t="shared" si="23"/>
        <v>6.08</v>
      </c>
      <c r="AO18" s="3">
        <v>0</v>
      </c>
      <c r="AP18" s="3" t="str">
        <f t="shared" si="24"/>
        <v/>
      </c>
      <c r="AQ18" s="4" t="str">
        <f t="shared" si="25"/>
        <v/>
      </c>
      <c r="AR18" s="3">
        <v>3.74</v>
      </c>
      <c r="AS18" s="3">
        <f t="shared" si="26"/>
        <v>3.74</v>
      </c>
      <c r="AT18" s="4">
        <f t="shared" si="27"/>
        <v>3.74</v>
      </c>
      <c r="AU18" s="3">
        <v>2.1800000000000002</v>
      </c>
      <c r="AV18" s="3">
        <f t="shared" si="28"/>
        <v>2.1800000000000002</v>
      </c>
      <c r="AW18" s="4">
        <f t="shared" si="29"/>
        <v>2.1800000000000002</v>
      </c>
      <c r="AX18" s="3">
        <v>3.46</v>
      </c>
      <c r="AY18" s="3">
        <f t="shared" si="30"/>
        <v>3.46</v>
      </c>
      <c r="AZ18" s="21">
        <f t="shared" si="31"/>
        <v>3.46</v>
      </c>
      <c r="BB18" s="20" t="s">
        <v>148</v>
      </c>
      <c r="BC18" s="3">
        <v>3.95</v>
      </c>
      <c r="BD18" s="3">
        <f t="shared" si="32"/>
        <v>3.95</v>
      </c>
      <c r="BE18" s="4">
        <f t="shared" si="33"/>
        <v>3.95</v>
      </c>
      <c r="BF18" s="3">
        <v>4.25</v>
      </c>
      <c r="BG18" s="3">
        <f t="shared" si="34"/>
        <v>4.25</v>
      </c>
      <c r="BH18" s="4">
        <f t="shared" si="35"/>
        <v>4.25</v>
      </c>
      <c r="BI18" s="3">
        <v>4.17</v>
      </c>
      <c r="BJ18" s="3">
        <f t="shared" si="36"/>
        <v>4.17</v>
      </c>
      <c r="BK18" s="4">
        <f t="shared" si="37"/>
        <v>4.17</v>
      </c>
      <c r="BL18" s="3">
        <v>4.29</v>
      </c>
      <c r="BM18" s="3">
        <f t="shared" si="38"/>
        <v>4.29</v>
      </c>
      <c r="BN18" s="4">
        <f t="shared" si="39"/>
        <v>4.29</v>
      </c>
      <c r="BO18" s="3">
        <v>3.59</v>
      </c>
      <c r="BP18" s="3">
        <f t="shared" si="40"/>
        <v>3.59</v>
      </c>
      <c r="BQ18" s="4">
        <f t="shared" si="41"/>
        <v>3.59</v>
      </c>
      <c r="BR18" s="3">
        <v>3.12</v>
      </c>
      <c r="BS18" s="3">
        <f t="shared" si="42"/>
        <v>3.12</v>
      </c>
      <c r="BT18" s="4">
        <f t="shared" si="43"/>
        <v>3.12</v>
      </c>
      <c r="BU18" s="3">
        <v>1.64</v>
      </c>
      <c r="BV18" s="3">
        <f t="shared" si="44"/>
        <v>1.64</v>
      </c>
      <c r="BW18" s="4">
        <f t="shared" si="45"/>
        <v>1.64</v>
      </c>
      <c r="BX18" s="3">
        <v>1.27</v>
      </c>
      <c r="BY18" s="3">
        <f t="shared" si="46"/>
        <v>1.27</v>
      </c>
      <c r="BZ18" s="21">
        <f t="shared" si="47"/>
        <v>1.27</v>
      </c>
      <c r="CB18" s="20" t="s">
        <v>149</v>
      </c>
      <c r="CC18" s="3">
        <v>4.17</v>
      </c>
      <c r="CD18" s="3">
        <f t="shared" si="48"/>
        <v>4.17</v>
      </c>
      <c r="CE18" s="4">
        <f t="shared" si="49"/>
        <v>4.17</v>
      </c>
      <c r="CF18" s="3">
        <v>6.08</v>
      </c>
      <c r="CG18" s="3">
        <f t="shared" si="50"/>
        <v>6.08</v>
      </c>
      <c r="CH18" s="4">
        <f t="shared" si="51"/>
        <v>6.08</v>
      </c>
      <c r="CI18" s="3">
        <v>3.72</v>
      </c>
      <c r="CJ18" s="3">
        <f t="shared" si="52"/>
        <v>3.72</v>
      </c>
      <c r="CK18" s="4">
        <f t="shared" si="53"/>
        <v>3.72</v>
      </c>
      <c r="CL18" s="3">
        <v>5.15</v>
      </c>
      <c r="CM18" s="3">
        <f t="shared" si="54"/>
        <v>5.15</v>
      </c>
      <c r="CN18" s="4">
        <f t="shared" si="55"/>
        <v>5.15</v>
      </c>
      <c r="CO18" s="3">
        <v>5.45</v>
      </c>
      <c r="CP18" s="3">
        <f t="shared" si="56"/>
        <v>5.45</v>
      </c>
      <c r="CQ18" s="4">
        <f t="shared" si="57"/>
        <v>5.45</v>
      </c>
      <c r="CR18" s="3">
        <v>1.84</v>
      </c>
      <c r="CS18" s="3">
        <f t="shared" si="58"/>
        <v>1.84</v>
      </c>
      <c r="CT18" s="4">
        <f t="shared" si="59"/>
        <v>1.84</v>
      </c>
      <c r="CU18" s="3">
        <v>3.78</v>
      </c>
      <c r="CV18" s="3">
        <f t="shared" si="60"/>
        <v>3.78</v>
      </c>
      <c r="CW18" s="4">
        <f t="shared" si="61"/>
        <v>3.78</v>
      </c>
      <c r="CX18" s="3">
        <v>3.04</v>
      </c>
      <c r="CY18" s="3">
        <f t="shared" si="62"/>
        <v>3.04</v>
      </c>
      <c r="CZ18" s="21">
        <f t="shared" si="63"/>
        <v>3.04</v>
      </c>
      <c r="DB18" s="20" t="s">
        <v>150</v>
      </c>
      <c r="DC18" s="3">
        <v>2.59</v>
      </c>
      <c r="DD18" s="3">
        <f t="shared" si="64"/>
        <v>2.59</v>
      </c>
      <c r="DE18" s="4">
        <f t="shared" si="65"/>
        <v>2.59</v>
      </c>
      <c r="DF18" s="3">
        <v>0</v>
      </c>
      <c r="DG18" s="3" t="str">
        <f t="shared" si="66"/>
        <v/>
      </c>
      <c r="DH18" s="4" t="str">
        <f t="shared" si="67"/>
        <v/>
      </c>
      <c r="DI18" s="3">
        <v>2.59</v>
      </c>
      <c r="DJ18" s="3">
        <f t="shared" si="68"/>
        <v>2.59</v>
      </c>
      <c r="DK18" s="4">
        <f t="shared" si="69"/>
        <v>2.59</v>
      </c>
      <c r="DL18" s="3">
        <v>3.04</v>
      </c>
      <c r="DM18" s="3">
        <f t="shared" si="127"/>
        <v>3.04</v>
      </c>
      <c r="DN18" s="4">
        <f t="shared" si="70"/>
        <v>3.04</v>
      </c>
      <c r="DO18" s="3">
        <v>1.37</v>
      </c>
      <c r="DP18" s="3">
        <f t="shared" si="71"/>
        <v>1.37</v>
      </c>
      <c r="DQ18" s="4">
        <f t="shared" si="72"/>
        <v>1.37</v>
      </c>
      <c r="DR18" s="3">
        <v>1.17</v>
      </c>
      <c r="DS18" s="3">
        <f t="shared" si="73"/>
        <v>1.17</v>
      </c>
      <c r="DT18" s="4">
        <f t="shared" si="74"/>
        <v>1.17</v>
      </c>
      <c r="DU18" s="3">
        <v>1.37</v>
      </c>
      <c r="DV18" s="3">
        <f t="shared" si="75"/>
        <v>1.37</v>
      </c>
      <c r="DW18" s="4">
        <f t="shared" si="76"/>
        <v>1.37</v>
      </c>
      <c r="DX18" s="3">
        <v>0</v>
      </c>
      <c r="DY18" s="3" t="str">
        <f t="shared" si="77"/>
        <v/>
      </c>
      <c r="DZ18" s="21" t="str">
        <f t="shared" si="78"/>
        <v/>
      </c>
      <c r="EB18" s="20" t="s">
        <v>151</v>
      </c>
      <c r="EC18" s="3">
        <v>0.53</v>
      </c>
      <c r="ED18" s="3">
        <f t="shared" si="79"/>
        <v>0.53</v>
      </c>
      <c r="EE18" s="4">
        <f t="shared" si="80"/>
        <v>0.53</v>
      </c>
      <c r="EF18" s="3">
        <v>3.56</v>
      </c>
      <c r="EG18" s="3">
        <f t="shared" si="81"/>
        <v>3.56</v>
      </c>
      <c r="EH18" s="4">
        <f t="shared" si="82"/>
        <v>3.56</v>
      </c>
      <c r="EI18" s="3">
        <v>0.39</v>
      </c>
      <c r="EJ18" s="3">
        <f t="shared" si="83"/>
        <v>0.39</v>
      </c>
      <c r="EK18" s="4">
        <f t="shared" si="84"/>
        <v>0.39</v>
      </c>
      <c r="EL18" s="3">
        <v>1.61</v>
      </c>
      <c r="EM18" s="3">
        <f t="shared" si="85"/>
        <v>1.61</v>
      </c>
      <c r="EN18" s="4">
        <f t="shared" si="86"/>
        <v>1.61</v>
      </c>
      <c r="EO18" s="3">
        <v>2.59</v>
      </c>
      <c r="EP18" s="3">
        <f t="shared" si="87"/>
        <v>2.59</v>
      </c>
      <c r="EQ18" s="4">
        <f t="shared" si="88"/>
        <v>2.59</v>
      </c>
      <c r="ER18" s="3">
        <v>1.89</v>
      </c>
      <c r="ES18" s="3">
        <f t="shared" si="89"/>
        <v>1.89</v>
      </c>
      <c r="ET18" s="4">
        <f t="shared" si="90"/>
        <v>1.89</v>
      </c>
      <c r="EU18" s="3">
        <v>0.73</v>
      </c>
      <c r="EV18" s="3">
        <f t="shared" si="91"/>
        <v>0.73</v>
      </c>
      <c r="EW18" s="4">
        <f t="shared" si="92"/>
        <v>0.73</v>
      </c>
      <c r="EX18" s="3">
        <v>1.17</v>
      </c>
      <c r="EY18" s="3">
        <f t="shared" si="93"/>
        <v>1.17</v>
      </c>
      <c r="EZ18" s="21">
        <f t="shared" si="94"/>
        <v>1.17</v>
      </c>
      <c r="FB18" s="20" t="s">
        <v>152</v>
      </c>
      <c r="FC18" s="3">
        <v>10.83</v>
      </c>
      <c r="FD18" s="3">
        <f t="shared" si="95"/>
        <v>10.83</v>
      </c>
      <c r="FE18" s="4">
        <f t="shared" si="96"/>
        <v>10.83</v>
      </c>
      <c r="FF18" s="3">
        <v>0.73</v>
      </c>
      <c r="FG18" s="3">
        <f t="shared" si="97"/>
        <v>0.73</v>
      </c>
      <c r="FH18" s="4" t="str">
        <f t="shared" si="98"/>
        <v/>
      </c>
      <c r="FI18" s="3">
        <v>1.61</v>
      </c>
      <c r="FJ18" s="3">
        <f t="shared" si="99"/>
        <v>1.61</v>
      </c>
      <c r="FK18" s="4">
        <f t="shared" si="100"/>
        <v>1.61</v>
      </c>
      <c r="FL18" s="3">
        <v>3.04</v>
      </c>
      <c r="FM18" s="3">
        <f t="shared" si="101"/>
        <v>3.04</v>
      </c>
      <c r="FN18" s="4">
        <f t="shared" si="102"/>
        <v>3.04</v>
      </c>
      <c r="FO18" s="3">
        <v>1.89</v>
      </c>
      <c r="FP18" s="3">
        <f t="shared" si="103"/>
        <v>1.89</v>
      </c>
      <c r="FQ18" s="4">
        <f t="shared" si="104"/>
        <v>1.89</v>
      </c>
      <c r="FR18" s="3">
        <v>2.59</v>
      </c>
      <c r="FS18" s="3">
        <f t="shared" si="105"/>
        <v>2.59</v>
      </c>
      <c r="FT18" s="4">
        <f t="shared" si="106"/>
        <v>2.59</v>
      </c>
      <c r="FU18" s="3">
        <v>0.2</v>
      </c>
      <c r="FV18" s="3">
        <f t="shared" si="107"/>
        <v>0.2</v>
      </c>
      <c r="FW18" s="4">
        <f t="shared" si="108"/>
        <v>0.2</v>
      </c>
      <c r="FX18" s="3">
        <v>0.45</v>
      </c>
      <c r="FY18" s="3">
        <f t="shared" si="109"/>
        <v>0.45</v>
      </c>
      <c r="FZ18" s="21" t="str">
        <f t="shared" si="110"/>
        <v/>
      </c>
      <c r="GB18" s="20" t="s">
        <v>153</v>
      </c>
      <c r="GC18" s="3">
        <v>0.73</v>
      </c>
      <c r="GD18" s="3">
        <f t="shared" si="111"/>
        <v>0.73</v>
      </c>
      <c r="GE18" s="4" t="str">
        <f t="shared" si="112"/>
        <v/>
      </c>
      <c r="GF18" s="3">
        <v>0.39</v>
      </c>
      <c r="GG18" s="3">
        <f t="shared" si="113"/>
        <v>0.39</v>
      </c>
      <c r="GH18" s="4">
        <f t="shared" si="114"/>
        <v>0.39</v>
      </c>
      <c r="GI18" s="3">
        <v>0.15</v>
      </c>
      <c r="GJ18" s="3">
        <f t="shared" si="115"/>
        <v>0.15</v>
      </c>
      <c r="GK18" s="4">
        <f t="shared" si="116"/>
        <v>0.15</v>
      </c>
      <c r="GL18" s="3">
        <v>0</v>
      </c>
      <c r="GM18" s="3" t="str">
        <f t="shared" si="117"/>
        <v/>
      </c>
      <c r="GN18" s="4" t="str">
        <f t="shared" si="118"/>
        <v/>
      </c>
      <c r="GO18" s="3">
        <v>2.21</v>
      </c>
      <c r="GP18" s="3">
        <f t="shared" si="119"/>
        <v>2.21</v>
      </c>
      <c r="GQ18" s="4">
        <f t="shared" si="120"/>
        <v>2.21</v>
      </c>
      <c r="GR18" s="3">
        <v>0.73</v>
      </c>
      <c r="GS18" s="3">
        <f t="shared" si="121"/>
        <v>0.73</v>
      </c>
      <c r="GT18" s="4">
        <f t="shared" si="122"/>
        <v>0.73</v>
      </c>
      <c r="GU18" s="3">
        <v>0.28000000000000003</v>
      </c>
      <c r="GV18" s="3">
        <f t="shared" si="123"/>
        <v>0.28000000000000003</v>
      </c>
      <c r="GW18" s="4">
        <f t="shared" si="124"/>
        <v>0.28000000000000003</v>
      </c>
      <c r="GX18" s="3">
        <v>1.89</v>
      </c>
      <c r="GY18" s="3">
        <f t="shared" si="125"/>
        <v>1.89</v>
      </c>
      <c r="GZ18" s="21">
        <f t="shared" si="126"/>
        <v>1.89</v>
      </c>
    </row>
    <row r="19" spans="2:208">
      <c r="B19" s="20" t="s">
        <v>154</v>
      </c>
      <c r="C19" s="3">
        <v>2.96</v>
      </c>
      <c r="D19" s="3">
        <f t="shared" si="0"/>
        <v>2.96</v>
      </c>
      <c r="E19" s="4">
        <f t="shared" si="1"/>
        <v>2.96</v>
      </c>
      <c r="F19" s="3">
        <v>4.38</v>
      </c>
      <c r="G19" s="3">
        <f t="shared" si="2"/>
        <v>4.38</v>
      </c>
      <c r="H19" s="4">
        <f t="shared" si="3"/>
        <v>4.38</v>
      </c>
      <c r="I19" s="3">
        <v>5.28</v>
      </c>
      <c r="J19" s="3">
        <f t="shared" si="4"/>
        <v>5.28</v>
      </c>
      <c r="K19" s="4">
        <f t="shared" si="5"/>
        <v>5.28</v>
      </c>
      <c r="L19" s="3">
        <v>5.63</v>
      </c>
      <c r="M19" s="3">
        <f t="shared" si="6"/>
        <v>5.63</v>
      </c>
      <c r="N19" s="4">
        <f t="shared" si="7"/>
        <v>5.63</v>
      </c>
      <c r="O19" s="3">
        <v>4.32</v>
      </c>
      <c r="P19" s="3">
        <f t="shared" si="8"/>
        <v>4.32</v>
      </c>
      <c r="Q19" s="4">
        <f t="shared" si="9"/>
        <v>4.32</v>
      </c>
      <c r="R19" s="3">
        <v>4.84</v>
      </c>
      <c r="S19" s="3">
        <f t="shared" si="10"/>
        <v>4.84</v>
      </c>
      <c r="T19" s="4">
        <f t="shared" si="11"/>
        <v>4.84</v>
      </c>
      <c r="U19" s="3">
        <v>1.78</v>
      </c>
      <c r="V19" s="3">
        <f t="shared" si="12"/>
        <v>1.78</v>
      </c>
      <c r="W19" s="4">
        <f t="shared" si="13"/>
        <v>1.78</v>
      </c>
      <c r="X19" s="3">
        <v>2.2599999999999998</v>
      </c>
      <c r="Y19" s="3">
        <f t="shared" si="14"/>
        <v>2.2599999999999998</v>
      </c>
      <c r="Z19" s="21">
        <f t="shared" si="15"/>
        <v>2.2599999999999998</v>
      </c>
      <c r="AB19" s="20" t="s">
        <v>155</v>
      </c>
      <c r="AC19" s="3">
        <v>2.87</v>
      </c>
      <c r="AD19" s="3">
        <f t="shared" si="16"/>
        <v>2.87</v>
      </c>
      <c r="AE19" s="4">
        <f t="shared" si="17"/>
        <v>2.87</v>
      </c>
      <c r="AF19" s="3">
        <v>5.57</v>
      </c>
      <c r="AG19" s="3">
        <f t="shared" si="18"/>
        <v>5.57</v>
      </c>
      <c r="AH19" s="4">
        <f t="shared" si="19"/>
        <v>5.57</v>
      </c>
      <c r="AI19" s="3">
        <v>5.2</v>
      </c>
      <c r="AJ19" s="3">
        <f t="shared" si="20"/>
        <v>5.2</v>
      </c>
      <c r="AK19" s="4">
        <f t="shared" si="21"/>
        <v>5.2</v>
      </c>
      <c r="AL19" s="3">
        <v>5.78</v>
      </c>
      <c r="AM19" s="3">
        <f t="shared" si="22"/>
        <v>5.78</v>
      </c>
      <c r="AN19" s="4">
        <f t="shared" si="23"/>
        <v>5.78</v>
      </c>
      <c r="AO19" s="3">
        <v>0</v>
      </c>
      <c r="AP19" s="3" t="str">
        <f t="shared" si="24"/>
        <v/>
      </c>
      <c r="AQ19" s="4" t="str">
        <f t="shared" si="25"/>
        <v/>
      </c>
      <c r="AR19" s="3">
        <v>3.75</v>
      </c>
      <c r="AS19" s="3">
        <f t="shared" si="26"/>
        <v>3.75</v>
      </c>
      <c r="AT19" s="4">
        <f t="shared" si="27"/>
        <v>3.75</v>
      </c>
      <c r="AU19" s="3">
        <v>3.04</v>
      </c>
      <c r="AV19" s="3">
        <f t="shared" si="28"/>
        <v>3.04</v>
      </c>
      <c r="AW19" s="4">
        <f t="shared" si="29"/>
        <v>3.04</v>
      </c>
      <c r="AX19" s="3">
        <v>3.53</v>
      </c>
      <c r="AY19" s="3">
        <f t="shared" si="30"/>
        <v>3.53</v>
      </c>
      <c r="AZ19" s="21">
        <f t="shared" si="31"/>
        <v>3.53</v>
      </c>
      <c r="BB19" s="20" t="s">
        <v>156</v>
      </c>
      <c r="BC19" s="3">
        <v>3.92</v>
      </c>
      <c r="BD19" s="3">
        <f t="shared" si="32"/>
        <v>3.92</v>
      </c>
      <c r="BE19" s="4">
        <f t="shared" si="33"/>
        <v>3.92</v>
      </c>
      <c r="BF19" s="3">
        <v>2.2400000000000002</v>
      </c>
      <c r="BG19" s="3">
        <f t="shared" si="34"/>
        <v>2.2400000000000002</v>
      </c>
      <c r="BH19" s="4" t="str">
        <f t="shared" si="35"/>
        <v/>
      </c>
      <c r="BI19" s="3">
        <v>4.16</v>
      </c>
      <c r="BJ19" s="3">
        <f t="shared" si="36"/>
        <v>4.16</v>
      </c>
      <c r="BK19" s="4">
        <f t="shared" si="37"/>
        <v>4.16</v>
      </c>
      <c r="BL19" s="3">
        <v>4.32</v>
      </c>
      <c r="BM19" s="3">
        <f t="shared" si="38"/>
        <v>4.32</v>
      </c>
      <c r="BN19" s="4">
        <f t="shared" si="39"/>
        <v>4.32</v>
      </c>
      <c r="BO19" s="3">
        <v>3.59</v>
      </c>
      <c r="BP19" s="3">
        <f t="shared" si="40"/>
        <v>3.59</v>
      </c>
      <c r="BQ19" s="4">
        <f t="shared" si="41"/>
        <v>3.59</v>
      </c>
      <c r="BR19" s="3">
        <v>3.13</v>
      </c>
      <c r="BS19" s="3">
        <f t="shared" si="42"/>
        <v>3.13</v>
      </c>
      <c r="BT19" s="4">
        <f t="shared" si="43"/>
        <v>3.13</v>
      </c>
      <c r="BU19" s="3">
        <v>1.63</v>
      </c>
      <c r="BV19" s="3">
        <f t="shared" si="44"/>
        <v>1.63</v>
      </c>
      <c r="BW19" s="4">
        <f t="shared" si="45"/>
        <v>1.63</v>
      </c>
      <c r="BX19" s="3">
        <v>1.26</v>
      </c>
      <c r="BY19" s="3">
        <f t="shared" si="46"/>
        <v>1.26</v>
      </c>
      <c r="BZ19" s="21">
        <f t="shared" si="47"/>
        <v>1.26</v>
      </c>
      <c r="CB19" s="20" t="s">
        <v>157</v>
      </c>
      <c r="CC19" s="3">
        <v>4.1500000000000004</v>
      </c>
      <c r="CD19" s="3">
        <f t="shared" si="48"/>
        <v>4.1500000000000004</v>
      </c>
      <c r="CE19" s="4">
        <f t="shared" si="49"/>
        <v>4.1500000000000004</v>
      </c>
      <c r="CF19" s="3">
        <v>1.51</v>
      </c>
      <c r="CG19" s="3">
        <f t="shared" si="50"/>
        <v>1.51</v>
      </c>
      <c r="CH19" s="4" t="str">
        <f t="shared" si="51"/>
        <v/>
      </c>
      <c r="CI19" s="3">
        <v>3.76</v>
      </c>
      <c r="CJ19" s="3">
        <f t="shared" si="52"/>
        <v>3.76</v>
      </c>
      <c r="CK19" s="4">
        <f t="shared" si="53"/>
        <v>3.76</v>
      </c>
      <c r="CL19" s="3">
        <v>5.13</v>
      </c>
      <c r="CM19" s="3">
        <f t="shared" si="54"/>
        <v>5.13</v>
      </c>
      <c r="CN19" s="4">
        <f t="shared" si="55"/>
        <v>5.13</v>
      </c>
      <c r="CO19" s="3">
        <v>5.45</v>
      </c>
      <c r="CP19" s="3">
        <f t="shared" si="56"/>
        <v>5.45</v>
      </c>
      <c r="CQ19" s="4">
        <f t="shared" si="57"/>
        <v>5.45</v>
      </c>
      <c r="CR19" s="3">
        <v>1.85</v>
      </c>
      <c r="CS19" s="3">
        <f t="shared" si="58"/>
        <v>1.85</v>
      </c>
      <c r="CT19" s="4">
        <f t="shared" si="59"/>
        <v>1.85</v>
      </c>
      <c r="CU19" s="3">
        <v>3.77</v>
      </c>
      <c r="CV19" s="3">
        <f t="shared" si="60"/>
        <v>3.77</v>
      </c>
      <c r="CW19" s="4">
        <f t="shared" si="61"/>
        <v>3.77</v>
      </c>
      <c r="CX19" s="3">
        <v>0</v>
      </c>
      <c r="CY19" s="3" t="str">
        <f t="shared" si="62"/>
        <v/>
      </c>
      <c r="CZ19" s="21" t="str">
        <f t="shared" si="63"/>
        <v/>
      </c>
      <c r="DB19" s="20" t="s">
        <v>158</v>
      </c>
      <c r="DC19" s="3">
        <v>2.21</v>
      </c>
      <c r="DD19" s="3">
        <f t="shared" si="64"/>
        <v>2.21</v>
      </c>
      <c r="DE19" s="4">
        <f t="shared" si="65"/>
        <v>2.21</v>
      </c>
      <c r="DF19" s="3">
        <v>0.85</v>
      </c>
      <c r="DG19" s="3">
        <f t="shared" si="66"/>
        <v>0.85</v>
      </c>
      <c r="DH19" s="4">
        <f t="shared" si="67"/>
        <v>0.85</v>
      </c>
      <c r="DI19" s="3">
        <v>2.59</v>
      </c>
      <c r="DJ19" s="3">
        <f t="shared" si="68"/>
        <v>2.59</v>
      </c>
      <c r="DK19" s="4">
        <f t="shared" si="69"/>
        <v>2.59</v>
      </c>
      <c r="DL19" s="3">
        <v>17.43</v>
      </c>
      <c r="DM19" s="3">
        <f t="shared" si="127"/>
        <v>17.43</v>
      </c>
      <c r="DN19" s="4" t="str">
        <f t="shared" si="70"/>
        <v/>
      </c>
      <c r="DO19" s="3">
        <v>1.37</v>
      </c>
      <c r="DP19" s="3">
        <f t="shared" si="71"/>
        <v>1.37</v>
      </c>
      <c r="DQ19" s="4">
        <f t="shared" si="72"/>
        <v>1.37</v>
      </c>
      <c r="DR19" s="3">
        <v>1.37</v>
      </c>
      <c r="DS19" s="3">
        <f t="shared" si="73"/>
        <v>1.37</v>
      </c>
      <c r="DT19" s="4">
        <f t="shared" si="74"/>
        <v>1.37</v>
      </c>
      <c r="DU19" s="3">
        <v>1.17</v>
      </c>
      <c r="DV19" s="3">
        <f t="shared" si="75"/>
        <v>1.17</v>
      </c>
      <c r="DW19" s="4">
        <f t="shared" si="76"/>
        <v>1.17</v>
      </c>
      <c r="DX19" s="3">
        <v>2.21</v>
      </c>
      <c r="DY19" s="3">
        <f t="shared" si="77"/>
        <v>2.21</v>
      </c>
      <c r="DZ19" s="21">
        <f t="shared" si="78"/>
        <v>2.21</v>
      </c>
      <c r="EB19" s="20" t="s">
        <v>159</v>
      </c>
      <c r="EC19" s="3">
        <v>0.45</v>
      </c>
      <c r="ED19" s="3">
        <f t="shared" si="79"/>
        <v>0.45</v>
      </c>
      <c r="EE19" s="4">
        <f t="shared" si="80"/>
        <v>0.45</v>
      </c>
      <c r="EF19" s="3">
        <v>4.18</v>
      </c>
      <c r="EG19" s="3">
        <f t="shared" si="81"/>
        <v>4.18</v>
      </c>
      <c r="EH19" s="4">
        <f t="shared" si="82"/>
        <v>4.18</v>
      </c>
      <c r="EI19" s="3">
        <v>0.39</v>
      </c>
      <c r="EJ19" s="3">
        <f t="shared" si="83"/>
        <v>0.39</v>
      </c>
      <c r="EK19" s="4">
        <f t="shared" si="84"/>
        <v>0.39</v>
      </c>
      <c r="EL19" s="3">
        <v>3.56</v>
      </c>
      <c r="EM19" s="3">
        <f t="shared" si="85"/>
        <v>3.56</v>
      </c>
      <c r="EN19" s="4" t="str">
        <f t="shared" si="86"/>
        <v/>
      </c>
      <c r="EO19" s="3">
        <v>2.21</v>
      </c>
      <c r="EP19" s="3">
        <f t="shared" si="87"/>
        <v>2.21</v>
      </c>
      <c r="EQ19" s="4">
        <f t="shared" si="88"/>
        <v>2.21</v>
      </c>
      <c r="ER19" s="3">
        <v>1.89</v>
      </c>
      <c r="ES19" s="3">
        <f t="shared" si="89"/>
        <v>1.89</v>
      </c>
      <c r="ET19" s="4">
        <f t="shared" si="90"/>
        <v>1.89</v>
      </c>
      <c r="EU19" s="3">
        <v>0.73</v>
      </c>
      <c r="EV19" s="3">
        <f t="shared" si="91"/>
        <v>0.73</v>
      </c>
      <c r="EW19" s="4">
        <f t="shared" si="92"/>
        <v>0.73</v>
      </c>
      <c r="EX19" s="3">
        <v>1.37</v>
      </c>
      <c r="EY19" s="3">
        <f t="shared" si="93"/>
        <v>1.37</v>
      </c>
      <c r="EZ19" s="21">
        <f t="shared" si="94"/>
        <v>1.37</v>
      </c>
      <c r="FB19" s="20" t="s">
        <v>160</v>
      </c>
      <c r="FC19" s="3">
        <v>12.69</v>
      </c>
      <c r="FD19" s="3">
        <f t="shared" si="95"/>
        <v>12.69</v>
      </c>
      <c r="FE19" s="4">
        <f t="shared" si="96"/>
        <v>12.69</v>
      </c>
      <c r="FF19" s="3">
        <v>1.37</v>
      </c>
      <c r="FG19" s="3">
        <f t="shared" si="97"/>
        <v>1.37</v>
      </c>
      <c r="FH19" s="4">
        <f t="shared" si="98"/>
        <v>1.37</v>
      </c>
      <c r="FI19" s="3">
        <v>1.61</v>
      </c>
      <c r="FJ19" s="3">
        <f t="shared" si="99"/>
        <v>1.61</v>
      </c>
      <c r="FK19" s="4">
        <f t="shared" si="100"/>
        <v>1.61</v>
      </c>
      <c r="FL19" s="3">
        <v>0</v>
      </c>
      <c r="FM19" s="3" t="str">
        <f t="shared" si="101"/>
        <v/>
      </c>
      <c r="FN19" s="4" t="str">
        <f t="shared" si="102"/>
        <v/>
      </c>
      <c r="FO19" s="3">
        <v>1.89</v>
      </c>
      <c r="FP19" s="3">
        <f t="shared" si="103"/>
        <v>1.89</v>
      </c>
      <c r="FQ19" s="4">
        <f t="shared" si="104"/>
        <v>1.89</v>
      </c>
      <c r="FR19" s="3">
        <v>2.21</v>
      </c>
      <c r="FS19" s="3">
        <f t="shared" si="105"/>
        <v>2.21</v>
      </c>
      <c r="FT19" s="4">
        <f t="shared" si="106"/>
        <v>2.21</v>
      </c>
      <c r="FU19" s="3">
        <v>0.24</v>
      </c>
      <c r="FV19" s="3">
        <f t="shared" si="107"/>
        <v>0.24</v>
      </c>
      <c r="FW19" s="4">
        <f t="shared" si="108"/>
        <v>0.24</v>
      </c>
      <c r="FX19" s="3">
        <v>0.53</v>
      </c>
      <c r="FY19" s="3">
        <f t="shared" si="109"/>
        <v>0.53</v>
      </c>
      <c r="FZ19" s="21" t="str">
        <f t="shared" si="110"/>
        <v/>
      </c>
      <c r="GB19" s="20" t="s">
        <v>161</v>
      </c>
      <c r="GC19" s="3">
        <v>0</v>
      </c>
      <c r="GD19" s="3" t="str">
        <f t="shared" si="111"/>
        <v/>
      </c>
      <c r="GE19" s="4" t="str">
        <f t="shared" si="112"/>
        <v/>
      </c>
      <c r="GF19" s="3">
        <v>1.37</v>
      </c>
      <c r="GG19" s="3">
        <f t="shared" si="113"/>
        <v>1.37</v>
      </c>
      <c r="GH19" s="4">
        <f t="shared" si="114"/>
        <v>1.37</v>
      </c>
      <c r="GI19" s="3">
        <v>0.15</v>
      </c>
      <c r="GJ19" s="3">
        <f t="shared" si="115"/>
        <v>0.15</v>
      </c>
      <c r="GK19" s="4">
        <f t="shared" si="116"/>
        <v>0.15</v>
      </c>
      <c r="GL19" s="3">
        <v>1.17</v>
      </c>
      <c r="GM19" s="3">
        <f t="shared" si="117"/>
        <v>1.17</v>
      </c>
      <c r="GN19" s="4">
        <f t="shared" si="118"/>
        <v>1.17</v>
      </c>
      <c r="GO19" s="3">
        <v>2.21</v>
      </c>
      <c r="GP19" s="3">
        <f t="shared" si="119"/>
        <v>2.21</v>
      </c>
      <c r="GQ19" s="4">
        <f t="shared" si="120"/>
        <v>2.21</v>
      </c>
      <c r="GR19" s="3">
        <v>0.73</v>
      </c>
      <c r="GS19" s="3">
        <f t="shared" si="121"/>
        <v>0.73</v>
      </c>
      <c r="GT19" s="4">
        <f t="shared" si="122"/>
        <v>0.73</v>
      </c>
      <c r="GU19" s="3">
        <v>0.28000000000000003</v>
      </c>
      <c r="GV19" s="3">
        <f t="shared" si="123"/>
        <v>0.28000000000000003</v>
      </c>
      <c r="GW19" s="4">
        <f t="shared" si="124"/>
        <v>0.28000000000000003</v>
      </c>
      <c r="GX19" s="3">
        <v>3.04</v>
      </c>
      <c r="GY19" s="3">
        <f t="shared" si="125"/>
        <v>3.04</v>
      </c>
      <c r="GZ19" s="21">
        <f t="shared" si="126"/>
        <v>3.04</v>
      </c>
    </row>
    <row r="20" spans="2:208">
      <c r="B20" s="20" t="s">
        <v>162</v>
      </c>
      <c r="C20" s="3">
        <v>3.01</v>
      </c>
      <c r="D20" s="3">
        <f t="shared" si="0"/>
        <v>3.01</v>
      </c>
      <c r="E20" s="4">
        <f t="shared" si="1"/>
        <v>3.01</v>
      </c>
      <c r="F20" s="3">
        <v>4.4000000000000004</v>
      </c>
      <c r="G20" s="3">
        <f t="shared" si="2"/>
        <v>4.4000000000000004</v>
      </c>
      <c r="H20" s="4">
        <f t="shared" si="3"/>
        <v>4.4000000000000004</v>
      </c>
      <c r="I20" s="3">
        <v>5.31</v>
      </c>
      <c r="J20" s="3">
        <f t="shared" si="4"/>
        <v>5.31</v>
      </c>
      <c r="K20" s="4">
        <f t="shared" si="5"/>
        <v>5.31</v>
      </c>
      <c r="L20" s="3">
        <v>3.98</v>
      </c>
      <c r="M20" s="3">
        <f t="shared" si="6"/>
        <v>3.98</v>
      </c>
      <c r="N20" s="4">
        <f t="shared" si="7"/>
        <v>3.98</v>
      </c>
      <c r="O20" s="3">
        <v>4.33</v>
      </c>
      <c r="P20" s="3">
        <f t="shared" si="8"/>
        <v>4.33</v>
      </c>
      <c r="Q20" s="4">
        <f t="shared" si="9"/>
        <v>4.33</v>
      </c>
      <c r="R20" s="3">
        <v>4.79</v>
      </c>
      <c r="S20" s="3">
        <f t="shared" si="10"/>
        <v>4.79</v>
      </c>
      <c r="T20" s="4">
        <f t="shared" si="11"/>
        <v>4.79</v>
      </c>
      <c r="U20" s="3">
        <v>1.73</v>
      </c>
      <c r="V20" s="3">
        <f t="shared" si="12"/>
        <v>1.73</v>
      </c>
      <c r="W20" s="4">
        <f t="shared" si="13"/>
        <v>1.73</v>
      </c>
      <c r="X20" s="3">
        <v>2.4900000000000002</v>
      </c>
      <c r="Y20" s="3">
        <f t="shared" si="14"/>
        <v>2.4900000000000002</v>
      </c>
      <c r="Z20" s="21">
        <f t="shared" si="15"/>
        <v>2.4900000000000002</v>
      </c>
      <c r="AB20" s="20" t="s">
        <v>163</v>
      </c>
      <c r="AC20" s="3">
        <v>2.83</v>
      </c>
      <c r="AD20" s="3">
        <f t="shared" si="16"/>
        <v>2.83</v>
      </c>
      <c r="AE20" s="4">
        <f t="shared" si="17"/>
        <v>2.83</v>
      </c>
      <c r="AF20" s="3">
        <v>5.43</v>
      </c>
      <c r="AG20" s="3">
        <f t="shared" si="18"/>
        <v>5.43</v>
      </c>
      <c r="AH20" s="4">
        <f t="shared" si="19"/>
        <v>5.43</v>
      </c>
      <c r="AI20" s="3">
        <v>5.17</v>
      </c>
      <c r="AJ20" s="3">
        <f t="shared" si="20"/>
        <v>5.17</v>
      </c>
      <c r="AK20" s="4">
        <f t="shared" si="21"/>
        <v>5.17</v>
      </c>
      <c r="AL20" s="3">
        <v>3.81</v>
      </c>
      <c r="AM20" s="3">
        <f t="shared" si="22"/>
        <v>3.81</v>
      </c>
      <c r="AN20" s="4" t="str">
        <f t="shared" si="23"/>
        <v/>
      </c>
      <c r="AO20" s="3">
        <v>5.34</v>
      </c>
      <c r="AP20" s="3">
        <f t="shared" si="24"/>
        <v>5.34</v>
      </c>
      <c r="AQ20" s="4">
        <f t="shared" si="25"/>
        <v>5.34</v>
      </c>
      <c r="AR20" s="3">
        <v>3.75</v>
      </c>
      <c r="AS20" s="3">
        <f t="shared" si="26"/>
        <v>3.75</v>
      </c>
      <c r="AT20" s="4">
        <f t="shared" si="27"/>
        <v>3.75</v>
      </c>
      <c r="AU20" s="3">
        <v>3.12</v>
      </c>
      <c r="AV20" s="3">
        <f t="shared" si="28"/>
        <v>3.12</v>
      </c>
      <c r="AW20" s="4">
        <f t="shared" si="29"/>
        <v>3.12</v>
      </c>
      <c r="AX20" s="3">
        <v>3.48</v>
      </c>
      <c r="AY20" s="3">
        <f t="shared" si="30"/>
        <v>3.48</v>
      </c>
      <c r="AZ20" s="21">
        <f t="shared" si="31"/>
        <v>3.48</v>
      </c>
      <c r="BB20" s="20" t="s">
        <v>164</v>
      </c>
      <c r="BC20" s="3">
        <v>3.93</v>
      </c>
      <c r="BD20" s="3">
        <f t="shared" si="32"/>
        <v>3.93</v>
      </c>
      <c r="BE20" s="4">
        <f t="shared" si="33"/>
        <v>3.93</v>
      </c>
      <c r="BF20" s="3">
        <v>4.29</v>
      </c>
      <c r="BG20" s="3">
        <f t="shared" si="34"/>
        <v>4.29</v>
      </c>
      <c r="BH20" s="4">
        <f t="shared" si="35"/>
        <v>4.29</v>
      </c>
      <c r="BI20" s="3">
        <v>4.1500000000000004</v>
      </c>
      <c r="BJ20" s="3">
        <f t="shared" si="36"/>
        <v>4.1500000000000004</v>
      </c>
      <c r="BK20" s="4">
        <f t="shared" si="37"/>
        <v>4.1500000000000004</v>
      </c>
      <c r="BL20" s="3">
        <v>4.28</v>
      </c>
      <c r="BM20" s="3">
        <f t="shared" si="38"/>
        <v>4.28</v>
      </c>
      <c r="BN20" s="4">
        <f t="shared" si="39"/>
        <v>4.28</v>
      </c>
      <c r="BO20" s="3">
        <v>3.58</v>
      </c>
      <c r="BP20" s="3">
        <f t="shared" si="40"/>
        <v>3.58</v>
      </c>
      <c r="BQ20" s="4">
        <f t="shared" si="41"/>
        <v>3.58</v>
      </c>
      <c r="BR20" s="3">
        <v>2.1800000000000002</v>
      </c>
      <c r="BS20" s="3">
        <f t="shared" si="42"/>
        <v>2.1800000000000002</v>
      </c>
      <c r="BT20" s="4" t="str">
        <f t="shared" si="43"/>
        <v/>
      </c>
      <c r="BU20" s="3">
        <v>1.62</v>
      </c>
      <c r="BV20" s="3">
        <f t="shared" si="44"/>
        <v>1.62</v>
      </c>
      <c r="BW20" s="4">
        <f t="shared" si="45"/>
        <v>1.62</v>
      </c>
      <c r="BX20" s="3">
        <v>1.28</v>
      </c>
      <c r="BY20" s="3">
        <f t="shared" si="46"/>
        <v>1.28</v>
      </c>
      <c r="BZ20" s="21">
        <f t="shared" si="47"/>
        <v>1.28</v>
      </c>
      <c r="CB20" s="20" t="s">
        <v>165</v>
      </c>
      <c r="CC20" s="3">
        <v>4.16</v>
      </c>
      <c r="CD20" s="3">
        <f t="shared" si="48"/>
        <v>4.16</v>
      </c>
      <c r="CE20" s="4">
        <f t="shared" si="49"/>
        <v>4.16</v>
      </c>
      <c r="CF20" s="3">
        <v>6.07</v>
      </c>
      <c r="CG20" s="3">
        <f t="shared" si="50"/>
        <v>6.07</v>
      </c>
      <c r="CH20" s="4">
        <f t="shared" si="51"/>
        <v>6.07</v>
      </c>
      <c r="CI20" s="3">
        <v>3.78</v>
      </c>
      <c r="CJ20" s="3">
        <f t="shared" si="52"/>
        <v>3.78</v>
      </c>
      <c r="CK20" s="4">
        <f t="shared" si="53"/>
        <v>3.78</v>
      </c>
      <c r="CL20" s="3">
        <v>1.45</v>
      </c>
      <c r="CM20" s="3">
        <f t="shared" si="54"/>
        <v>1.45</v>
      </c>
      <c r="CN20" s="4" t="str">
        <f t="shared" si="55"/>
        <v/>
      </c>
      <c r="CO20" s="3">
        <v>4.75</v>
      </c>
      <c r="CP20" s="3">
        <f t="shared" si="56"/>
        <v>4.75</v>
      </c>
      <c r="CQ20" s="4">
        <f t="shared" si="57"/>
        <v>4.75</v>
      </c>
      <c r="CR20" s="3">
        <v>1.83</v>
      </c>
      <c r="CS20" s="3">
        <f t="shared" si="58"/>
        <v>1.83</v>
      </c>
      <c r="CT20" s="4">
        <f t="shared" si="59"/>
        <v>1.83</v>
      </c>
      <c r="CU20" s="3">
        <v>0.56000000000000005</v>
      </c>
      <c r="CV20" s="3">
        <f t="shared" si="60"/>
        <v>0.56000000000000005</v>
      </c>
      <c r="CW20" s="4" t="str">
        <f t="shared" si="61"/>
        <v/>
      </c>
      <c r="CX20" s="3">
        <v>0</v>
      </c>
      <c r="CY20" s="3" t="str">
        <f t="shared" si="62"/>
        <v/>
      </c>
      <c r="CZ20" s="21" t="str">
        <f t="shared" si="63"/>
        <v/>
      </c>
      <c r="DB20" s="20" t="s">
        <v>166</v>
      </c>
      <c r="DC20" s="3">
        <v>2.59</v>
      </c>
      <c r="DD20" s="3">
        <f t="shared" si="64"/>
        <v>2.59</v>
      </c>
      <c r="DE20" s="4">
        <f t="shared" si="65"/>
        <v>2.59</v>
      </c>
      <c r="DF20" s="3">
        <v>1.17</v>
      </c>
      <c r="DG20" s="3">
        <f t="shared" si="66"/>
        <v>1.17</v>
      </c>
      <c r="DH20" s="4">
        <f t="shared" si="67"/>
        <v>1.17</v>
      </c>
      <c r="DI20" s="3">
        <v>2.59</v>
      </c>
      <c r="DJ20" s="3">
        <f t="shared" si="68"/>
        <v>2.59</v>
      </c>
      <c r="DK20" s="4">
        <f t="shared" si="69"/>
        <v>2.59</v>
      </c>
      <c r="DL20" s="3">
        <v>3.56</v>
      </c>
      <c r="DM20" s="3">
        <f t="shared" si="127"/>
        <v>3.56</v>
      </c>
      <c r="DN20" s="4">
        <f t="shared" si="70"/>
        <v>3.56</v>
      </c>
      <c r="DO20" s="3">
        <v>1.61</v>
      </c>
      <c r="DP20" s="3">
        <f t="shared" si="71"/>
        <v>1.61</v>
      </c>
      <c r="DQ20" s="4">
        <f t="shared" si="72"/>
        <v>1.61</v>
      </c>
      <c r="DR20" s="3">
        <v>1.17</v>
      </c>
      <c r="DS20" s="3">
        <f t="shared" si="73"/>
        <v>1.17</v>
      </c>
      <c r="DT20" s="4">
        <f t="shared" si="74"/>
        <v>1.17</v>
      </c>
      <c r="DU20" s="3">
        <v>1.37</v>
      </c>
      <c r="DV20" s="3">
        <f t="shared" si="75"/>
        <v>1.37</v>
      </c>
      <c r="DW20" s="4">
        <f t="shared" si="76"/>
        <v>1.37</v>
      </c>
      <c r="DX20" s="3">
        <v>0</v>
      </c>
      <c r="DY20" s="3" t="str">
        <f t="shared" si="77"/>
        <v/>
      </c>
      <c r="DZ20" s="21" t="str">
        <f t="shared" si="78"/>
        <v/>
      </c>
      <c r="EB20" s="20" t="s">
        <v>167</v>
      </c>
      <c r="EC20" s="3">
        <v>0.53</v>
      </c>
      <c r="ED20" s="3">
        <f t="shared" si="79"/>
        <v>0.53</v>
      </c>
      <c r="EE20" s="4">
        <f t="shared" si="80"/>
        <v>0.53</v>
      </c>
      <c r="EF20" s="3">
        <v>4.18</v>
      </c>
      <c r="EG20" s="3">
        <f t="shared" si="81"/>
        <v>4.18</v>
      </c>
      <c r="EH20" s="4">
        <f t="shared" si="82"/>
        <v>4.18</v>
      </c>
      <c r="EI20" s="3">
        <v>0.33</v>
      </c>
      <c r="EJ20" s="3">
        <f t="shared" si="83"/>
        <v>0.33</v>
      </c>
      <c r="EK20" s="4">
        <f t="shared" si="84"/>
        <v>0.33</v>
      </c>
      <c r="EL20" s="3">
        <v>1.61</v>
      </c>
      <c r="EM20" s="3">
        <f t="shared" si="85"/>
        <v>1.61</v>
      </c>
      <c r="EN20" s="4">
        <f t="shared" si="86"/>
        <v>1.61</v>
      </c>
      <c r="EO20" s="3">
        <v>17.43</v>
      </c>
      <c r="EP20" s="3">
        <f t="shared" si="87"/>
        <v>17.43</v>
      </c>
      <c r="EQ20" s="4" t="str">
        <f t="shared" si="88"/>
        <v/>
      </c>
      <c r="ER20" s="3">
        <v>1.89</v>
      </c>
      <c r="ES20" s="3">
        <f t="shared" si="89"/>
        <v>1.89</v>
      </c>
      <c r="ET20" s="4">
        <f t="shared" si="90"/>
        <v>1.89</v>
      </c>
      <c r="EU20" s="3">
        <v>0.62</v>
      </c>
      <c r="EV20" s="3">
        <f t="shared" si="91"/>
        <v>0.62</v>
      </c>
      <c r="EW20" s="4">
        <f t="shared" si="92"/>
        <v>0.62</v>
      </c>
      <c r="EX20" s="3">
        <v>1.17</v>
      </c>
      <c r="EY20" s="3">
        <f t="shared" si="93"/>
        <v>1.17</v>
      </c>
      <c r="EZ20" s="21">
        <f t="shared" si="94"/>
        <v>1.17</v>
      </c>
      <c r="FB20" s="20" t="s">
        <v>168</v>
      </c>
      <c r="FC20" s="3">
        <v>12.69</v>
      </c>
      <c r="FD20" s="3">
        <f t="shared" si="95"/>
        <v>12.69</v>
      </c>
      <c r="FE20" s="4">
        <f t="shared" si="96"/>
        <v>12.69</v>
      </c>
      <c r="FF20" s="3">
        <v>1.37</v>
      </c>
      <c r="FG20" s="3">
        <f t="shared" si="97"/>
        <v>1.37</v>
      </c>
      <c r="FH20" s="4">
        <f t="shared" si="98"/>
        <v>1.37</v>
      </c>
      <c r="FI20" s="3">
        <v>10.83</v>
      </c>
      <c r="FJ20" s="3">
        <f t="shared" si="99"/>
        <v>10.83</v>
      </c>
      <c r="FK20" s="4" t="str">
        <f t="shared" si="100"/>
        <v/>
      </c>
      <c r="FL20" s="3">
        <v>3.56</v>
      </c>
      <c r="FM20" s="3">
        <f t="shared" si="101"/>
        <v>3.56</v>
      </c>
      <c r="FN20" s="4">
        <f t="shared" si="102"/>
        <v>3.56</v>
      </c>
      <c r="FO20" s="3">
        <v>1.61</v>
      </c>
      <c r="FP20" s="3">
        <f t="shared" si="103"/>
        <v>1.61</v>
      </c>
      <c r="FQ20" s="4">
        <f t="shared" si="104"/>
        <v>1.61</v>
      </c>
      <c r="FR20" s="3">
        <v>2.59</v>
      </c>
      <c r="FS20" s="3">
        <f t="shared" si="105"/>
        <v>2.59</v>
      </c>
      <c r="FT20" s="4">
        <f t="shared" si="106"/>
        <v>2.59</v>
      </c>
      <c r="FU20" s="3">
        <v>0.24</v>
      </c>
      <c r="FV20" s="3">
        <f t="shared" si="107"/>
        <v>0.24</v>
      </c>
      <c r="FW20" s="4">
        <f t="shared" si="108"/>
        <v>0.24</v>
      </c>
      <c r="FX20" s="3">
        <v>0.2</v>
      </c>
      <c r="FY20" s="3">
        <f t="shared" si="109"/>
        <v>0.2</v>
      </c>
      <c r="FZ20" s="21">
        <f t="shared" si="110"/>
        <v>0.2</v>
      </c>
      <c r="GB20" s="20" t="s">
        <v>169</v>
      </c>
      <c r="GC20" s="3">
        <v>0.85</v>
      </c>
      <c r="GD20" s="3">
        <f t="shared" si="111"/>
        <v>0.85</v>
      </c>
      <c r="GE20" s="4">
        <f t="shared" si="112"/>
        <v>0.85</v>
      </c>
      <c r="GF20" s="3">
        <v>7.88</v>
      </c>
      <c r="GG20" s="3">
        <f t="shared" si="113"/>
        <v>7.88</v>
      </c>
      <c r="GH20" s="4" t="str">
        <f t="shared" si="114"/>
        <v/>
      </c>
      <c r="GI20" s="3">
        <v>0.13</v>
      </c>
      <c r="GJ20" s="3">
        <f t="shared" si="115"/>
        <v>0.13</v>
      </c>
      <c r="GK20" s="4">
        <f t="shared" si="116"/>
        <v>0.13</v>
      </c>
      <c r="GL20" s="3">
        <v>3.56</v>
      </c>
      <c r="GM20" s="3">
        <f t="shared" si="117"/>
        <v>3.56</v>
      </c>
      <c r="GN20" s="4">
        <f t="shared" si="118"/>
        <v>3.56</v>
      </c>
      <c r="GO20" s="3">
        <v>0</v>
      </c>
      <c r="GP20" s="3" t="str">
        <f t="shared" si="119"/>
        <v/>
      </c>
      <c r="GQ20" s="4" t="str">
        <f t="shared" si="120"/>
        <v/>
      </c>
      <c r="GR20" s="3">
        <v>0.28000000000000003</v>
      </c>
      <c r="GS20" s="3">
        <f t="shared" si="121"/>
        <v>0.28000000000000003</v>
      </c>
      <c r="GT20" s="4" t="str">
        <f t="shared" si="122"/>
        <v/>
      </c>
      <c r="GU20" s="3">
        <v>0.39</v>
      </c>
      <c r="GV20" s="3">
        <f t="shared" si="123"/>
        <v>0.39</v>
      </c>
      <c r="GW20" s="4" t="str">
        <f t="shared" si="124"/>
        <v/>
      </c>
      <c r="GX20" s="3">
        <v>3.04</v>
      </c>
      <c r="GY20" s="3">
        <f t="shared" si="125"/>
        <v>3.04</v>
      </c>
      <c r="GZ20" s="21">
        <f t="shared" si="126"/>
        <v>3.04</v>
      </c>
    </row>
    <row r="21" spans="2:208">
      <c r="B21" s="20" t="s">
        <v>170</v>
      </c>
      <c r="C21" s="3">
        <v>2.99</v>
      </c>
      <c r="D21" s="3">
        <f t="shared" si="0"/>
        <v>2.99</v>
      </c>
      <c r="E21" s="4">
        <f t="shared" si="1"/>
        <v>2.99</v>
      </c>
      <c r="F21" s="3">
        <v>4.3899999999999997</v>
      </c>
      <c r="G21" s="3">
        <f t="shared" si="2"/>
        <v>4.3899999999999997</v>
      </c>
      <c r="H21" s="4">
        <f t="shared" si="3"/>
        <v>4.3899999999999997</v>
      </c>
      <c r="I21" s="3">
        <v>3.93</v>
      </c>
      <c r="J21" s="3">
        <f t="shared" si="4"/>
        <v>3.93</v>
      </c>
      <c r="K21" s="4" t="str">
        <f t="shared" si="5"/>
        <v/>
      </c>
      <c r="L21" s="3">
        <v>5.66</v>
      </c>
      <c r="M21" s="3">
        <f t="shared" si="6"/>
        <v>5.66</v>
      </c>
      <c r="N21" s="4">
        <f t="shared" si="7"/>
        <v>5.66</v>
      </c>
      <c r="O21" s="3">
        <v>4.33</v>
      </c>
      <c r="P21" s="3">
        <f t="shared" si="8"/>
        <v>4.33</v>
      </c>
      <c r="Q21" s="4">
        <f t="shared" si="9"/>
        <v>4.33</v>
      </c>
      <c r="R21" s="3">
        <v>4.8499999999999996</v>
      </c>
      <c r="S21" s="3">
        <f t="shared" si="10"/>
        <v>4.8499999999999996</v>
      </c>
      <c r="T21" s="4">
        <f t="shared" si="11"/>
        <v>4.8499999999999996</v>
      </c>
      <c r="U21" s="3">
        <v>1.76</v>
      </c>
      <c r="V21" s="3">
        <f t="shared" si="12"/>
        <v>1.76</v>
      </c>
      <c r="W21" s="4">
        <f t="shared" si="13"/>
        <v>1.76</v>
      </c>
      <c r="X21" s="3">
        <v>2.25</v>
      </c>
      <c r="Y21" s="3">
        <f t="shared" si="14"/>
        <v>2.25</v>
      </c>
      <c r="Z21" s="21">
        <f t="shared" si="15"/>
        <v>2.25</v>
      </c>
      <c r="AB21" s="20" t="s">
        <v>171</v>
      </c>
      <c r="AC21" s="3">
        <v>2.82</v>
      </c>
      <c r="AD21" s="3">
        <f t="shared" si="16"/>
        <v>2.82</v>
      </c>
      <c r="AE21" s="4">
        <f t="shared" si="17"/>
        <v>2.82</v>
      </c>
      <c r="AF21" s="3">
        <v>5.48</v>
      </c>
      <c r="AG21" s="3">
        <f t="shared" si="18"/>
        <v>5.48</v>
      </c>
      <c r="AH21" s="4">
        <f t="shared" si="19"/>
        <v>5.48</v>
      </c>
      <c r="AI21" s="3">
        <v>5.19</v>
      </c>
      <c r="AJ21" s="3">
        <f t="shared" si="20"/>
        <v>5.19</v>
      </c>
      <c r="AK21" s="4">
        <f t="shared" si="21"/>
        <v>5.19</v>
      </c>
      <c r="AL21" s="3">
        <v>3.75</v>
      </c>
      <c r="AM21" s="3">
        <f t="shared" si="22"/>
        <v>3.75</v>
      </c>
      <c r="AN21" s="4" t="str">
        <f t="shared" si="23"/>
        <v/>
      </c>
      <c r="AO21" s="3">
        <v>0</v>
      </c>
      <c r="AP21" s="3" t="str">
        <f t="shared" si="24"/>
        <v/>
      </c>
      <c r="AQ21" s="4" t="str">
        <f t="shared" si="25"/>
        <v/>
      </c>
      <c r="AR21" s="3">
        <v>2.88</v>
      </c>
      <c r="AS21" s="3">
        <f t="shared" si="26"/>
        <v>2.88</v>
      </c>
      <c r="AT21" s="4">
        <f t="shared" si="27"/>
        <v>2.88</v>
      </c>
      <c r="AU21" s="3">
        <v>3.09</v>
      </c>
      <c r="AV21" s="3">
        <f t="shared" si="28"/>
        <v>3.09</v>
      </c>
      <c r="AW21" s="4">
        <f t="shared" si="29"/>
        <v>3.09</v>
      </c>
      <c r="AX21" s="3">
        <v>3.46</v>
      </c>
      <c r="AY21" s="3">
        <f t="shared" si="30"/>
        <v>3.46</v>
      </c>
      <c r="AZ21" s="21">
        <f t="shared" si="31"/>
        <v>3.46</v>
      </c>
      <c r="BB21" s="20" t="s">
        <v>172</v>
      </c>
      <c r="BC21" s="3">
        <v>3.94</v>
      </c>
      <c r="BD21" s="3">
        <f t="shared" si="32"/>
        <v>3.94</v>
      </c>
      <c r="BE21" s="4">
        <f t="shared" si="33"/>
        <v>3.94</v>
      </c>
      <c r="BF21" s="3">
        <v>4.2699999999999996</v>
      </c>
      <c r="BG21" s="3">
        <f t="shared" si="34"/>
        <v>4.2699999999999996</v>
      </c>
      <c r="BH21" s="4">
        <f t="shared" si="35"/>
        <v>4.2699999999999996</v>
      </c>
      <c r="BI21" s="3">
        <v>4.17</v>
      </c>
      <c r="BJ21" s="3">
        <f t="shared" si="36"/>
        <v>4.17</v>
      </c>
      <c r="BK21" s="4">
        <f t="shared" si="37"/>
        <v>4.17</v>
      </c>
      <c r="BL21" s="3">
        <v>4.33</v>
      </c>
      <c r="BM21" s="3">
        <f t="shared" si="38"/>
        <v>4.33</v>
      </c>
      <c r="BN21" s="4">
        <f t="shared" si="39"/>
        <v>4.33</v>
      </c>
      <c r="BO21" s="3">
        <v>3.61</v>
      </c>
      <c r="BP21" s="3">
        <f t="shared" si="40"/>
        <v>3.61</v>
      </c>
      <c r="BQ21" s="4">
        <f t="shared" si="41"/>
        <v>3.61</v>
      </c>
      <c r="BR21" s="3">
        <v>3.14</v>
      </c>
      <c r="BS21" s="3">
        <f t="shared" si="42"/>
        <v>3.14</v>
      </c>
      <c r="BT21" s="4">
        <f t="shared" si="43"/>
        <v>3.14</v>
      </c>
      <c r="BU21" s="3">
        <v>1.67</v>
      </c>
      <c r="BV21" s="3">
        <f t="shared" si="44"/>
        <v>1.67</v>
      </c>
      <c r="BW21" s="4">
        <f t="shared" si="45"/>
        <v>1.67</v>
      </c>
      <c r="BX21" s="3">
        <v>1.24</v>
      </c>
      <c r="BY21" s="3">
        <f t="shared" si="46"/>
        <v>1.24</v>
      </c>
      <c r="BZ21" s="21">
        <f t="shared" si="47"/>
        <v>1.24</v>
      </c>
      <c r="CB21" s="20" t="s">
        <v>173</v>
      </c>
      <c r="CC21" s="3">
        <v>4.16</v>
      </c>
      <c r="CD21" s="3">
        <f t="shared" si="48"/>
        <v>4.16</v>
      </c>
      <c r="CE21" s="4">
        <f t="shared" si="49"/>
        <v>4.16</v>
      </c>
      <c r="CF21" s="3">
        <v>6.17</v>
      </c>
      <c r="CG21" s="3">
        <f t="shared" si="50"/>
        <v>6.17</v>
      </c>
      <c r="CH21" s="4">
        <f t="shared" si="51"/>
        <v>6.17</v>
      </c>
      <c r="CI21" s="3">
        <v>3.75</v>
      </c>
      <c r="CJ21" s="3">
        <f t="shared" si="52"/>
        <v>3.75</v>
      </c>
      <c r="CK21" s="4">
        <f t="shared" si="53"/>
        <v>3.75</v>
      </c>
      <c r="CL21" s="3">
        <v>6.2</v>
      </c>
      <c r="CM21" s="3">
        <f t="shared" si="54"/>
        <v>6.2</v>
      </c>
      <c r="CN21" s="4" t="str">
        <f t="shared" si="55"/>
        <v/>
      </c>
      <c r="CO21" s="3">
        <v>99.99</v>
      </c>
      <c r="CP21" s="3" t="str">
        <f t="shared" si="56"/>
        <v/>
      </c>
      <c r="CQ21" s="4" t="str">
        <f t="shared" si="57"/>
        <v/>
      </c>
      <c r="CR21" s="3">
        <v>1.85</v>
      </c>
      <c r="CS21" s="3">
        <f t="shared" si="58"/>
        <v>1.85</v>
      </c>
      <c r="CT21" s="4">
        <f t="shared" si="59"/>
        <v>1.85</v>
      </c>
      <c r="CU21" s="3">
        <v>3.77</v>
      </c>
      <c r="CV21" s="3">
        <f t="shared" si="60"/>
        <v>3.77</v>
      </c>
      <c r="CW21" s="4">
        <f t="shared" si="61"/>
        <v>3.77</v>
      </c>
      <c r="CX21" s="3">
        <v>3.2</v>
      </c>
      <c r="CY21" s="3">
        <f t="shared" si="62"/>
        <v>3.2</v>
      </c>
      <c r="CZ21" s="21">
        <f t="shared" si="63"/>
        <v>3.2</v>
      </c>
      <c r="DB21" s="20" t="s">
        <v>174</v>
      </c>
      <c r="DC21" s="3">
        <v>2.59</v>
      </c>
      <c r="DD21" s="3">
        <f t="shared" si="64"/>
        <v>2.59</v>
      </c>
      <c r="DE21" s="4">
        <f t="shared" si="65"/>
        <v>2.59</v>
      </c>
      <c r="DF21" s="3">
        <v>1.17</v>
      </c>
      <c r="DG21" s="3">
        <f t="shared" si="66"/>
        <v>1.17</v>
      </c>
      <c r="DH21" s="4">
        <f t="shared" si="67"/>
        <v>1.17</v>
      </c>
      <c r="DI21" s="3">
        <v>2.21</v>
      </c>
      <c r="DJ21" s="3">
        <f t="shared" si="68"/>
        <v>2.21</v>
      </c>
      <c r="DK21" s="4">
        <f t="shared" si="69"/>
        <v>2.21</v>
      </c>
      <c r="DL21" s="3">
        <v>3.56</v>
      </c>
      <c r="DM21" s="3">
        <f t="shared" si="127"/>
        <v>3.56</v>
      </c>
      <c r="DN21" s="4">
        <f t="shared" si="70"/>
        <v>3.56</v>
      </c>
      <c r="DO21" s="3">
        <v>1.37</v>
      </c>
      <c r="DP21" s="3">
        <f t="shared" si="71"/>
        <v>1.37</v>
      </c>
      <c r="DQ21" s="4">
        <f t="shared" si="72"/>
        <v>1.37</v>
      </c>
      <c r="DR21" s="3">
        <v>1.17</v>
      </c>
      <c r="DS21" s="3">
        <f t="shared" si="73"/>
        <v>1.17</v>
      </c>
      <c r="DT21" s="4">
        <f t="shared" si="74"/>
        <v>1.17</v>
      </c>
      <c r="DU21" s="3">
        <v>1.17</v>
      </c>
      <c r="DV21" s="3">
        <f t="shared" si="75"/>
        <v>1.17</v>
      </c>
      <c r="DW21" s="4">
        <f t="shared" si="76"/>
        <v>1.17</v>
      </c>
      <c r="DX21" s="3">
        <v>0.85</v>
      </c>
      <c r="DY21" s="3">
        <f t="shared" si="77"/>
        <v>0.85</v>
      </c>
      <c r="DZ21" s="21" t="str">
        <f t="shared" si="78"/>
        <v/>
      </c>
      <c r="EB21" s="20" t="s">
        <v>175</v>
      </c>
      <c r="EC21" s="3">
        <v>1.17</v>
      </c>
      <c r="ED21" s="3">
        <f t="shared" si="79"/>
        <v>1.17</v>
      </c>
      <c r="EE21" s="4" t="str">
        <f t="shared" si="80"/>
        <v/>
      </c>
      <c r="EF21" s="3">
        <v>0.45</v>
      </c>
      <c r="EG21" s="3">
        <f t="shared" si="81"/>
        <v>0.45</v>
      </c>
      <c r="EH21" s="4" t="str">
        <f t="shared" si="82"/>
        <v/>
      </c>
      <c r="EI21" s="3">
        <v>0.39</v>
      </c>
      <c r="EJ21" s="3">
        <f t="shared" si="83"/>
        <v>0.39</v>
      </c>
      <c r="EK21" s="4">
        <f t="shared" si="84"/>
        <v>0.39</v>
      </c>
      <c r="EL21" s="3">
        <v>1.61</v>
      </c>
      <c r="EM21" s="3">
        <f t="shared" si="85"/>
        <v>1.61</v>
      </c>
      <c r="EN21" s="4">
        <f t="shared" si="86"/>
        <v>1.61</v>
      </c>
      <c r="EO21" s="3">
        <v>2.59</v>
      </c>
      <c r="EP21" s="3">
        <f t="shared" si="87"/>
        <v>2.59</v>
      </c>
      <c r="EQ21" s="4">
        <f t="shared" si="88"/>
        <v>2.59</v>
      </c>
      <c r="ER21" s="3">
        <v>1.89</v>
      </c>
      <c r="ES21" s="3">
        <f t="shared" si="89"/>
        <v>1.89</v>
      </c>
      <c r="ET21" s="4">
        <f t="shared" si="90"/>
        <v>1.89</v>
      </c>
      <c r="EU21" s="3">
        <v>0.73</v>
      </c>
      <c r="EV21" s="3">
        <f t="shared" si="91"/>
        <v>0.73</v>
      </c>
      <c r="EW21" s="4">
        <f t="shared" si="92"/>
        <v>0.73</v>
      </c>
      <c r="EX21" s="3">
        <v>1.17</v>
      </c>
      <c r="EY21" s="3">
        <f t="shared" si="93"/>
        <v>1.17</v>
      </c>
      <c r="EZ21" s="21">
        <f t="shared" si="94"/>
        <v>1.17</v>
      </c>
      <c r="FB21" s="20" t="s">
        <v>176</v>
      </c>
      <c r="FC21" s="3">
        <v>10.83</v>
      </c>
      <c r="FD21" s="3">
        <f t="shared" si="95"/>
        <v>10.83</v>
      </c>
      <c r="FE21" s="4">
        <f t="shared" si="96"/>
        <v>10.83</v>
      </c>
      <c r="FF21" s="3">
        <v>1.37</v>
      </c>
      <c r="FG21" s="3">
        <f t="shared" si="97"/>
        <v>1.37</v>
      </c>
      <c r="FH21" s="4">
        <f t="shared" si="98"/>
        <v>1.37</v>
      </c>
      <c r="FI21" s="3">
        <v>1.61</v>
      </c>
      <c r="FJ21" s="3">
        <f t="shared" si="99"/>
        <v>1.61</v>
      </c>
      <c r="FK21" s="4">
        <f t="shared" si="100"/>
        <v>1.61</v>
      </c>
      <c r="FL21" s="3">
        <v>3.56</v>
      </c>
      <c r="FM21" s="3">
        <f t="shared" si="101"/>
        <v>3.56</v>
      </c>
      <c r="FN21" s="4">
        <f t="shared" si="102"/>
        <v>3.56</v>
      </c>
      <c r="FO21" s="3">
        <v>1.89</v>
      </c>
      <c r="FP21" s="3">
        <f t="shared" si="103"/>
        <v>1.89</v>
      </c>
      <c r="FQ21" s="4">
        <f t="shared" si="104"/>
        <v>1.89</v>
      </c>
      <c r="FR21" s="3">
        <v>1.89</v>
      </c>
      <c r="FS21" s="3">
        <f t="shared" si="105"/>
        <v>1.89</v>
      </c>
      <c r="FT21" s="4">
        <f t="shared" si="106"/>
        <v>1.89</v>
      </c>
      <c r="FU21" s="3">
        <v>0.2</v>
      </c>
      <c r="FV21" s="3">
        <f t="shared" si="107"/>
        <v>0.2</v>
      </c>
      <c r="FW21" s="4">
        <f t="shared" si="108"/>
        <v>0.2</v>
      </c>
      <c r="FX21" s="3">
        <v>0.53</v>
      </c>
      <c r="FY21" s="3">
        <f t="shared" si="109"/>
        <v>0.53</v>
      </c>
      <c r="FZ21" s="21" t="str">
        <f t="shared" si="110"/>
        <v/>
      </c>
      <c r="GB21" s="20" t="s">
        <v>177</v>
      </c>
      <c r="GC21" s="3">
        <v>1.17</v>
      </c>
      <c r="GD21" s="3">
        <f t="shared" si="111"/>
        <v>1.17</v>
      </c>
      <c r="GE21" s="4" t="str">
        <f t="shared" si="112"/>
        <v/>
      </c>
      <c r="GF21" s="3">
        <v>0.45</v>
      </c>
      <c r="GG21" s="3">
        <f t="shared" si="113"/>
        <v>0.45</v>
      </c>
      <c r="GH21" s="4">
        <f t="shared" si="114"/>
        <v>0.45</v>
      </c>
      <c r="GI21" s="3">
        <v>0.15</v>
      </c>
      <c r="GJ21" s="3">
        <f t="shared" si="115"/>
        <v>0.15</v>
      </c>
      <c r="GK21" s="4">
        <f t="shared" si="116"/>
        <v>0.15</v>
      </c>
      <c r="GL21" s="3">
        <v>3.04</v>
      </c>
      <c r="GM21" s="3">
        <f t="shared" si="117"/>
        <v>3.04</v>
      </c>
      <c r="GN21" s="4">
        <f t="shared" si="118"/>
        <v>3.04</v>
      </c>
      <c r="GO21" s="3">
        <v>2.21</v>
      </c>
      <c r="GP21" s="3">
        <f t="shared" si="119"/>
        <v>2.21</v>
      </c>
      <c r="GQ21" s="4">
        <f t="shared" si="120"/>
        <v>2.21</v>
      </c>
      <c r="GR21" s="3">
        <v>0.62</v>
      </c>
      <c r="GS21" s="3">
        <f t="shared" si="121"/>
        <v>0.62</v>
      </c>
      <c r="GT21" s="4">
        <f t="shared" si="122"/>
        <v>0.62</v>
      </c>
      <c r="GU21" s="3">
        <v>0.28000000000000003</v>
      </c>
      <c r="GV21" s="3">
        <f t="shared" si="123"/>
        <v>0.28000000000000003</v>
      </c>
      <c r="GW21" s="4">
        <f t="shared" si="124"/>
        <v>0.28000000000000003</v>
      </c>
      <c r="GX21" s="3">
        <v>2.21</v>
      </c>
      <c r="GY21" s="3">
        <f t="shared" si="125"/>
        <v>2.21</v>
      </c>
      <c r="GZ21" s="21">
        <f t="shared" si="126"/>
        <v>2.21</v>
      </c>
    </row>
    <row r="22" spans="2:208">
      <c r="B22" s="20" t="s">
        <v>178</v>
      </c>
      <c r="C22" s="3">
        <v>2.99</v>
      </c>
      <c r="D22" s="3">
        <f t="shared" si="0"/>
        <v>2.99</v>
      </c>
      <c r="E22" s="4">
        <f t="shared" si="1"/>
        <v>2.99</v>
      </c>
      <c r="F22" s="3">
        <v>4.3899999999999997</v>
      </c>
      <c r="G22" s="3">
        <f t="shared" si="2"/>
        <v>4.3899999999999997</v>
      </c>
      <c r="H22" s="4">
        <f t="shared" si="3"/>
        <v>4.3899999999999997</v>
      </c>
      <c r="I22" s="3">
        <v>3.57</v>
      </c>
      <c r="J22" s="3">
        <f t="shared" si="4"/>
        <v>3.57</v>
      </c>
      <c r="K22" s="4" t="str">
        <f t="shared" si="5"/>
        <v/>
      </c>
      <c r="L22" s="3">
        <v>4.47</v>
      </c>
      <c r="M22" s="3">
        <f t="shared" si="6"/>
        <v>4.47</v>
      </c>
      <c r="N22" s="4">
        <f t="shared" si="7"/>
        <v>4.47</v>
      </c>
      <c r="O22" s="3">
        <v>4.32</v>
      </c>
      <c r="P22" s="3">
        <f t="shared" si="8"/>
        <v>4.32</v>
      </c>
      <c r="Q22" s="4">
        <f t="shared" si="9"/>
        <v>4.32</v>
      </c>
      <c r="R22" s="3">
        <v>4.8099999999999996</v>
      </c>
      <c r="S22" s="3">
        <f t="shared" si="10"/>
        <v>4.8099999999999996</v>
      </c>
      <c r="T22" s="4">
        <f t="shared" si="11"/>
        <v>4.8099999999999996</v>
      </c>
      <c r="U22" s="3">
        <v>1.78</v>
      </c>
      <c r="V22" s="3">
        <f t="shared" si="12"/>
        <v>1.78</v>
      </c>
      <c r="W22" s="4">
        <f t="shared" si="13"/>
        <v>1.78</v>
      </c>
      <c r="X22" s="3">
        <v>3.26</v>
      </c>
      <c r="Y22" s="3">
        <f t="shared" si="14"/>
        <v>3.26</v>
      </c>
      <c r="Z22" s="21" t="str">
        <f t="shared" si="15"/>
        <v/>
      </c>
      <c r="AB22" s="20" t="s">
        <v>179</v>
      </c>
      <c r="AC22" s="3">
        <v>2.23</v>
      </c>
      <c r="AD22" s="3">
        <f t="shared" si="16"/>
        <v>2.23</v>
      </c>
      <c r="AE22" s="4" t="str">
        <f t="shared" si="17"/>
        <v/>
      </c>
      <c r="AF22" s="3">
        <v>5.45</v>
      </c>
      <c r="AG22" s="3">
        <f t="shared" si="18"/>
        <v>5.45</v>
      </c>
      <c r="AH22" s="4">
        <f t="shared" si="19"/>
        <v>5.45</v>
      </c>
      <c r="AI22" s="3">
        <v>5.15</v>
      </c>
      <c r="AJ22" s="3">
        <f t="shared" si="20"/>
        <v>5.15</v>
      </c>
      <c r="AK22" s="4">
        <f t="shared" si="21"/>
        <v>5.15</v>
      </c>
      <c r="AL22" s="3">
        <v>6.09</v>
      </c>
      <c r="AM22" s="3">
        <f t="shared" si="22"/>
        <v>6.09</v>
      </c>
      <c r="AN22" s="4">
        <f t="shared" si="23"/>
        <v>6.09</v>
      </c>
      <c r="AO22" s="3">
        <v>0</v>
      </c>
      <c r="AP22" s="3" t="str">
        <f t="shared" si="24"/>
        <v/>
      </c>
      <c r="AQ22" s="4" t="str">
        <f t="shared" si="25"/>
        <v/>
      </c>
      <c r="AR22" s="3">
        <v>2.52</v>
      </c>
      <c r="AS22" s="3">
        <f t="shared" si="26"/>
        <v>2.52</v>
      </c>
      <c r="AT22" s="4" t="str">
        <f t="shared" si="27"/>
        <v/>
      </c>
      <c r="AU22" s="3">
        <v>3.04</v>
      </c>
      <c r="AV22" s="3">
        <f t="shared" si="28"/>
        <v>3.04</v>
      </c>
      <c r="AW22" s="4">
        <f t="shared" si="29"/>
        <v>3.04</v>
      </c>
      <c r="AX22" s="3">
        <v>0.27</v>
      </c>
      <c r="AY22" s="3">
        <f t="shared" si="30"/>
        <v>0.27</v>
      </c>
      <c r="AZ22" s="21" t="str">
        <f t="shared" si="31"/>
        <v/>
      </c>
      <c r="BB22" s="20" t="s">
        <v>180</v>
      </c>
      <c r="BC22" s="3">
        <v>3.93</v>
      </c>
      <c r="BD22" s="3">
        <f t="shared" si="32"/>
        <v>3.93</v>
      </c>
      <c r="BE22" s="4">
        <f t="shared" si="33"/>
        <v>3.93</v>
      </c>
      <c r="BF22" s="3">
        <v>4.2699999999999996</v>
      </c>
      <c r="BG22" s="3">
        <f t="shared" si="34"/>
        <v>4.2699999999999996</v>
      </c>
      <c r="BH22" s="4">
        <f t="shared" si="35"/>
        <v>4.2699999999999996</v>
      </c>
      <c r="BI22" s="3">
        <v>4.09</v>
      </c>
      <c r="BJ22" s="3">
        <f t="shared" si="36"/>
        <v>4.09</v>
      </c>
      <c r="BK22" s="4">
        <f t="shared" si="37"/>
        <v>4.09</v>
      </c>
      <c r="BL22" s="3">
        <v>4.32</v>
      </c>
      <c r="BM22" s="3">
        <f t="shared" si="38"/>
        <v>4.32</v>
      </c>
      <c r="BN22" s="4">
        <f t="shared" si="39"/>
        <v>4.32</v>
      </c>
      <c r="BO22" s="3">
        <v>3.61</v>
      </c>
      <c r="BP22" s="3">
        <f t="shared" si="40"/>
        <v>3.61</v>
      </c>
      <c r="BQ22" s="4">
        <f t="shared" si="41"/>
        <v>3.61</v>
      </c>
      <c r="BR22" s="3">
        <v>3.12</v>
      </c>
      <c r="BS22" s="3">
        <f t="shared" si="42"/>
        <v>3.12</v>
      </c>
      <c r="BT22" s="4">
        <f t="shared" si="43"/>
        <v>3.12</v>
      </c>
      <c r="BU22" s="3">
        <v>1.61</v>
      </c>
      <c r="BV22" s="3">
        <f t="shared" si="44"/>
        <v>1.61</v>
      </c>
      <c r="BW22" s="4">
        <f t="shared" si="45"/>
        <v>1.61</v>
      </c>
      <c r="BX22" s="3">
        <v>1.26</v>
      </c>
      <c r="BY22" s="3">
        <f t="shared" si="46"/>
        <v>1.26</v>
      </c>
      <c r="BZ22" s="21">
        <f t="shared" si="47"/>
        <v>1.26</v>
      </c>
      <c r="CB22" s="20" t="s">
        <v>181</v>
      </c>
      <c r="CC22" s="3">
        <v>4.1399999999999997</v>
      </c>
      <c r="CD22" s="3">
        <f t="shared" si="48"/>
        <v>4.1399999999999997</v>
      </c>
      <c r="CE22" s="4">
        <f t="shared" si="49"/>
        <v>4.1399999999999997</v>
      </c>
      <c r="CF22" s="3">
        <v>6.06</v>
      </c>
      <c r="CG22" s="3">
        <f t="shared" si="50"/>
        <v>6.06</v>
      </c>
      <c r="CH22" s="4">
        <f t="shared" si="51"/>
        <v>6.06</v>
      </c>
      <c r="CI22" s="3">
        <v>3.77</v>
      </c>
      <c r="CJ22" s="3">
        <f t="shared" si="52"/>
        <v>3.77</v>
      </c>
      <c r="CK22" s="4">
        <f t="shared" si="53"/>
        <v>3.77</v>
      </c>
      <c r="CL22" s="3">
        <v>5.14</v>
      </c>
      <c r="CM22" s="3">
        <f t="shared" si="54"/>
        <v>5.14</v>
      </c>
      <c r="CN22" s="4">
        <f t="shared" si="55"/>
        <v>5.14</v>
      </c>
      <c r="CO22" s="3">
        <v>5.48</v>
      </c>
      <c r="CP22" s="3">
        <f t="shared" si="56"/>
        <v>5.48</v>
      </c>
      <c r="CQ22" s="4">
        <f t="shared" si="57"/>
        <v>5.48</v>
      </c>
      <c r="CR22" s="3">
        <v>1.86</v>
      </c>
      <c r="CS22" s="3">
        <f t="shared" si="58"/>
        <v>1.86</v>
      </c>
      <c r="CT22" s="4">
        <f t="shared" si="59"/>
        <v>1.86</v>
      </c>
      <c r="CU22" s="3">
        <v>3.74</v>
      </c>
      <c r="CV22" s="3">
        <f t="shared" si="60"/>
        <v>3.74</v>
      </c>
      <c r="CW22" s="4">
        <f t="shared" si="61"/>
        <v>3.74</v>
      </c>
      <c r="CX22" s="3">
        <v>3.18</v>
      </c>
      <c r="CY22" s="3">
        <f t="shared" si="62"/>
        <v>3.18</v>
      </c>
      <c r="CZ22" s="21">
        <f t="shared" si="63"/>
        <v>3.18</v>
      </c>
      <c r="DB22" s="20" t="s">
        <v>182</v>
      </c>
      <c r="DC22" s="3">
        <v>2.59</v>
      </c>
      <c r="DD22" s="3">
        <f t="shared" si="64"/>
        <v>2.59</v>
      </c>
      <c r="DE22" s="4">
        <f t="shared" si="65"/>
        <v>2.59</v>
      </c>
      <c r="DF22" s="3">
        <v>1.17</v>
      </c>
      <c r="DG22" s="3">
        <f t="shared" si="66"/>
        <v>1.17</v>
      </c>
      <c r="DH22" s="4">
        <f t="shared" si="67"/>
        <v>1.17</v>
      </c>
      <c r="DI22" s="3">
        <v>2.59</v>
      </c>
      <c r="DJ22" s="3">
        <f t="shared" si="68"/>
        <v>2.59</v>
      </c>
      <c r="DK22" s="4">
        <f t="shared" si="69"/>
        <v>2.59</v>
      </c>
      <c r="DL22" s="3">
        <v>3.56</v>
      </c>
      <c r="DM22" s="3">
        <f t="shared" si="127"/>
        <v>3.56</v>
      </c>
      <c r="DN22" s="4">
        <f t="shared" si="70"/>
        <v>3.56</v>
      </c>
      <c r="DO22" s="3">
        <v>1.37</v>
      </c>
      <c r="DP22" s="3">
        <f t="shared" si="71"/>
        <v>1.37</v>
      </c>
      <c r="DQ22" s="4">
        <f t="shared" si="72"/>
        <v>1.37</v>
      </c>
      <c r="DR22" s="3">
        <v>99.99</v>
      </c>
      <c r="DS22" s="3" t="str">
        <f t="shared" si="73"/>
        <v/>
      </c>
      <c r="DT22" s="4" t="str">
        <f t="shared" si="74"/>
        <v/>
      </c>
      <c r="DU22" s="3">
        <v>1.17</v>
      </c>
      <c r="DV22" s="3">
        <f t="shared" si="75"/>
        <v>1.17</v>
      </c>
      <c r="DW22" s="4">
        <f t="shared" si="76"/>
        <v>1.17</v>
      </c>
      <c r="DX22" s="3">
        <v>0</v>
      </c>
      <c r="DY22" s="3" t="str">
        <f t="shared" si="77"/>
        <v/>
      </c>
      <c r="DZ22" s="21" t="str">
        <f t="shared" si="78"/>
        <v/>
      </c>
      <c r="EB22" s="20" t="s">
        <v>183</v>
      </c>
      <c r="EC22" s="3">
        <v>0.53</v>
      </c>
      <c r="ED22" s="3">
        <f t="shared" si="79"/>
        <v>0.53</v>
      </c>
      <c r="EE22" s="4">
        <f t="shared" si="80"/>
        <v>0.53</v>
      </c>
      <c r="EF22" s="3">
        <v>3.56</v>
      </c>
      <c r="EG22" s="3">
        <f t="shared" si="81"/>
        <v>3.56</v>
      </c>
      <c r="EH22" s="4">
        <f t="shared" si="82"/>
        <v>3.56</v>
      </c>
      <c r="EI22" s="3">
        <v>0.33</v>
      </c>
      <c r="EJ22" s="3">
        <f t="shared" si="83"/>
        <v>0.33</v>
      </c>
      <c r="EK22" s="4">
        <f t="shared" si="84"/>
        <v>0.33</v>
      </c>
      <c r="EL22" s="3">
        <v>1.61</v>
      </c>
      <c r="EM22" s="3">
        <f t="shared" si="85"/>
        <v>1.61</v>
      </c>
      <c r="EN22" s="4">
        <f t="shared" si="86"/>
        <v>1.61</v>
      </c>
      <c r="EO22" s="3">
        <v>2.21</v>
      </c>
      <c r="EP22" s="3">
        <f t="shared" si="87"/>
        <v>2.21</v>
      </c>
      <c r="EQ22" s="4">
        <f t="shared" si="88"/>
        <v>2.21</v>
      </c>
      <c r="ER22" s="3">
        <v>1.89</v>
      </c>
      <c r="ES22" s="3">
        <f t="shared" si="89"/>
        <v>1.89</v>
      </c>
      <c r="ET22" s="4">
        <f t="shared" si="90"/>
        <v>1.89</v>
      </c>
      <c r="EU22" s="3">
        <v>0.62</v>
      </c>
      <c r="EV22" s="3">
        <f t="shared" si="91"/>
        <v>0.62</v>
      </c>
      <c r="EW22" s="4">
        <f t="shared" si="92"/>
        <v>0.62</v>
      </c>
      <c r="EX22" s="3">
        <v>1.17</v>
      </c>
      <c r="EY22" s="3">
        <f t="shared" si="93"/>
        <v>1.17</v>
      </c>
      <c r="EZ22" s="21">
        <f t="shared" si="94"/>
        <v>1.17</v>
      </c>
      <c r="FB22" s="20" t="s">
        <v>184</v>
      </c>
      <c r="FC22" s="3">
        <v>12.69</v>
      </c>
      <c r="FD22" s="3">
        <f t="shared" si="95"/>
        <v>12.69</v>
      </c>
      <c r="FE22" s="4">
        <f t="shared" si="96"/>
        <v>12.69</v>
      </c>
      <c r="FF22" s="3">
        <v>0.85</v>
      </c>
      <c r="FG22" s="3">
        <f t="shared" si="97"/>
        <v>0.85</v>
      </c>
      <c r="FH22" s="4" t="str">
        <f t="shared" si="98"/>
        <v/>
      </c>
      <c r="FI22" s="3">
        <v>0.2</v>
      </c>
      <c r="FJ22" s="3">
        <f t="shared" si="99"/>
        <v>0.2</v>
      </c>
      <c r="FK22" s="4">
        <f t="shared" si="100"/>
        <v>0.2</v>
      </c>
      <c r="FL22" s="3">
        <v>1.89</v>
      </c>
      <c r="FM22" s="3">
        <f t="shared" si="101"/>
        <v>1.89</v>
      </c>
      <c r="FN22" s="4" t="str">
        <f t="shared" si="102"/>
        <v/>
      </c>
      <c r="FO22" s="3">
        <v>1.17</v>
      </c>
      <c r="FP22" s="3">
        <f t="shared" si="103"/>
        <v>1.17</v>
      </c>
      <c r="FQ22" s="4" t="str">
        <f t="shared" si="104"/>
        <v/>
      </c>
      <c r="FR22" s="3">
        <v>4.18</v>
      </c>
      <c r="FS22" s="3">
        <f t="shared" si="105"/>
        <v>4.18</v>
      </c>
      <c r="FT22" s="4" t="str">
        <f t="shared" si="106"/>
        <v/>
      </c>
      <c r="FU22" s="3">
        <v>0.17</v>
      </c>
      <c r="FV22" s="3">
        <f t="shared" si="107"/>
        <v>0.17</v>
      </c>
      <c r="FW22" s="4">
        <f t="shared" si="108"/>
        <v>0.17</v>
      </c>
      <c r="FX22" s="3">
        <v>0.53</v>
      </c>
      <c r="FY22" s="3">
        <f t="shared" si="109"/>
        <v>0.53</v>
      </c>
      <c r="FZ22" s="21" t="str">
        <f t="shared" si="110"/>
        <v/>
      </c>
      <c r="GB22" s="20" t="s">
        <v>185</v>
      </c>
      <c r="GC22" s="3">
        <v>0.85</v>
      </c>
      <c r="GD22" s="3">
        <f t="shared" si="111"/>
        <v>0.85</v>
      </c>
      <c r="GE22" s="4">
        <f t="shared" si="112"/>
        <v>0.85</v>
      </c>
      <c r="GF22" s="3">
        <v>0.45</v>
      </c>
      <c r="GG22" s="3">
        <f t="shared" si="113"/>
        <v>0.45</v>
      </c>
      <c r="GH22" s="4">
        <f t="shared" si="114"/>
        <v>0.45</v>
      </c>
      <c r="GI22" s="3">
        <v>0.15</v>
      </c>
      <c r="GJ22" s="3">
        <f t="shared" si="115"/>
        <v>0.15</v>
      </c>
      <c r="GK22" s="4">
        <f t="shared" si="116"/>
        <v>0.15</v>
      </c>
      <c r="GL22" s="3">
        <v>1.17</v>
      </c>
      <c r="GM22" s="3">
        <f t="shared" si="117"/>
        <v>1.17</v>
      </c>
      <c r="GN22" s="4">
        <f t="shared" si="118"/>
        <v>1.17</v>
      </c>
      <c r="GO22" s="3">
        <v>1.89</v>
      </c>
      <c r="GP22" s="3">
        <f t="shared" si="119"/>
        <v>1.89</v>
      </c>
      <c r="GQ22" s="4">
        <f t="shared" si="120"/>
        <v>1.89</v>
      </c>
      <c r="GR22" s="3">
        <v>0.73</v>
      </c>
      <c r="GS22" s="3">
        <f t="shared" si="121"/>
        <v>0.73</v>
      </c>
      <c r="GT22" s="4">
        <f t="shared" si="122"/>
        <v>0.73</v>
      </c>
      <c r="GU22" s="3">
        <v>0.28000000000000003</v>
      </c>
      <c r="GV22" s="3">
        <f t="shared" si="123"/>
        <v>0.28000000000000003</v>
      </c>
      <c r="GW22" s="4">
        <f t="shared" si="124"/>
        <v>0.28000000000000003</v>
      </c>
      <c r="GX22" s="3">
        <v>3.56</v>
      </c>
      <c r="GY22" s="3">
        <f t="shared" si="125"/>
        <v>3.56</v>
      </c>
      <c r="GZ22" s="21" t="str">
        <f t="shared" si="126"/>
        <v/>
      </c>
    </row>
    <row r="23" spans="2:208">
      <c r="B23" s="20" t="s">
        <v>186</v>
      </c>
      <c r="C23" s="3">
        <v>3.02</v>
      </c>
      <c r="D23" s="3">
        <f t="shared" si="0"/>
        <v>3.02</v>
      </c>
      <c r="E23" s="4">
        <f t="shared" si="1"/>
        <v>3.02</v>
      </c>
      <c r="F23" s="3">
        <v>4.3899999999999997</v>
      </c>
      <c r="G23" s="3">
        <f t="shared" si="2"/>
        <v>4.3899999999999997</v>
      </c>
      <c r="H23" s="4">
        <f t="shared" si="3"/>
        <v>4.3899999999999997</v>
      </c>
      <c r="I23" s="3">
        <v>5.32</v>
      </c>
      <c r="J23" s="3">
        <f t="shared" si="4"/>
        <v>5.32</v>
      </c>
      <c r="K23" s="4">
        <f t="shared" si="5"/>
        <v>5.32</v>
      </c>
      <c r="L23" s="3">
        <v>5.64</v>
      </c>
      <c r="M23" s="3">
        <f t="shared" si="6"/>
        <v>5.64</v>
      </c>
      <c r="N23" s="4">
        <f t="shared" si="7"/>
        <v>5.64</v>
      </c>
      <c r="O23" s="3">
        <v>4.3</v>
      </c>
      <c r="P23" s="3">
        <f t="shared" si="8"/>
        <v>4.3</v>
      </c>
      <c r="Q23" s="4">
        <f t="shared" si="9"/>
        <v>4.3</v>
      </c>
      <c r="R23" s="3">
        <v>4.8600000000000003</v>
      </c>
      <c r="S23" s="3">
        <f t="shared" si="10"/>
        <v>4.8600000000000003</v>
      </c>
      <c r="T23" s="4">
        <f t="shared" si="11"/>
        <v>4.8600000000000003</v>
      </c>
      <c r="U23" s="3">
        <v>0.28000000000000003</v>
      </c>
      <c r="V23" s="3">
        <f t="shared" si="12"/>
        <v>0.28000000000000003</v>
      </c>
      <c r="W23" s="4" t="str">
        <f t="shared" si="13"/>
        <v/>
      </c>
      <c r="X23" s="3">
        <v>2.34</v>
      </c>
      <c r="Y23" s="3">
        <f t="shared" si="14"/>
        <v>2.34</v>
      </c>
      <c r="Z23" s="21">
        <f t="shared" si="15"/>
        <v>2.34</v>
      </c>
      <c r="AB23" s="20" t="s">
        <v>187</v>
      </c>
      <c r="AC23" s="3">
        <v>2.85</v>
      </c>
      <c r="AD23" s="3">
        <f t="shared" si="16"/>
        <v>2.85</v>
      </c>
      <c r="AE23" s="4">
        <f t="shared" si="17"/>
        <v>2.85</v>
      </c>
      <c r="AF23" s="3">
        <v>5.47</v>
      </c>
      <c r="AG23" s="3">
        <f t="shared" si="18"/>
        <v>5.47</v>
      </c>
      <c r="AH23" s="4">
        <f t="shared" si="19"/>
        <v>5.47</v>
      </c>
      <c r="AI23" s="3">
        <v>5.14</v>
      </c>
      <c r="AJ23" s="3">
        <f t="shared" si="20"/>
        <v>5.14</v>
      </c>
      <c r="AK23" s="4">
        <f t="shared" si="21"/>
        <v>5.14</v>
      </c>
      <c r="AL23" s="3">
        <v>6.06</v>
      </c>
      <c r="AM23" s="3">
        <f t="shared" si="22"/>
        <v>6.06</v>
      </c>
      <c r="AN23" s="4">
        <f t="shared" si="23"/>
        <v>6.06</v>
      </c>
      <c r="AO23" s="3">
        <v>0</v>
      </c>
      <c r="AP23" s="3" t="str">
        <f t="shared" si="24"/>
        <v/>
      </c>
      <c r="AQ23" s="4" t="str">
        <f t="shared" si="25"/>
        <v/>
      </c>
      <c r="AR23" s="3">
        <v>3.73</v>
      </c>
      <c r="AS23" s="3">
        <f t="shared" si="26"/>
        <v>3.73</v>
      </c>
      <c r="AT23" s="4">
        <f t="shared" si="27"/>
        <v>3.73</v>
      </c>
      <c r="AU23" s="3">
        <v>3.06</v>
      </c>
      <c r="AV23" s="3">
        <f t="shared" si="28"/>
        <v>3.06</v>
      </c>
      <c r="AW23" s="4">
        <f t="shared" si="29"/>
        <v>3.06</v>
      </c>
      <c r="AX23" s="3">
        <v>3.45</v>
      </c>
      <c r="AY23" s="3">
        <f t="shared" si="30"/>
        <v>3.45</v>
      </c>
      <c r="AZ23" s="21">
        <f t="shared" si="31"/>
        <v>3.45</v>
      </c>
      <c r="BB23" s="20" t="s">
        <v>188</v>
      </c>
      <c r="BC23" s="3">
        <v>3.9</v>
      </c>
      <c r="BD23" s="3">
        <f t="shared" si="32"/>
        <v>3.9</v>
      </c>
      <c r="BE23" s="4">
        <f t="shared" si="33"/>
        <v>3.9</v>
      </c>
      <c r="BF23" s="3">
        <v>3.72</v>
      </c>
      <c r="BG23" s="3">
        <f t="shared" si="34"/>
        <v>3.72</v>
      </c>
      <c r="BH23" s="4">
        <f t="shared" si="35"/>
        <v>3.72</v>
      </c>
      <c r="BI23" s="3">
        <v>4.13</v>
      </c>
      <c r="BJ23" s="3">
        <f t="shared" si="36"/>
        <v>4.13</v>
      </c>
      <c r="BK23" s="4">
        <f t="shared" si="37"/>
        <v>4.13</v>
      </c>
      <c r="BL23" s="3">
        <v>4.34</v>
      </c>
      <c r="BM23" s="3">
        <f t="shared" si="38"/>
        <v>4.34</v>
      </c>
      <c r="BN23" s="4">
        <f t="shared" si="39"/>
        <v>4.34</v>
      </c>
      <c r="BO23" s="3">
        <v>3.58</v>
      </c>
      <c r="BP23" s="3">
        <f t="shared" si="40"/>
        <v>3.58</v>
      </c>
      <c r="BQ23" s="4">
        <f t="shared" si="41"/>
        <v>3.58</v>
      </c>
      <c r="BR23" s="3">
        <v>3.14</v>
      </c>
      <c r="BS23" s="3">
        <f t="shared" si="42"/>
        <v>3.14</v>
      </c>
      <c r="BT23" s="4">
        <f t="shared" si="43"/>
        <v>3.14</v>
      </c>
      <c r="BU23" s="3">
        <v>1.63</v>
      </c>
      <c r="BV23" s="3">
        <f t="shared" si="44"/>
        <v>1.63</v>
      </c>
      <c r="BW23" s="4">
        <f t="shared" si="45"/>
        <v>1.63</v>
      </c>
      <c r="BX23" s="3">
        <v>1.23</v>
      </c>
      <c r="BY23" s="3">
        <f t="shared" si="46"/>
        <v>1.23</v>
      </c>
      <c r="BZ23" s="21">
        <f t="shared" si="47"/>
        <v>1.23</v>
      </c>
      <c r="CB23" s="20" t="s">
        <v>189</v>
      </c>
      <c r="CC23" s="3">
        <v>4.16</v>
      </c>
      <c r="CD23" s="3">
        <f t="shared" si="48"/>
        <v>4.16</v>
      </c>
      <c r="CE23" s="4">
        <f t="shared" si="49"/>
        <v>4.16</v>
      </c>
      <c r="CF23" s="3">
        <v>6.1</v>
      </c>
      <c r="CG23" s="3">
        <f t="shared" si="50"/>
        <v>6.1</v>
      </c>
      <c r="CH23" s="4">
        <f t="shared" si="51"/>
        <v>6.1</v>
      </c>
      <c r="CI23" s="3">
        <v>3.76</v>
      </c>
      <c r="CJ23" s="3">
        <f t="shared" si="52"/>
        <v>3.76</v>
      </c>
      <c r="CK23" s="4">
        <f t="shared" si="53"/>
        <v>3.76</v>
      </c>
      <c r="CL23" s="3">
        <v>5.22</v>
      </c>
      <c r="CM23" s="3">
        <f t="shared" si="54"/>
        <v>5.22</v>
      </c>
      <c r="CN23" s="4">
        <f t="shared" si="55"/>
        <v>5.22</v>
      </c>
      <c r="CO23" s="3">
        <v>5.45</v>
      </c>
      <c r="CP23" s="3">
        <f t="shared" si="56"/>
        <v>5.45</v>
      </c>
      <c r="CQ23" s="4">
        <f t="shared" si="57"/>
        <v>5.45</v>
      </c>
      <c r="CR23" s="3">
        <v>1.84</v>
      </c>
      <c r="CS23" s="3">
        <f t="shared" si="58"/>
        <v>1.84</v>
      </c>
      <c r="CT23" s="4">
        <f t="shared" si="59"/>
        <v>1.84</v>
      </c>
      <c r="CU23" s="3">
        <v>3.75</v>
      </c>
      <c r="CV23" s="3">
        <f t="shared" si="60"/>
        <v>3.75</v>
      </c>
      <c r="CW23" s="4">
        <f t="shared" si="61"/>
        <v>3.75</v>
      </c>
      <c r="CX23" s="3">
        <v>3.18</v>
      </c>
      <c r="CY23" s="3">
        <f t="shared" si="62"/>
        <v>3.18</v>
      </c>
      <c r="CZ23" s="21">
        <f t="shared" si="63"/>
        <v>3.18</v>
      </c>
      <c r="DB23" s="20" t="s">
        <v>190</v>
      </c>
      <c r="DC23" s="3">
        <v>2.59</v>
      </c>
      <c r="DD23" s="3">
        <f t="shared" si="64"/>
        <v>2.59</v>
      </c>
      <c r="DE23" s="4">
        <f t="shared" si="65"/>
        <v>2.59</v>
      </c>
      <c r="DF23" s="3">
        <v>1.17</v>
      </c>
      <c r="DG23" s="3">
        <f t="shared" si="66"/>
        <v>1.17</v>
      </c>
      <c r="DH23" s="4">
        <f t="shared" si="67"/>
        <v>1.17</v>
      </c>
      <c r="DI23" s="3">
        <v>2.59</v>
      </c>
      <c r="DJ23" s="3">
        <f t="shared" si="68"/>
        <v>2.59</v>
      </c>
      <c r="DK23" s="4">
        <f t="shared" si="69"/>
        <v>2.59</v>
      </c>
      <c r="DL23" s="3">
        <v>3.56</v>
      </c>
      <c r="DM23" s="3">
        <f t="shared" si="127"/>
        <v>3.56</v>
      </c>
      <c r="DN23" s="4">
        <f t="shared" si="70"/>
        <v>3.56</v>
      </c>
      <c r="DO23" s="3">
        <v>1.37</v>
      </c>
      <c r="DP23" s="3">
        <f t="shared" si="71"/>
        <v>1.37</v>
      </c>
      <c r="DQ23" s="4">
        <f t="shared" si="72"/>
        <v>1.37</v>
      </c>
      <c r="DR23" s="3">
        <v>1.17</v>
      </c>
      <c r="DS23" s="3">
        <f t="shared" si="73"/>
        <v>1.17</v>
      </c>
      <c r="DT23" s="4">
        <f t="shared" si="74"/>
        <v>1.17</v>
      </c>
      <c r="DU23" s="3">
        <v>0.28000000000000003</v>
      </c>
      <c r="DV23" s="3">
        <f t="shared" si="75"/>
        <v>0.28000000000000003</v>
      </c>
      <c r="DW23" s="4" t="str">
        <f t="shared" si="76"/>
        <v/>
      </c>
      <c r="DX23" s="3">
        <v>0</v>
      </c>
      <c r="DY23" s="3" t="str">
        <f t="shared" si="77"/>
        <v/>
      </c>
      <c r="DZ23" s="21" t="str">
        <f t="shared" si="78"/>
        <v/>
      </c>
      <c r="EB23" s="20" t="s">
        <v>191</v>
      </c>
      <c r="EC23" s="3">
        <v>1.37</v>
      </c>
      <c r="ED23" s="3">
        <f t="shared" si="79"/>
        <v>1.37</v>
      </c>
      <c r="EE23" s="4" t="str">
        <f t="shared" si="80"/>
        <v/>
      </c>
      <c r="EF23" s="3">
        <v>0.45</v>
      </c>
      <c r="EG23" s="3">
        <f t="shared" si="81"/>
        <v>0.45</v>
      </c>
      <c r="EH23" s="4" t="str">
        <f t="shared" si="82"/>
        <v/>
      </c>
      <c r="EI23" s="3">
        <v>0.15</v>
      </c>
      <c r="EJ23" s="3">
        <f t="shared" si="83"/>
        <v>0.15</v>
      </c>
      <c r="EK23" s="4">
        <f t="shared" si="84"/>
        <v>0.15</v>
      </c>
      <c r="EL23" s="3">
        <v>1.61</v>
      </c>
      <c r="EM23" s="3">
        <f t="shared" si="85"/>
        <v>1.61</v>
      </c>
      <c r="EN23" s="4">
        <f t="shared" si="86"/>
        <v>1.61</v>
      </c>
      <c r="EO23" s="3">
        <v>17.43</v>
      </c>
      <c r="EP23" s="3">
        <f t="shared" si="87"/>
        <v>17.43</v>
      </c>
      <c r="EQ23" s="4" t="str">
        <f t="shared" si="88"/>
        <v/>
      </c>
      <c r="ER23" s="3">
        <v>1.61</v>
      </c>
      <c r="ES23" s="3">
        <f t="shared" si="89"/>
        <v>1.61</v>
      </c>
      <c r="ET23" s="4">
        <f t="shared" si="90"/>
        <v>1.61</v>
      </c>
      <c r="EU23" s="3">
        <v>0.73</v>
      </c>
      <c r="EV23" s="3">
        <f t="shared" si="91"/>
        <v>0.73</v>
      </c>
      <c r="EW23" s="4">
        <f t="shared" si="92"/>
        <v>0.73</v>
      </c>
      <c r="EX23" s="3">
        <v>1.37</v>
      </c>
      <c r="EY23" s="3">
        <f t="shared" si="93"/>
        <v>1.37</v>
      </c>
      <c r="EZ23" s="21">
        <f t="shared" si="94"/>
        <v>1.37</v>
      </c>
      <c r="FB23" s="20" t="s">
        <v>192</v>
      </c>
      <c r="FC23" s="3">
        <v>12.69</v>
      </c>
      <c r="FD23" s="3">
        <f t="shared" si="95"/>
        <v>12.69</v>
      </c>
      <c r="FE23" s="4">
        <f t="shared" si="96"/>
        <v>12.69</v>
      </c>
      <c r="FF23" s="3">
        <v>1.37</v>
      </c>
      <c r="FG23" s="3">
        <f t="shared" si="97"/>
        <v>1.37</v>
      </c>
      <c r="FH23" s="4">
        <f t="shared" si="98"/>
        <v>1.37</v>
      </c>
      <c r="FI23" s="3">
        <v>1.61</v>
      </c>
      <c r="FJ23" s="3">
        <f t="shared" si="99"/>
        <v>1.61</v>
      </c>
      <c r="FK23" s="4">
        <f t="shared" si="100"/>
        <v>1.61</v>
      </c>
      <c r="FL23" s="3">
        <v>1.89</v>
      </c>
      <c r="FM23" s="3">
        <f t="shared" si="101"/>
        <v>1.89</v>
      </c>
      <c r="FN23" s="4" t="str">
        <f t="shared" si="102"/>
        <v/>
      </c>
      <c r="FO23" s="3">
        <v>1.89</v>
      </c>
      <c r="FP23" s="3">
        <f t="shared" si="103"/>
        <v>1.89</v>
      </c>
      <c r="FQ23" s="4">
        <f t="shared" si="104"/>
        <v>1.89</v>
      </c>
      <c r="FR23" s="3">
        <v>2.59</v>
      </c>
      <c r="FS23" s="3">
        <f t="shared" si="105"/>
        <v>2.59</v>
      </c>
      <c r="FT23" s="4">
        <f t="shared" si="106"/>
        <v>2.59</v>
      </c>
      <c r="FU23" s="3">
        <v>0.2</v>
      </c>
      <c r="FV23" s="3">
        <f t="shared" si="107"/>
        <v>0.2</v>
      </c>
      <c r="FW23" s="4">
        <f t="shared" si="108"/>
        <v>0.2</v>
      </c>
      <c r="FX23" s="3">
        <v>0.2</v>
      </c>
      <c r="FY23" s="3">
        <f t="shared" si="109"/>
        <v>0.2</v>
      </c>
      <c r="FZ23" s="21">
        <f t="shared" si="110"/>
        <v>0.2</v>
      </c>
      <c r="GB23" s="20" t="s">
        <v>193</v>
      </c>
      <c r="GC23" s="3">
        <v>0.85</v>
      </c>
      <c r="GD23" s="3">
        <f t="shared" si="111"/>
        <v>0.85</v>
      </c>
      <c r="GE23" s="4">
        <f t="shared" si="112"/>
        <v>0.85</v>
      </c>
      <c r="GF23" s="3">
        <v>0.45</v>
      </c>
      <c r="GG23" s="3">
        <f t="shared" si="113"/>
        <v>0.45</v>
      </c>
      <c r="GH23" s="4">
        <f t="shared" si="114"/>
        <v>0.45</v>
      </c>
      <c r="GI23" s="3">
        <v>0.15</v>
      </c>
      <c r="GJ23" s="3">
        <f t="shared" si="115"/>
        <v>0.15</v>
      </c>
      <c r="GK23" s="4">
        <f t="shared" si="116"/>
        <v>0.15</v>
      </c>
      <c r="GL23" s="3">
        <v>0</v>
      </c>
      <c r="GM23" s="3" t="str">
        <f t="shared" si="117"/>
        <v/>
      </c>
      <c r="GN23" s="4" t="str">
        <f t="shared" si="118"/>
        <v/>
      </c>
      <c r="GO23" s="3">
        <v>1.89</v>
      </c>
      <c r="GP23" s="3">
        <f t="shared" si="119"/>
        <v>1.89</v>
      </c>
      <c r="GQ23" s="4">
        <f t="shared" si="120"/>
        <v>1.89</v>
      </c>
      <c r="GR23" s="3">
        <v>0.73</v>
      </c>
      <c r="GS23" s="3">
        <f t="shared" si="121"/>
        <v>0.73</v>
      </c>
      <c r="GT23" s="4">
        <f t="shared" si="122"/>
        <v>0.73</v>
      </c>
      <c r="GU23" s="3">
        <v>0.28000000000000003</v>
      </c>
      <c r="GV23" s="3">
        <f t="shared" si="123"/>
        <v>0.28000000000000003</v>
      </c>
      <c r="GW23" s="4">
        <f t="shared" si="124"/>
        <v>0.28000000000000003</v>
      </c>
      <c r="GX23" s="3">
        <v>1.89</v>
      </c>
      <c r="GY23" s="3">
        <f t="shared" si="125"/>
        <v>1.89</v>
      </c>
      <c r="GZ23" s="21">
        <f t="shared" si="126"/>
        <v>1.89</v>
      </c>
    </row>
    <row r="24" spans="2:208">
      <c r="B24" s="20" t="s">
        <v>194</v>
      </c>
      <c r="C24" s="3">
        <v>3.02</v>
      </c>
      <c r="D24" s="3">
        <f t="shared" si="0"/>
        <v>3.02</v>
      </c>
      <c r="E24" s="4">
        <f t="shared" si="1"/>
        <v>3.02</v>
      </c>
      <c r="F24" s="3">
        <v>4.3899999999999997</v>
      </c>
      <c r="G24" s="3">
        <f t="shared" si="2"/>
        <v>4.3899999999999997</v>
      </c>
      <c r="H24" s="4">
        <f t="shared" si="3"/>
        <v>4.3899999999999997</v>
      </c>
      <c r="I24" s="3">
        <v>5.3</v>
      </c>
      <c r="J24" s="3">
        <f t="shared" si="4"/>
        <v>5.3</v>
      </c>
      <c r="K24" s="4">
        <f t="shared" si="5"/>
        <v>5.3</v>
      </c>
      <c r="L24" s="3">
        <v>5.61</v>
      </c>
      <c r="M24" s="3">
        <f t="shared" si="6"/>
        <v>5.61</v>
      </c>
      <c r="N24" s="4">
        <f t="shared" si="7"/>
        <v>5.61</v>
      </c>
      <c r="O24" s="3">
        <v>4.3499999999999996</v>
      </c>
      <c r="P24" s="3">
        <f t="shared" si="8"/>
        <v>4.3499999999999996</v>
      </c>
      <c r="Q24" s="4">
        <f t="shared" si="9"/>
        <v>4.3499999999999996</v>
      </c>
      <c r="R24" s="3">
        <v>4.8</v>
      </c>
      <c r="S24" s="3">
        <f t="shared" si="10"/>
        <v>4.8</v>
      </c>
      <c r="T24" s="4">
        <f t="shared" si="11"/>
        <v>4.8</v>
      </c>
      <c r="U24" s="3">
        <v>1.82</v>
      </c>
      <c r="V24" s="3">
        <f t="shared" si="12"/>
        <v>1.82</v>
      </c>
      <c r="W24" s="4">
        <f t="shared" si="13"/>
        <v>1.82</v>
      </c>
      <c r="X24" s="3">
        <v>2.2799999999999998</v>
      </c>
      <c r="Y24" s="3">
        <f t="shared" si="14"/>
        <v>2.2799999999999998</v>
      </c>
      <c r="Z24" s="21">
        <f t="shared" si="15"/>
        <v>2.2799999999999998</v>
      </c>
      <c r="AB24" s="20" t="s">
        <v>195</v>
      </c>
      <c r="AC24" s="3">
        <v>2.77</v>
      </c>
      <c r="AD24" s="3">
        <f t="shared" si="16"/>
        <v>2.77</v>
      </c>
      <c r="AE24" s="4">
        <f t="shared" si="17"/>
        <v>2.77</v>
      </c>
      <c r="AF24" s="3">
        <v>5.47</v>
      </c>
      <c r="AG24" s="3">
        <f t="shared" si="18"/>
        <v>5.47</v>
      </c>
      <c r="AH24" s="4">
        <f t="shared" si="19"/>
        <v>5.47</v>
      </c>
      <c r="AI24" s="3">
        <v>5.23</v>
      </c>
      <c r="AJ24" s="3">
        <f t="shared" si="20"/>
        <v>5.23</v>
      </c>
      <c r="AK24" s="4">
        <f t="shared" si="21"/>
        <v>5.23</v>
      </c>
      <c r="AL24" s="3">
        <v>6.02</v>
      </c>
      <c r="AM24" s="3">
        <f t="shared" si="22"/>
        <v>6.02</v>
      </c>
      <c r="AN24" s="4">
        <f t="shared" si="23"/>
        <v>6.02</v>
      </c>
      <c r="AO24" s="3">
        <v>0</v>
      </c>
      <c r="AP24" s="3" t="str">
        <f t="shared" si="24"/>
        <v/>
      </c>
      <c r="AQ24" s="4" t="str">
        <f t="shared" si="25"/>
        <v/>
      </c>
      <c r="AR24" s="3">
        <v>3.77</v>
      </c>
      <c r="AS24" s="3">
        <f t="shared" si="26"/>
        <v>3.77</v>
      </c>
      <c r="AT24" s="4">
        <f t="shared" si="27"/>
        <v>3.77</v>
      </c>
      <c r="AU24" s="3">
        <v>3.03</v>
      </c>
      <c r="AV24" s="3">
        <f t="shared" si="28"/>
        <v>3.03</v>
      </c>
      <c r="AW24" s="4">
        <f t="shared" si="29"/>
        <v>3.03</v>
      </c>
      <c r="AX24" s="3">
        <v>3.54</v>
      </c>
      <c r="AY24" s="3">
        <f t="shared" si="30"/>
        <v>3.54</v>
      </c>
      <c r="AZ24" s="21">
        <f t="shared" si="31"/>
        <v>3.54</v>
      </c>
      <c r="BB24" s="20" t="s">
        <v>196</v>
      </c>
      <c r="BC24" s="3">
        <v>3.89</v>
      </c>
      <c r="BD24" s="3">
        <f t="shared" si="32"/>
        <v>3.89</v>
      </c>
      <c r="BE24" s="4">
        <f t="shared" si="33"/>
        <v>3.89</v>
      </c>
      <c r="BF24" s="3">
        <v>2.9</v>
      </c>
      <c r="BG24" s="3">
        <f t="shared" si="34"/>
        <v>2.9</v>
      </c>
      <c r="BH24" s="4" t="str">
        <f t="shared" si="35"/>
        <v/>
      </c>
      <c r="BI24" s="3">
        <v>4.16</v>
      </c>
      <c r="BJ24" s="3">
        <f t="shared" si="36"/>
        <v>4.16</v>
      </c>
      <c r="BK24" s="4">
        <f t="shared" si="37"/>
        <v>4.16</v>
      </c>
      <c r="BL24" s="3">
        <v>4.28</v>
      </c>
      <c r="BM24" s="3">
        <f t="shared" si="38"/>
        <v>4.28</v>
      </c>
      <c r="BN24" s="4">
        <f t="shared" si="39"/>
        <v>4.28</v>
      </c>
      <c r="BO24" s="3">
        <v>3.64</v>
      </c>
      <c r="BP24" s="3">
        <f t="shared" si="40"/>
        <v>3.64</v>
      </c>
      <c r="BQ24" s="4">
        <f t="shared" si="41"/>
        <v>3.64</v>
      </c>
      <c r="BR24" s="3">
        <v>3.13</v>
      </c>
      <c r="BS24" s="3">
        <f t="shared" si="42"/>
        <v>3.13</v>
      </c>
      <c r="BT24" s="4">
        <f t="shared" si="43"/>
        <v>3.13</v>
      </c>
      <c r="BU24" s="3">
        <v>1.64</v>
      </c>
      <c r="BV24" s="3">
        <f t="shared" si="44"/>
        <v>1.64</v>
      </c>
      <c r="BW24" s="4">
        <f t="shared" si="45"/>
        <v>1.64</v>
      </c>
      <c r="BX24" s="3">
        <v>1.2</v>
      </c>
      <c r="BY24" s="3">
        <f t="shared" si="46"/>
        <v>1.2</v>
      </c>
      <c r="BZ24" s="21">
        <f t="shared" si="47"/>
        <v>1.2</v>
      </c>
      <c r="CB24" s="20" t="s">
        <v>197</v>
      </c>
      <c r="CC24" s="3">
        <v>4.16</v>
      </c>
      <c r="CD24" s="3">
        <f t="shared" si="48"/>
        <v>4.16</v>
      </c>
      <c r="CE24" s="4">
        <f t="shared" si="49"/>
        <v>4.16</v>
      </c>
      <c r="CF24" s="3">
        <v>6.08</v>
      </c>
      <c r="CG24" s="3">
        <f t="shared" si="50"/>
        <v>6.08</v>
      </c>
      <c r="CH24" s="4">
        <f t="shared" si="51"/>
        <v>6.08</v>
      </c>
      <c r="CI24" s="3">
        <v>3.81</v>
      </c>
      <c r="CJ24" s="3">
        <f t="shared" si="52"/>
        <v>3.81</v>
      </c>
      <c r="CK24" s="4">
        <f t="shared" si="53"/>
        <v>3.81</v>
      </c>
      <c r="CL24" s="3">
        <v>5.22</v>
      </c>
      <c r="CM24" s="3">
        <f t="shared" si="54"/>
        <v>5.22</v>
      </c>
      <c r="CN24" s="4">
        <f t="shared" si="55"/>
        <v>5.22</v>
      </c>
      <c r="CO24" s="3">
        <v>5.48</v>
      </c>
      <c r="CP24" s="3">
        <f t="shared" si="56"/>
        <v>5.48</v>
      </c>
      <c r="CQ24" s="4">
        <f t="shared" si="57"/>
        <v>5.48</v>
      </c>
      <c r="CR24" s="3">
        <v>1.84</v>
      </c>
      <c r="CS24" s="3">
        <f t="shared" si="58"/>
        <v>1.84</v>
      </c>
      <c r="CT24" s="4">
        <f t="shared" si="59"/>
        <v>1.84</v>
      </c>
      <c r="CU24" s="3">
        <v>3.76</v>
      </c>
      <c r="CV24" s="3">
        <f t="shared" si="60"/>
        <v>3.76</v>
      </c>
      <c r="CW24" s="4">
        <f t="shared" si="61"/>
        <v>3.76</v>
      </c>
      <c r="CX24" s="3">
        <v>3.11</v>
      </c>
      <c r="CY24" s="3">
        <f t="shared" si="62"/>
        <v>3.11</v>
      </c>
      <c r="CZ24" s="21">
        <f t="shared" si="63"/>
        <v>3.11</v>
      </c>
      <c r="DB24" s="20" t="s">
        <v>198</v>
      </c>
      <c r="DC24" s="3">
        <v>3.04</v>
      </c>
      <c r="DD24" s="3">
        <f t="shared" si="64"/>
        <v>3.04</v>
      </c>
      <c r="DE24" s="4">
        <f t="shared" si="65"/>
        <v>3.04</v>
      </c>
      <c r="DF24" s="3">
        <v>1.17</v>
      </c>
      <c r="DG24" s="3">
        <f t="shared" si="66"/>
        <v>1.17</v>
      </c>
      <c r="DH24" s="4">
        <f t="shared" si="67"/>
        <v>1.17</v>
      </c>
      <c r="DI24" s="3">
        <v>2.59</v>
      </c>
      <c r="DJ24" s="3">
        <f t="shared" si="68"/>
        <v>2.59</v>
      </c>
      <c r="DK24" s="4">
        <f t="shared" si="69"/>
        <v>2.59</v>
      </c>
      <c r="DL24" s="3">
        <v>3.56</v>
      </c>
      <c r="DM24" s="3">
        <f t="shared" si="127"/>
        <v>3.56</v>
      </c>
      <c r="DN24" s="4">
        <f t="shared" si="70"/>
        <v>3.56</v>
      </c>
      <c r="DO24" s="3">
        <v>1.37</v>
      </c>
      <c r="DP24" s="3">
        <f t="shared" si="71"/>
        <v>1.37</v>
      </c>
      <c r="DQ24" s="4">
        <f t="shared" si="72"/>
        <v>1.37</v>
      </c>
      <c r="DR24" s="3">
        <v>1.17</v>
      </c>
      <c r="DS24" s="3">
        <f t="shared" si="73"/>
        <v>1.17</v>
      </c>
      <c r="DT24" s="4">
        <f t="shared" si="74"/>
        <v>1.17</v>
      </c>
      <c r="DU24" s="3">
        <v>1.37</v>
      </c>
      <c r="DV24" s="3">
        <f t="shared" si="75"/>
        <v>1.37</v>
      </c>
      <c r="DW24" s="4">
        <f t="shared" si="76"/>
        <v>1.37</v>
      </c>
      <c r="DX24" s="3">
        <v>1.17</v>
      </c>
      <c r="DY24" s="3">
        <f t="shared" si="77"/>
        <v>1.17</v>
      </c>
      <c r="DZ24" s="21" t="str">
        <f t="shared" si="78"/>
        <v/>
      </c>
      <c r="EB24" s="20" t="s">
        <v>199</v>
      </c>
      <c r="EC24" s="3">
        <v>0.53</v>
      </c>
      <c r="ED24" s="3">
        <f t="shared" si="79"/>
        <v>0.53</v>
      </c>
      <c r="EE24" s="4">
        <f t="shared" si="80"/>
        <v>0.53</v>
      </c>
      <c r="EF24" s="3">
        <v>4.18</v>
      </c>
      <c r="EG24" s="3">
        <f t="shared" si="81"/>
        <v>4.18</v>
      </c>
      <c r="EH24" s="4">
        <f t="shared" si="82"/>
        <v>4.18</v>
      </c>
      <c r="EI24" s="3">
        <v>0.39</v>
      </c>
      <c r="EJ24" s="3">
        <f t="shared" si="83"/>
        <v>0.39</v>
      </c>
      <c r="EK24" s="4">
        <f t="shared" si="84"/>
        <v>0.39</v>
      </c>
      <c r="EL24" s="3">
        <v>1.61</v>
      </c>
      <c r="EM24" s="3">
        <f t="shared" si="85"/>
        <v>1.61</v>
      </c>
      <c r="EN24" s="4">
        <f t="shared" si="86"/>
        <v>1.61</v>
      </c>
      <c r="EO24" s="3">
        <v>2.59</v>
      </c>
      <c r="EP24" s="3">
        <f t="shared" si="87"/>
        <v>2.59</v>
      </c>
      <c r="EQ24" s="4">
        <f t="shared" si="88"/>
        <v>2.59</v>
      </c>
      <c r="ER24" s="3">
        <v>1.89</v>
      </c>
      <c r="ES24" s="3">
        <f t="shared" si="89"/>
        <v>1.89</v>
      </c>
      <c r="ET24" s="4">
        <f t="shared" si="90"/>
        <v>1.89</v>
      </c>
      <c r="EU24" s="3">
        <v>0.73</v>
      </c>
      <c r="EV24" s="3">
        <f t="shared" si="91"/>
        <v>0.73</v>
      </c>
      <c r="EW24" s="4">
        <f t="shared" si="92"/>
        <v>0.73</v>
      </c>
      <c r="EX24" s="3">
        <v>0</v>
      </c>
      <c r="EY24" s="3" t="str">
        <f t="shared" si="93"/>
        <v/>
      </c>
      <c r="EZ24" s="21" t="str">
        <f t="shared" si="94"/>
        <v/>
      </c>
      <c r="FB24" s="20" t="s">
        <v>200</v>
      </c>
      <c r="FC24" s="3">
        <v>12.69</v>
      </c>
      <c r="FD24" s="3">
        <f t="shared" si="95"/>
        <v>12.69</v>
      </c>
      <c r="FE24" s="4">
        <f t="shared" si="96"/>
        <v>12.69</v>
      </c>
      <c r="FF24" s="3">
        <v>1.37</v>
      </c>
      <c r="FG24" s="3">
        <f t="shared" si="97"/>
        <v>1.37</v>
      </c>
      <c r="FH24" s="4">
        <f t="shared" si="98"/>
        <v>1.37</v>
      </c>
      <c r="FI24" s="3">
        <v>1.61</v>
      </c>
      <c r="FJ24" s="3">
        <f t="shared" si="99"/>
        <v>1.61</v>
      </c>
      <c r="FK24" s="4">
        <f t="shared" si="100"/>
        <v>1.61</v>
      </c>
      <c r="FL24" s="3">
        <v>3.56</v>
      </c>
      <c r="FM24" s="3">
        <f t="shared" si="101"/>
        <v>3.56</v>
      </c>
      <c r="FN24" s="4">
        <f t="shared" si="102"/>
        <v>3.56</v>
      </c>
      <c r="FO24" s="3">
        <v>1.89</v>
      </c>
      <c r="FP24" s="3">
        <f t="shared" si="103"/>
        <v>1.89</v>
      </c>
      <c r="FQ24" s="4">
        <f t="shared" si="104"/>
        <v>1.89</v>
      </c>
      <c r="FR24" s="3">
        <v>2.59</v>
      </c>
      <c r="FS24" s="3">
        <f t="shared" si="105"/>
        <v>2.59</v>
      </c>
      <c r="FT24" s="4">
        <f t="shared" si="106"/>
        <v>2.59</v>
      </c>
      <c r="FU24" s="3">
        <v>0.24</v>
      </c>
      <c r="FV24" s="3">
        <f t="shared" si="107"/>
        <v>0.24</v>
      </c>
      <c r="FW24" s="4">
        <f t="shared" si="108"/>
        <v>0.24</v>
      </c>
      <c r="FX24" s="3">
        <v>0.2</v>
      </c>
      <c r="FY24" s="3">
        <f t="shared" si="109"/>
        <v>0.2</v>
      </c>
      <c r="FZ24" s="21">
        <f t="shared" si="110"/>
        <v>0.2</v>
      </c>
      <c r="GB24" s="20" t="s">
        <v>201</v>
      </c>
      <c r="GC24" s="3">
        <v>0.85</v>
      </c>
      <c r="GD24" s="3">
        <f t="shared" si="111"/>
        <v>0.85</v>
      </c>
      <c r="GE24" s="4">
        <f t="shared" si="112"/>
        <v>0.85</v>
      </c>
      <c r="GF24" s="3">
        <v>0.45</v>
      </c>
      <c r="GG24" s="3">
        <f t="shared" si="113"/>
        <v>0.45</v>
      </c>
      <c r="GH24" s="4">
        <f t="shared" si="114"/>
        <v>0.45</v>
      </c>
      <c r="GI24" s="3">
        <v>0.15</v>
      </c>
      <c r="GJ24" s="3">
        <f t="shared" si="115"/>
        <v>0.15</v>
      </c>
      <c r="GK24" s="4">
        <f t="shared" si="116"/>
        <v>0.15</v>
      </c>
      <c r="GL24" s="3">
        <v>1.17</v>
      </c>
      <c r="GM24" s="3">
        <f t="shared" si="117"/>
        <v>1.17</v>
      </c>
      <c r="GN24" s="4">
        <f t="shared" si="118"/>
        <v>1.17</v>
      </c>
      <c r="GO24" s="3">
        <v>2.21</v>
      </c>
      <c r="GP24" s="3">
        <f t="shared" si="119"/>
        <v>2.21</v>
      </c>
      <c r="GQ24" s="4">
        <f t="shared" si="120"/>
        <v>2.21</v>
      </c>
      <c r="GR24" s="3">
        <v>0.73</v>
      </c>
      <c r="GS24" s="3">
        <f t="shared" si="121"/>
        <v>0.73</v>
      </c>
      <c r="GT24" s="4">
        <f t="shared" si="122"/>
        <v>0.73</v>
      </c>
      <c r="GU24" s="3">
        <v>0.28000000000000003</v>
      </c>
      <c r="GV24" s="3">
        <f t="shared" si="123"/>
        <v>0.28000000000000003</v>
      </c>
      <c r="GW24" s="4">
        <f t="shared" si="124"/>
        <v>0.28000000000000003</v>
      </c>
      <c r="GX24" s="3">
        <v>2.59</v>
      </c>
      <c r="GY24" s="3">
        <f t="shared" si="125"/>
        <v>2.59</v>
      </c>
      <c r="GZ24" s="21">
        <f t="shared" si="126"/>
        <v>2.59</v>
      </c>
    </row>
    <row r="25" spans="2:208">
      <c r="B25" s="20" t="s">
        <v>202</v>
      </c>
      <c r="C25" s="3">
        <v>3.03</v>
      </c>
      <c r="D25" s="3">
        <f t="shared" si="0"/>
        <v>3.03</v>
      </c>
      <c r="E25" s="4">
        <f t="shared" si="1"/>
        <v>3.03</v>
      </c>
      <c r="F25" s="3">
        <v>4.3899999999999997</v>
      </c>
      <c r="G25" s="3">
        <f t="shared" si="2"/>
        <v>4.3899999999999997</v>
      </c>
      <c r="H25" s="4">
        <f t="shared" si="3"/>
        <v>4.3899999999999997</v>
      </c>
      <c r="I25" s="3">
        <v>5.3</v>
      </c>
      <c r="J25" s="3">
        <f t="shared" si="4"/>
        <v>5.3</v>
      </c>
      <c r="K25" s="4">
        <f t="shared" si="5"/>
        <v>5.3</v>
      </c>
      <c r="L25" s="3">
        <v>4.76</v>
      </c>
      <c r="M25" s="3">
        <f t="shared" si="6"/>
        <v>4.76</v>
      </c>
      <c r="N25" s="4">
        <f t="shared" si="7"/>
        <v>4.76</v>
      </c>
      <c r="O25" s="3">
        <v>4.33</v>
      </c>
      <c r="P25" s="3">
        <f t="shared" si="8"/>
        <v>4.33</v>
      </c>
      <c r="Q25" s="4">
        <f t="shared" si="9"/>
        <v>4.33</v>
      </c>
      <c r="R25" s="3">
        <v>4.8499999999999996</v>
      </c>
      <c r="S25" s="3">
        <f t="shared" si="10"/>
        <v>4.8499999999999996</v>
      </c>
      <c r="T25" s="4">
        <f t="shared" si="11"/>
        <v>4.8499999999999996</v>
      </c>
      <c r="U25" s="3">
        <v>1.73</v>
      </c>
      <c r="V25" s="3">
        <f t="shared" si="12"/>
        <v>1.73</v>
      </c>
      <c r="W25" s="4">
        <f t="shared" si="13"/>
        <v>1.73</v>
      </c>
      <c r="X25" s="3">
        <v>2.2400000000000002</v>
      </c>
      <c r="Y25" s="3">
        <f t="shared" si="14"/>
        <v>2.2400000000000002</v>
      </c>
      <c r="Z25" s="21">
        <f t="shared" si="15"/>
        <v>2.2400000000000002</v>
      </c>
      <c r="AB25" s="20" t="s">
        <v>203</v>
      </c>
      <c r="AC25" s="3">
        <v>2.82</v>
      </c>
      <c r="AD25" s="3">
        <f t="shared" si="16"/>
        <v>2.82</v>
      </c>
      <c r="AE25" s="4">
        <f t="shared" si="17"/>
        <v>2.82</v>
      </c>
      <c r="AF25" s="3">
        <v>5.45</v>
      </c>
      <c r="AG25" s="3">
        <f t="shared" si="18"/>
        <v>5.45</v>
      </c>
      <c r="AH25" s="4">
        <f t="shared" si="19"/>
        <v>5.45</v>
      </c>
      <c r="AI25" s="3">
        <v>5.18</v>
      </c>
      <c r="AJ25" s="3">
        <f t="shared" si="20"/>
        <v>5.18</v>
      </c>
      <c r="AK25" s="4">
        <f t="shared" si="21"/>
        <v>5.18</v>
      </c>
      <c r="AL25" s="3">
        <v>6.04</v>
      </c>
      <c r="AM25" s="3">
        <f t="shared" si="22"/>
        <v>6.04</v>
      </c>
      <c r="AN25" s="4">
        <f t="shared" si="23"/>
        <v>6.04</v>
      </c>
      <c r="AO25" s="3">
        <v>5.16</v>
      </c>
      <c r="AP25" s="3">
        <f t="shared" si="24"/>
        <v>5.16</v>
      </c>
      <c r="AQ25" s="4">
        <f t="shared" si="25"/>
        <v>5.16</v>
      </c>
      <c r="AR25" s="3">
        <v>3.77</v>
      </c>
      <c r="AS25" s="3">
        <f t="shared" si="26"/>
        <v>3.77</v>
      </c>
      <c r="AT25" s="4">
        <f t="shared" si="27"/>
        <v>3.77</v>
      </c>
      <c r="AU25" s="3">
        <v>3.07</v>
      </c>
      <c r="AV25" s="3">
        <f t="shared" si="28"/>
        <v>3.07</v>
      </c>
      <c r="AW25" s="4">
        <f t="shared" si="29"/>
        <v>3.07</v>
      </c>
      <c r="AX25" s="3">
        <v>3.52</v>
      </c>
      <c r="AY25" s="3">
        <f t="shared" si="30"/>
        <v>3.52</v>
      </c>
      <c r="AZ25" s="21">
        <f t="shared" si="31"/>
        <v>3.52</v>
      </c>
      <c r="BB25" s="20" t="s">
        <v>204</v>
      </c>
      <c r="BC25" s="3">
        <v>3.93</v>
      </c>
      <c r="BD25" s="3">
        <f t="shared" si="32"/>
        <v>3.93</v>
      </c>
      <c r="BE25" s="4">
        <f t="shared" si="33"/>
        <v>3.93</v>
      </c>
      <c r="BF25" s="3">
        <v>0.22</v>
      </c>
      <c r="BG25" s="3">
        <f t="shared" si="34"/>
        <v>0.22</v>
      </c>
      <c r="BH25" s="4" t="str">
        <f t="shared" si="35"/>
        <v/>
      </c>
      <c r="BI25" s="3">
        <v>4.16</v>
      </c>
      <c r="BJ25" s="3">
        <f t="shared" si="36"/>
        <v>4.16</v>
      </c>
      <c r="BK25" s="4">
        <f t="shared" si="37"/>
        <v>4.16</v>
      </c>
      <c r="BL25" s="3">
        <v>4.33</v>
      </c>
      <c r="BM25" s="3">
        <f t="shared" si="38"/>
        <v>4.33</v>
      </c>
      <c r="BN25" s="4">
        <f t="shared" si="39"/>
        <v>4.33</v>
      </c>
      <c r="BO25" s="3">
        <v>3.61</v>
      </c>
      <c r="BP25" s="3">
        <f t="shared" si="40"/>
        <v>3.61</v>
      </c>
      <c r="BQ25" s="4">
        <f t="shared" si="41"/>
        <v>3.61</v>
      </c>
      <c r="BR25" s="3">
        <v>3.13</v>
      </c>
      <c r="BS25" s="3">
        <f t="shared" si="42"/>
        <v>3.13</v>
      </c>
      <c r="BT25" s="4">
        <f t="shared" si="43"/>
        <v>3.13</v>
      </c>
      <c r="BU25" s="3">
        <v>1.64</v>
      </c>
      <c r="BV25" s="3">
        <f t="shared" si="44"/>
        <v>1.64</v>
      </c>
      <c r="BW25" s="4">
        <f t="shared" si="45"/>
        <v>1.64</v>
      </c>
      <c r="BX25" s="3">
        <v>1.24</v>
      </c>
      <c r="BY25" s="3">
        <f t="shared" si="46"/>
        <v>1.24</v>
      </c>
      <c r="BZ25" s="21">
        <f t="shared" si="47"/>
        <v>1.24</v>
      </c>
      <c r="CB25" s="20" t="s">
        <v>205</v>
      </c>
      <c r="CC25" s="3">
        <v>4.16</v>
      </c>
      <c r="CD25" s="3">
        <f t="shared" si="48"/>
        <v>4.16</v>
      </c>
      <c r="CE25" s="4">
        <f t="shared" si="49"/>
        <v>4.16</v>
      </c>
      <c r="CF25" s="3">
        <v>6.12</v>
      </c>
      <c r="CG25" s="3">
        <f t="shared" si="50"/>
        <v>6.12</v>
      </c>
      <c r="CH25" s="4">
        <f t="shared" si="51"/>
        <v>6.12</v>
      </c>
      <c r="CI25" s="3">
        <v>3.76</v>
      </c>
      <c r="CJ25" s="3">
        <f t="shared" si="52"/>
        <v>3.76</v>
      </c>
      <c r="CK25" s="4">
        <f t="shared" si="53"/>
        <v>3.76</v>
      </c>
      <c r="CL25" s="3">
        <v>5.2</v>
      </c>
      <c r="CM25" s="3">
        <f t="shared" si="54"/>
        <v>5.2</v>
      </c>
      <c r="CN25" s="4">
        <f t="shared" si="55"/>
        <v>5.2</v>
      </c>
      <c r="CO25" s="3">
        <v>5.47</v>
      </c>
      <c r="CP25" s="3">
        <f t="shared" si="56"/>
        <v>5.47</v>
      </c>
      <c r="CQ25" s="4">
        <f t="shared" si="57"/>
        <v>5.47</v>
      </c>
      <c r="CR25" s="3">
        <v>1.85</v>
      </c>
      <c r="CS25" s="3">
        <f t="shared" si="58"/>
        <v>1.85</v>
      </c>
      <c r="CT25" s="4">
        <f t="shared" si="59"/>
        <v>1.85</v>
      </c>
      <c r="CU25" s="3">
        <v>3.78</v>
      </c>
      <c r="CV25" s="3">
        <f t="shared" si="60"/>
        <v>3.78</v>
      </c>
      <c r="CW25" s="4">
        <f t="shared" si="61"/>
        <v>3.78</v>
      </c>
      <c r="CX25" s="3">
        <v>3.2</v>
      </c>
      <c r="CY25" s="3">
        <f t="shared" si="62"/>
        <v>3.2</v>
      </c>
      <c r="CZ25" s="21">
        <f t="shared" si="63"/>
        <v>3.2</v>
      </c>
      <c r="DB25" s="20" t="s">
        <v>206</v>
      </c>
      <c r="DC25" s="3">
        <v>0</v>
      </c>
      <c r="DD25" s="3" t="str">
        <f t="shared" si="64"/>
        <v/>
      </c>
      <c r="DE25" s="4" t="str">
        <f t="shared" si="65"/>
        <v/>
      </c>
      <c r="DF25" s="3">
        <v>1.17</v>
      </c>
      <c r="DG25" s="3">
        <f t="shared" si="66"/>
        <v>1.17</v>
      </c>
      <c r="DH25" s="4">
        <f t="shared" si="67"/>
        <v>1.17</v>
      </c>
      <c r="DI25" s="3">
        <v>0.85</v>
      </c>
      <c r="DJ25" s="3">
        <f t="shared" si="68"/>
        <v>0.85</v>
      </c>
      <c r="DK25" s="4" t="str">
        <f t="shared" si="69"/>
        <v/>
      </c>
      <c r="DL25" s="3">
        <v>3.56</v>
      </c>
      <c r="DM25" s="3">
        <f t="shared" si="127"/>
        <v>3.56</v>
      </c>
      <c r="DN25" s="4">
        <f t="shared" si="70"/>
        <v>3.56</v>
      </c>
      <c r="DO25" s="3">
        <v>1.37</v>
      </c>
      <c r="DP25" s="3">
        <f t="shared" si="71"/>
        <v>1.37</v>
      </c>
      <c r="DQ25" s="4">
        <f t="shared" si="72"/>
        <v>1.37</v>
      </c>
      <c r="DR25" s="3">
        <v>0</v>
      </c>
      <c r="DS25" s="3" t="str">
        <f t="shared" si="73"/>
        <v/>
      </c>
      <c r="DT25" s="4" t="str">
        <f t="shared" si="74"/>
        <v/>
      </c>
      <c r="DU25" s="3">
        <v>1.37</v>
      </c>
      <c r="DV25" s="3">
        <f t="shared" si="75"/>
        <v>1.37</v>
      </c>
      <c r="DW25" s="4">
        <f t="shared" si="76"/>
        <v>1.37</v>
      </c>
      <c r="DX25" s="3">
        <v>2.59</v>
      </c>
      <c r="DY25" s="3">
        <f t="shared" si="77"/>
        <v>2.59</v>
      </c>
      <c r="DZ25" s="21">
        <f t="shared" si="78"/>
        <v>2.59</v>
      </c>
      <c r="EB25" s="20" t="s">
        <v>207</v>
      </c>
      <c r="EC25" s="3">
        <v>0.62</v>
      </c>
      <c r="ED25" s="3">
        <f t="shared" si="79"/>
        <v>0.62</v>
      </c>
      <c r="EE25" s="4">
        <f t="shared" si="80"/>
        <v>0.62</v>
      </c>
      <c r="EF25" s="3">
        <v>3.56</v>
      </c>
      <c r="EG25" s="3">
        <f t="shared" si="81"/>
        <v>3.56</v>
      </c>
      <c r="EH25" s="4">
        <f t="shared" si="82"/>
        <v>3.56</v>
      </c>
      <c r="EI25" s="3">
        <v>0.39</v>
      </c>
      <c r="EJ25" s="3">
        <f t="shared" si="83"/>
        <v>0.39</v>
      </c>
      <c r="EK25" s="4">
        <f t="shared" si="84"/>
        <v>0.39</v>
      </c>
      <c r="EL25" s="3">
        <v>1.61</v>
      </c>
      <c r="EM25" s="3">
        <f t="shared" si="85"/>
        <v>1.61</v>
      </c>
      <c r="EN25" s="4">
        <f t="shared" si="86"/>
        <v>1.61</v>
      </c>
      <c r="EO25" s="3">
        <v>2.59</v>
      </c>
      <c r="EP25" s="3">
        <f t="shared" si="87"/>
        <v>2.59</v>
      </c>
      <c r="EQ25" s="4">
        <f t="shared" si="88"/>
        <v>2.59</v>
      </c>
      <c r="ER25" s="3">
        <v>1.89</v>
      </c>
      <c r="ES25" s="3">
        <f t="shared" si="89"/>
        <v>1.89</v>
      </c>
      <c r="ET25" s="4">
        <f t="shared" si="90"/>
        <v>1.89</v>
      </c>
      <c r="EU25" s="3">
        <v>0.73</v>
      </c>
      <c r="EV25" s="3">
        <f t="shared" si="91"/>
        <v>0.73</v>
      </c>
      <c r="EW25" s="4">
        <f t="shared" si="92"/>
        <v>0.73</v>
      </c>
      <c r="EX25" s="3">
        <v>1.17</v>
      </c>
      <c r="EY25" s="3">
        <f t="shared" si="93"/>
        <v>1.17</v>
      </c>
      <c r="EZ25" s="21">
        <f t="shared" si="94"/>
        <v>1.17</v>
      </c>
      <c r="FB25" s="20" t="s">
        <v>208</v>
      </c>
      <c r="FC25" s="3">
        <v>10.83</v>
      </c>
      <c r="FD25" s="3">
        <f t="shared" si="95"/>
        <v>10.83</v>
      </c>
      <c r="FE25" s="4">
        <f t="shared" si="96"/>
        <v>10.83</v>
      </c>
      <c r="FF25" s="3">
        <v>1.37</v>
      </c>
      <c r="FG25" s="3">
        <f t="shared" si="97"/>
        <v>1.37</v>
      </c>
      <c r="FH25" s="4">
        <f t="shared" si="98"/>
        <v>1.37</v>
      </c>
      <c r="FI25" s="3">
        <v>1.89</v>
      </c>
      <c r="FJ25" s="3">
        <f t="shared" si="99"/>
        <v>1.89</v>
      </c>
      <c r="FK25" s="4">
        <f t="shared" si="100"/>
        <v>1.89</v>
      </c>
      <c r="FL25" s="3">
        <v>3.56</v>
      </c>
      <c r="FM25" s="3">
        <f t="shared" si="101"/>
        <v>3.56</v>
      </c>
      <c r="FN25" s="4">
        <f t="shared" si="102"/>
        <v>3.56</v>
      </c>
      <c r="FO25" s="3">
        <v>1.89</v>
      </c>
      <c r="FP25" s="3">
        <f t="shared" si="103"/>
        <v>1.89</v>
      </c>
      <c r="FQ25" s="4">
        <f t="shared" si="104"/>
        <v>1.89</v>
      </c>
      <c r="FR25" s="3">
        <v>0.85</v>
      </c>
      <c r="FS25" s="3">
        <f t="shared" si="105"/>
        <v>0.85</v>
      </c>
      <c r="FT25" s="4" t="str">
        <f t="shared" si="106"/>
        <v/>
      </c>
      <c r="FU25" s="3">
        <v>0.24</v>
      </c>
      <c r="FV25" s="3">
        <f t="shared" si="107"/>
        <v>0.24</v>
      </c>
      <c r="FW25" s="4">
        <f t="shared" si="108"/>
        <v>0.24</v>
      </c>
      <c r="FX25" s="3">
        <v>0.2</v>
      </c>
      <c r="FY25" s="3">
        <f t="shared" si="109"/>
        <v>0.2</v>
      </c>
      <c r="FZ25" s="21">
        <f t="shared" si="110"/>
        <v>0.2</v>
      </c>
      <c r="GB25" s="20" t="s">
        <v>209</v>
      </c>
      <c r="GC25" s="3">
        <v>0</v>
      </c>
      <c r="GD25" s="3" t="str">
        <f t="shared" si="111"/>
        <v/>
      </c>
      <c r="GE25" s="4" t="str">
        <f t="shared" si="112"/>
        <v/>
      </c>
      <c r="GF25" s="3">
        <v>0.45</v>
      </c>
      <c r="GG25" s="3">
        <f t="shared" si="113"/>
        <v>0.45</v>
      </c>
      <c r="GH25" s="4">
        <f t="shared" si="114"/>
        <v>0.45</v>
      </c>
      <c r="GI25" s="3">
        <v>0.13</v>
      </c>
      <c r="GJ25" s="3">
        <f t="shared" si="115"/>
        <v>0.13</v>
      </c>
      <c r="GK25" s="4">
        <f t="shared" si="116"/>
        <v>0.13</v>
      </c>
      <c r="GL25" s="3">
        <v>0</v>
      </c>
      <c r="GM25" s="3" t="str">
        <f t="shared" si="117"/>
        <v/>
      </c>
      <c r="GN25" s="4" t="str">
        <f t="shared" si="118"/>
        <v/>
      </c>
      <c r="GO25" s="3">
        <v>1.89</v>
      </c>
      <c r="GP25" s="3">
        <f t="shared" si="119"/>
        <v>1.89</v>
      </c>
      <c r="GQ25" s="4">
        <f t="shared" si="120"/>
        <v>1.89</v>
      </c>
      <c r="GR25" s="3">
        <v>0.33</v>
      </c>
      <c r="GS25" s="3">
        <f t="shared" si="121"/>
        <v>0.33</v>
      </c>
      <c r="GT25" s="4" t="str">
        <f t="shared" si="122"/>
        <v/>
      </c>
      <c r="GU25" s="3">
        <v>0.33</v>
      </c>
      <c r="GV25" s="3">
        <f t="shared" si="123"/>
        <v>0.33</v>
      </c>
      <c r="GW25" s="4">
        <f t="shared" si="124"/>
        <v>0.33</v>
      </c>
      <c r="GX25" s="3">
        <v>3.04</v>
      </c>
      <c r="GY25" s="3">
        <f t="shared" si="125"/>
        <v>3.04</v>
      </c>
      <c r="GZ25" s="21">
        <f t="shared" si="126"/>
        <v>3.04</v>
      </c>
    </row>
    <row r="26" spans="2:208">
      <c r="B26" s="20" t="s">
        <v>210</v>
      </c>
      <c r="C26" s="3">
        <v>2.99</v>
      </c>
      <c r="D26" s="3">
        <f t="shared" si="0"/>
        <v>2.99</v>
      </c>
      <c r="E26" s="4">
        <f t="shared" si="1"/>
        <v>2.99</v>
      </c>
      <c r="F26" s="3">
        <v>4.37</v>
      </c>
      <c r="G26" s="3">
        <f t="shared" si="2"/>
        <v>4.37</v>
      </c>
      <c r="H26" s="4">
        <f t="shared" si="3"/>
        <v>4.37</v>
      </c>
      <c r="I26" s="3">
        <v>5.28</v>
      </c>
      <c r="J26" s="3">
        <f t="shared" si="4"/>
        <v>5.28</v>
      </c>
      <c r="K26" s="4">
        <f t="shared" si="5"/>
        <v>5.28</v>
      </c>
      <c r="L26" s="3">
        <v>5.64</v>
      </c>
      <c r="M26" s="3">
        <f t="shared" si="6"/>
        <v>5.64</v>
      </c>
      <c r="N26" s="4">
        <f t="shared" si="7"/>
        <v>5.64</v>
      </c>
      <c r="O26" s="3">
        <v>4.34</v>
      </c>
      <c r="P26" s="3">
        <f t="shared" si="8"/>
        <v>4.34</v>
      </c>
      <c r="Q26" s="4">
        <f t="shared" si="9"/>
        <v>4.34</v>
      </c>
      <c r="R26" s="3">
        <v>4.8499999999999996</v>
      </c>
      <c r="S26" s="3">
        <f t="shared" si="10"/>
        <v>4.8499999999999996</v>
      </c>
      <c r="T26" s="4">
        <f t="shared" si="11"/>
        <v>4.8499999999999996</v>
      </c>
      <c r="U26" s="3">
        <v>1.72</v>
      </c>
      <c r="V26" s="3">
        <f t="shared" si="12"/>
        <v>1.72</v>
      </c>
      <c r="W26" s="4">
        <f t="shared" si="13"/>
        <v>1.72</v>
      </c>
      <c r="X26" s="3">
        <v>2.2799999999999998</v>
      </c>
      <c r="Y26" s="3">
        <f t="shared" si="14"/>
        <v>2.2799999999999998</v>
      </c>
      <c r="Z26" s="21">
        <f t="shared" si="15"/>
        <v>2.2799999999999998</v>
      </c>
      <c r="AB26" s="20" t="s">
        <v>211</v>
      </c>
      <c r="AC26" s="3">
        <v>2.85</v>
      </c>
      <c r="AD26" s="3">
        <f t="shared" si="16"/>
        <v>2.85</v>
      </c>
      <c r="AE26" s="4">
        <f t="shared" si="17"/>
        <v>2.85</v>
      </c>
      <c r="AF26" s="3">
        <v>5.44</v>
      </c>
      <c r="AG26" s="3">
        <f t="shared" si="18"/>
        <v>5.44</v>
      </c>
      <c r="AH26" s="4">
        <f t="shared" si="19"/>
        <v>5.44</v>
      </c>
      <c r="AI26" s="3">
        <v>5.16</v>
      </c>
      <c r="AJ26" s="3">
        <f t="shared" si="20"/>
        <v>5.16</v>
      </c>
      <c r="AK26" s="4">
        <f t="shared" si="21"/>
        <v>5.16</v>
      </c>
      <c r="AL26" s="3">
        <v>6.06</v>
      </c>
      <c r="AM26" s="3">
        <f t="shared" si="22"/>
        <v>6.06</v>
      </c>
      <c r="AN26" s="4">
        <f t="shared" si="23"/>
        <v>6.06</v>
      </c>
      <c r="AO26" s="3">
        <v>0</v>
      </c>
      <c r="AP26" s="3" t="str">
        <f t="shared" si="24"/>
        <v/>
      </c>
      <c r="AQ26" s="4" t="str">
        <f t="shared" si="25"/>
        <v/>
      </c>
      <c r="AR26" s="3">
        <v>3.73</v>
      </c>
      <c r="AS26" s="3">
        <f t="shared" si="26"/>
        <v>3.73</v>
      </c>
      <c r="AT26" s="4">
        <f t="shared" si="27"/>
        <v>3.73</v>
      </c>
      <c r="AU26" s="3">
        <v>0.57999999999999996</v>
      </c>
      <c r="AV26" s="3">
        <f t="shared" si="28"/>
        <v>0.57999999999999996</v>
      </c>
      <c r="AW26" s="4" t="str">
        <f t="shared" si="29"/>
        <v/>
      </c>
      <c r="AX26" s="3">
        <v>3.45</v>
      </c>
      <c r="AY26" s="3">
        <f t="shared" si="30"/>
        <v>3.45</v>
      </c>
      <c r="AZ26" s="21">
        <f t="shared" si="31"/>
        <v>3.45</v>
      </c>
      <c r="BB26" s="20" t="s">
        <v>212</v>
      </c>
      <c r="BC26" s="3">
        <v>3.91</v>
      </c>
      <c r="BD26" s="3">
        <f t="shared" si="32"/>
        <v>3.91</v>
      </c>
      <c r="BE26" s="4">
        <f t="shared" si="33"/>
        <v>3.91</v>
      </c>
      <c r="BF26" s="3">
        <v>4.3</v>
      </c>
      <c r="BG26" s="3">
        <f t="shared" si="34"/>
        <v>4.3</v>
      </c>
      <c r="BH26" s="4">
        <f t="shared" si="35"/>
        <v>4.3</v>
      </c>
      <c r="BI26" s="3">
        <v>1.67</v>
      </c>
      <c r="BJ26" s="3">
        <f t="shared" si="36"/>
        <v>1.67</v>
      </c>
      <c r="BK26" s="4" t="str">
        <f t="shared" si="37"/>
        <v/>
      </c>
      <c r="BL26" s="3">
        <v>4.3</v>
      </c>
      <c r="BM26" s="3">
        <f t="shared" si="38"/>
        <v>4.3</v>
      </c>
      <c r="BN26" s="4">
        <f t="shared" si="39"/>
        <v>4.3</v>
      </c>
      <c r="BO26" s="3">
        <v>3.57</v>
      </c>
      <c r="BP26" s="3">
        <f t="shared" si="40"/>
        <v>3.57</v>
      </c>
      <c r="BQ26" s="4">
        <f t="shared" si="41"/>
        <v>3.57</v>
      </c>
      <c r="BR26" s="3">
        <v>3.12</v>
      </c>
      <c r="BS26" s="3">
        <f t="shared" si="42"/>
        <v>3.12</v>
      </c>
      <c r="BT26" s="4">
        <f t="shared" si="43"/>
        <v>3.12</v>
      </c>
      <c r="BU26" s="3">
        <v>1.61</v>
      </c>
      <c r="BV26" s="3">
        <f t="shared" si="44"/>
        <v>1.61</v>
      </c>
      <c r="BW26" s="4">
        <f t="shared" si="45"/>
        <v>1.61</v>
      </c>
      <c r="BX26" s="3">
        <v>1.25</v>
      </c>
      <c r="BY26" s="3">
        <f t="shared" si="46"/>
        <v>1.25</v>
      </c>
      <c r="BZ26" s="21">
        <f t="shared" si="47"/>
        <v>1.25</v>
      </c>
      <c r="CB26" s="20" t="s">
        <v>213</v>
      </c>
      <c r="CC26" s="3">
        <v>4.13</v>
      </c>
      <c r="CD26" s="3">
        <f t="shared" si="48"/>
        <v>4.13</v>
      </c>
      <c r="CE26" s="4">
        <f t="shared" si="49"/>
        <v>4.13</v>
      </c>
      <c r="CF26" s="3">
        <v>6.18</v>
      </c>
      <c r="CG26" s="3">
        <f t="shared" si="50"/>
        <v>6.18</v>
      </c>
      <c r="CH26" s="4">
        <f t="shared" si="51"/>
        <v>6.18</v>
      </c>
      <c r="CI26" s="3">
        <v>3.76</v>
      </c>
      <c r="CJ26" s="3">
        <f t="shared" si="52"/>
        <v>3.76</v>
      </c>
      <c r="CK26" s="4">
        <f t="shared" si="53"/>
        <v>3.76</v>
      </c>
      <c r="CL26" s="3">
        <v>5.15</v>
      </c>
      <c r="CM26" s="3">
        <f t="shared" si="54"/>
        <v>5.15</v>
      </c>
      <c r="CN26" s="4">
        <f t="shared" si="55"/>
        <v>5.15</v>
      </c>
      <c r="CO26" s="3">
        <v>5.49</v>
      </c>
      <c r="CP26" s="3">
        <f t="shared" si="56"/>
        <v>5.49</v>
      </c>
      <c r="CQ26" s="4">
        <f t="shared" si="57"/>
        <v>5.49</v>
      </c>
      <c r="CR26" s="3">
        <v>1.91</v>
      </c>
      <c r="CS26" s="3">
        <f t="shared" si="58"/>
        <v>1.91</v>
      </c>
      <c r="CT26" s="4">
        <f t="shared" si="59"/>
        <v>1.91</v>
      </c>
      <c r="CU26" s="3">
        <v>3.76</v>
      </c>
      <c r="CV26" s="3">
        <f t="shared" si="60"/>
        <v>3.76</v>
      </c>
      <c r="CW26" s="4">
        <f t="shared" si="61"/>
        <v>3.76</v>
      </c>
      <c r="CX26" s="3">
        <v>3.22</v>
      </c>
      <c r="CY26" s="3">
        <f t="shared" si="62"/>
        <v>3.22</v>
      </c>
      <c r="CZ26" s="21">
        <f t="shared" si="63"/>
        <v>3.22</v>
      </c>
      <c r="DB26" s="20" t="s">
        <v>214</v>
      </c>
      <c r="DC26" s="3">
        <v>2.21</v>
      </c>
      <c r="DD26" s="3">
        <f t="shared" si="64"/>
        <v>2.21</v>
      </c>
      <c r="DE26" s="4">
        <f t="shared" si="65"/>
        <v>2.21</v>
      </c>
      <c r="DF26" s="3">
        <v>0</v>
      </c>
      <c r="DG26" s="3" t="str">
        <f t="shared" si="66"/>
        <v/>
      </c>
      <c r="DH26" s="4" t="str">
        <f t="shared" si="67"/>
        <v/>
      </c>
      <c r="DI26" s="3">
        <v>0.85</v>
      </c>
      <c r="DJ26" s="3">
        <f t="shared" si="68"/>
        <v>0.85</v>
      </c>
      <c r="DK26" s="4" t="str">
        <f t="shared" si="69"/>
        <v/>
      </c>
      <c r="DL26" s="3">
        <v>3.56</v>
      </c>
      <c r="DM26" s="3">
        <f t="shared" si="127"/>
        <v>3.56</v>
      </c>
      <c r="DN26" s="4">
        <f t="shared" si="70"/>
        <v>3.56</v>
      </c>
      <c r="DO26" s="3">
        <v>1.37</v>
      </c>
      <c r="DP26" s="3">
        <f t="shared" si="71"/>
        <v>1.37</v>
      </c>
      <c r="DQ26" s="4">
        <f t="shared" si="72"/>
        <v>1.37</v>
      </c>
      <c r="DR26" s="3">
        <v>1.17</v>
      </c>
      <c r="DS26" s="3">
        <f t="shared" si="73"/>
        <v>1.17</v>
      </c>
      <c r="DT26" s="4">
        <f t="shared" si="74"/>
        <v>1.17</v>
      </c>
      <c r="DU26" s="3">
        <v>1.37</v>
      </c>
      <c r="DV26" s="3">
        <f t="shared" si="75"/>
        <v>1.37</v>
      </c>
      <c r="DW26" s="4">
        <f t="shared" si="76"/>
        <v>1.37</v>
      </c>
      <c r="DX26" s="3">
        <v>0</v>
      </c>
      <c r="DY26" s="3" t="str">
        <f t="shared" si="77"/>
        <v/>
      </c>
      <c r="DZ26" s="21" t="str">
        <f t="shared" si="78"/>
        <v/>
      </c>
      <c r="EB26" s="20" t="s">
        <v>215</v>
      </c>
      <c r="EC26" s="3">
        <v>0.53</v>
      </c>
      <c r="ED26" s="3">
        <f t="shared" si="79"/>
        <v>0.53</v>
      </c>
      <c r="EE26" s="4">
        <f t="shared" si="80"/>
        <v>0.53</v>
      </c>
      <c r="EF26" s="3">
        <v>4.18</v>
      </c>
      <c r="EG26" s="3">
        <f t="shared" si="81"/>
        <v>4.18</v>
      </c>
      <c r="EH26" s="4">
        <f t="shared" si="82"/>
        <v>4.18</v>
      </c>
      <c r="EI26" s="3">
        <v>0.39</v>
      </c>
      <c r="EJ26" s="3">
        <f t="shared" si="83"/>
        <v>0.39</v>
      </c>
      <c r="EK26" s="4">
        <f t="shared" si="84"/>
        <v>0.39</v>
      </c>
      <c r="EL26" s="3">
        <v>1.61</v>
      </c>
      <c r="EM26" s="3">
        <f t="shared" si="85"/>
        <v>1.61</v>
      </c>
      <c r="EN26" s="4">
        <f t="shared" si="86"/>
        <v>1.61</v>
      </c>
      <c r="EO26" s="3">
        <v>2.21</v>
      </c>
      <c r="EP26" s="3">
        <f t="shared" si="87"/>
        <v>2.21</v>
      </c>
      <c r="EQ26" s="4">
        <f t="shared" si="88"/>
        <v>2.21</v>
      </c>
      <c r="ER26" s="3">
        <v>1.61</v>
      </c>
      <c r="ES26" s="3">
        <f t="shared" si="89"/>
        <v>1.61</v>
      </c>
      <c r="ET26" s="4">
        <f t="shared" si="90"/>
        <v>1.61</v>
      </c>
      <c r="EU26" s="3">
        <v>0.62</v>
      </c>
      <c r="EV26" s="3">
        <f t="shared" si="91"/>
        <v>0.62</v>
      </c>
      <c r="EW26" s="4">
        <f t="shared" si="92"/>
        <v>0.62</v>
      </c>
      <c r="EX26" s="3">
        <v>1.17</v>
      </c>
      <c r="EY26" s="3">
        <f t="shared" si="93"/>
        <v>1.17</v>
      </c>
      <c r="EZ26" s="21">
        <f t="shared" si="94"/>
        <v>1.17</v>
      </c>
      <c r="FB26" s="20" t="s">
        <v>216</v>
      </c>
      <c r="FC26" s="3">
        <v>10.83</v>
      </c>
      <c r="FD26" s="3">
        <f t="shared" si="95"/>
        <v>10.83</v>
      </c>
      <c r="FE26" s="4">
        <f t="shared" si="96"/>
        <v>10.83</v>
      </c>
      <c r="FF26" s="3">
        <v>1.37</v>
      </c>
      <c r="FG26" s="3">
        <f t="shared" si="97"/>
        <v>1.37</v>
      </c>
      <c r="FH26" s="4">
        <f t="shared" si="98"/>
        <v>1.37</v>
      </c>
      <c r="FI26" s="3">
        <v>1.61</v>
      </c>
      <c r="FJ26" s="3">
        <f t="shared" si="99"/>
        <v>1.61</v>
      </c>
      <c r="FK26" s="4">
        <f t="shared" si="100"/>
        <v>1.61</v>
      </c>
      <c r="FL26" s="3">
        <v>3.56</v>
      </c>
      <c r="FM26" s="3">
        <f t="shared" si="101"/>
        <v>3.56</v>
      </c>
      <c r="FN26" s="4">
        <f t="shared" si="102"/>
        <v>3.56</v>
      </c>
      <c r="FO26" s="3">
        <v>1.89</v>
      </c>
      <c r="FP26" s="3">
        <f t="shared" si="103"/>
        <v>1.89</v>
      </c>
      <c r="FQ26" s="4">
        <f t="shared" si="104"/>
        <v>1.89</v>
      </c>
      <c r="FR26" s="3">
        <v>2.21</v>
      </c>
      <c r="FS26" s="3">
        <f t="shared" si="105"/>
        <v>2.21</v>
      </c>
      <c r="FT26" s="4">
        <f t="shared" si="106"/>
        <v>2.21</v>
      </c>
      <c r="FU26" s="3">
        <v>0.24</v>
      </c>
      <c r="FV26" s="3">
        <f t="shared" si="107"/>
        <v>0.24</v>
      </c>
      <c r="FW26" s="4">
        <f t="shared" si="108"/>
        <v>0.24</v>
      </c>
      <c r="FX26" s="3">
        <v>0.2</v>
      </c>
      <c r="FY26" s="3">
        <f t="shared" si="109"/>
        <v>0.2</v>
      </c>
      <c r="FZ26" s="21">
        <f t="shared" si="110"/>
        <v>0.2</v>
      </c>
      <c r="GB26" s="20" t="s">
        <v>217</v>
      </c>
      <c r="GC26" s="3">
        <v>0.73</v>
      </c>
      <c r="GD26" s="3">
        <f t="shared" si="111"/>
        <v>0.73</v>
      </c>
      <c r="GE26" s="4" t="str">
        <f t="shared" si="112"/>
        <v/>
      </c>
      <c r="GF26" s="3">
        <v>1.37</v>
      </c>
      <c r="GG26" s="3">
        <f t="shared" si="113"/>
        <v>1.37</v>
      </c>
      <c r="GH26" s="4">
        <f t="shared" si="114"/>
        <v>1.37</v>
      </c>
      <c r="GI26" s="3">
        <v>0.11</v>
      </c>
      <c r="GJ26" s="3">
        <f t="shared" si="115"/>
        <v>0.11</v>
      </c>
      <c r="GK26" s="4" t="str">
        <f t="shared" si="116"/>
        <v/>
      </c>
      <c r="GL26" s="3">
        <v>1.17</v>
      </c>
      <c r="GM26" s="3">
        <f t="shared" si="117"/>
        <v>1.17</v>
      </c>
      <c r="GN26" s="4">
        <f t="shared" si="118"/>
        <v>1.17</v>
      </c>
      <c r="GO26" s="3">
        <v>1.89</v>
      </c>
      <c r="GP26" s="3">
        <f t="shared" si="119"/>
        <v>1.89</v>
      </c>
      <c r="GQ26" s="4">
        <f t="shared" si="120"/>
        <v>1.89</v>
      </c>
      <c r="GR26" s="3">
        <v>0.73</v>
      </c>
      <c r="GS26" s="3">
        <f t="shared" si="121"/>
        <v>0.73</v>
      </c>
      <c r="GT26" s="4">
        <f t="shared" si="122"/>
        <v>0.73</v>
      </c>
      <c r="GU26" s="3">
        <v>0.33</v>
      </c>
      <c r="GV26" s="3">
        <f t="shared" si="123"/>
        <v>0.33</v>
      </c>
      <c r="GW26" s="4">
        <f t="shared" si="124"/>
        <v>0.33</v>
      </c>
      <c r="GX26" s="3">
        <v>2.21</v>
      </c>
      <c r="GY26" s="3">
        <f t="shared" si="125"/>
        <v>2.21</v>
      </c>
      <c r="GZ26" s="21">
        <f t="shared" si="126"/>
        <v>2.21</v>
      </c>
    </row>
    <row r="27" spans="2:208">
      <c r="B27" s="20" t="s">
        <v>218</v>
      </c>
      <c r="C27" s="3">
        <v>2.99</v>
      </c>
      <c r="D27" s="3">
        <f t="shared" si="0"/>
        <v>2.99</v>
      </c>
      <c r="E27" s="4">
        <f t="shared" si="1"/>
        <v>2.99</v>
      </c>
      <c r="F27" s="3">
        <v>4.41</v>
      </c>
      <c r="G27" s="3">
        <f t="shared" si="2"/>
        <v>4.41</v>
      </c>
      <c r="H27" s="4">
        <f t="shared" si="3"/>
        <v>4.41</v>
      </c>
      <c r="I27" s="3">
        <v>5.32</v>
      </c>
      <c r="J27" s="3">
        <f t="shared" si="4"/>
        <v>5.32</v>
      </c>
      <c r="K27" s="4">
        <f t="shared" si="5"/>
        <v>5.32</v>
      </c>
      <c r="L27" s="3">
        <v>5.63</v>
      </c>
      <c r="M27" s="3">
        <f t="shared" si="6"/>
        <v>5.63</v>
      </c>
      <c r="N27" s="4">
        <f t="shared" si="7"/>
        <v>5.63</v>
      </c>
      <c r="O27" s="3">
        <v>4.3099999999999996</v>
      </c>
      <c r="P27" s="3">
        <f t="shared" si="8"/>
        <v>4.3099999999999996</v>
      </c>
      <c r="Q27" s="4">
        <f t="shared" si="9"/>
        <v>4.3099999999999996</v>
      </c>
      <c r="R27" s="3">
        <v>4.84</v>
      </c>
      <c r="S27" s="3">
        <f t="shared" si="10"/>
        <v>4.84</v>
      </c>
      <c r="T27" s="4">
        <f t="shared" si="11"/>
        <v>4.84</v>
      </c>
      <c r="U27" s="3">
        <v>1.75</v>
      </c>
      <c r="V27" s="3">
        <f t="shared" si="12"/>
        <v>1.75</v>
      </c>
      <c r="W27" s="4">
        <f t="shared" si="13"/>
        <v>1.75</v>
      </c>
      <c r="X27" s="3">
        <v>2.27</v>
      </c>
      <c r="Y27" s="3">
        <f t="shared" si="14"/>
        <v>2.27</v>
      </c>
      <c r="Z27" s="21">
        <f t="shared" si="15"/>
        <v>2.27</v>
      </c>
      <c r="AB27" s="20" t="s">
        <v>219</v>
      </c>
      <c r="AC27" s="3">
        <v>2.85</v>
      </c>
      <c r="AD27" s="3">
        <f t="shared" si="16"/>
        <v>2.85</v>
      </c>
      <c r="AE27" s="4">
        <f t="shared" si="17"/>
        <v>2.85</v>
      </c>
      <c r="AF27" s="3">
        <v>5.44</v>
      </c>
      <c r="AG27" s="3">
        <f t="shared" si="18"/>
        <v>5.44</v>
      </c>
      <c r="AH27" s="4">
        <f t="shared" si="19"/>
        <v>5.44</v>
      </c>
      <c r="AI27" s="3">
        <v>5.16</v>
      </c>
      <c r="AJ27" s="3">
        <f t="shared" si="20"/>
        <v>5.16</v>
      </c>
      <c r="AK27" s="4">
        <f t="shared" si="21"/>
        <v>5.16</v>
      </c>
      <c r="AL27" s="3">
        <v>6.07</v>
      </c>
      <c r="AM27" s="3">
        <f t="shared" si="22"/>
        <v>6.07</v>
      </c>
      <c r="AN27" s="4">
        <f t="shared" si="23"/>
        <v>6.07</v>
      </c>
      <c r="AO27" s="3">
        <v>0</v>
      </c>
      <c r="AP27" s="3" t="str">
        <f t="shared" si="24"/>
        <v/>
      </c>
      <c r="AQ27" s="4" t="str">
        <f t="shared" si="25"/>
        <v/>
      </c>
      <c r="AR27" s="3">
        <v>3.73</v>
      </c>
      <c r="AS27" s="3">
        <f t="shared" si="26"/>
        <v>3.73</v>
      </c>
      <c r="AT27" s="4">
        <f t="shared" si="27"/>
        <v>3.73</v>
      </c>
      <c r="AU27" s="3">
        <v>3.06</v>
      </c>
      <c r="AV27" s="3">
        <f t="shared" si="28"/>
        <v>3.06</v>
      </c>
      <c r="AW27" s="4">
        <f t="shared" si="29"/>
        <v>3.06</v>
      </c>
      <c r="AX27" s="3">
        <v>3.47</v>
      </c>
      <c r="AY27" s="3">
        <f t="shared" si="30"/>
        <v>3.47</v>
      </c>
      <c r="AZ27" s="21">
        <f t="shared" si="31"/>
        <v>3.47</v>
      </c>
      <c r="BB27" s="20" t="s">
        <v>220</v>
      </c>
      <c r="BC27" s="3">
        <v>3.91</v>
      </c>
      <c r="BD27" s="3">
        <f t="shared" si="32"/>
        <v>3.91</v>
      </c>
      <c r="BE27" s="4">
        <f t="shared" si="33"/>
        <v>3.91</v>
      </c>
      <c r="BF27" s="3">
        <v>4.25</v>
      </c>
      <c r="BG27" s="3">
        <f t="shared" si="34"/>
        <v>4.25</v>
      </c>
      <c r="BH27" s="4">
        <f t="shared" si="35"/>
        <v>4.25</v>
      </c>
      <c r="BI27" s="3">
        <v>4.13</v>
      </c>
      <c r="BJ27" s="3">
        <f t="shared" si="36"/>
        <v>4.13</v>
      </c>
      <c r="BK27" s="4">
        <f t="shared" si="37"/>
        <v>4.13</v>
      </c>
      <c r="BL27" s="3">
        <v>4.32</v>
      </c>
      <c r="BM27" s="3">
        <f t="shared" si="38"/>
        <v>4.32</v>
      </c>
      <c r="BN27" s="4">
        <f t="shared" si="39"/>
        <v>4.32</v>
      </c>
      <c r="BO27" s="3">
        <v>1.1399999999999999</v>
      </c>
      <c r="BP27" s="3">
        <f t="shared" si="40"/>
        <v>1.1399999999999999</v>
      </c>
      <c r="BQ27" s="4" t="str">
        <f t="shared" si="41"/>
        <v/>
      </c>
      <c r="BR27" s="3">
        <v>3.12</v>
      </c>
      <c r="BS27" s="3">
        <f t="shared" si="42"/>
        <v>3.12</v>
      </c>
      <c r="BT27" s="4">
        <f t="shared" si="43"/>
        <v>3.12</v>
      </c>
      <c r="BU27" s="3">
        <v>1.62</v>
      </c>
      <c r="BV27" s="3">
        <f t="shared" si="44"/>
        <v>1.62</v>
      </c>
      <c r="BW27" s="4">
        <f t="shared" si="45"/>
        <v>1.62</v>
      </c>
      <c r="BX27" s="3">
        <v>1.27</v>
      </c>
      <c r="BY27" s="3">
        <f t="shared" si="46"/>
        <v>1.27</v>
      </c>
      <c r="BZ27" s="21">
        <f t="shared" si="47"/>
        <v>1.27</v>
      </c>
      <c r="CB27" s="20" t="s">
        <v>221</v>
      </c>
      <c r="CC27" s="3">
        <v>4.1500000000000004</v>
      </c>
      <c r="CD27" s="3">
        <f t="shared" si="48"/>
        <v>4.1500000000000004</v>
      </c>
      <c r="CE27" s="4">
        <f t="shared" si="49"/>
        <v>4.1500000000000004</v>
      </c>
      <c r="CF27" s="3">
        <v>6.12</v>
      </c>
      <c r="CG27" s="3">
        <f t="shared" si="50"/>
        <v>6.12</v>
      </c>
      <c r="CH27" s="4">
        <f t="shared" si="51"/>
        <v>6.12</v>
      </c>
      <c r="CI27" s="3">
        <v>3.78</v>
      </c>
      <c r="CJ27" s="3">
        <f t="shared" si="52"/>
        <v>3.78</v>
      </c>
      <c r="CK27" s="4">
        <f t="shared" si="53"/>
        <v>3.78</v>
      </c>
      <c r="CL27" s="3">
        <v>5.13</v>
      </c>
      <c r="CM27" s="3">
        <f t="shared" si="54"/>
        <v>5.13</v>
      </c>
      <c r="CN27" s="4">
        <f t="shared" si="55"/>
        <v>5.13</v>
      </c>
      <c r="CO27" s="3">
        <v>5.47</v>
      </c>
      <c r="CP27" s="3">
        <f t="shared" si="56"/>
        <v>5.47</v>
      </c>
      <c r="CQ27" s="4">
        <f t="shared" si="57"/>
        <v>5.47</v>
      </c>
      <c r="CR27" s="3">
        <v>1.84</v>
      </c>
      <c r="CS27" s="3">
        <f t="shared" si="58"/>
        <v>1.84</v>
      </c>
      <c r="CT27" s="4">
        <f t="shared" si="59"/>
        <v>1.84</v>
      </c>
      <c r="CU27" s="3">
        <v>2.81</v>
      </c>
      <c r="CV27" s="3">
        <f t="shared" si="60"/>
        <v>2.81</v>
      </c>
      <c r="CW27" s="4">
        <f t="shared" si="61"/>
        <v>2.81</v>
      </c>
      <c r="CX27" s="3">
        <v>3.3</v>
      </c>
      <c r="CY27" s="3">
        <f t="shared" si="62"/>
        <v>3.3</v>
      </c>
      <c r="CZ27" s="21">
        <f t="shared" si="63"/>
        <v>3.3</v>
      </c>
      <c r="DB27" s="20" t="s">
        <v>222</v>
      </c>
      <c r="DC27" s="3">
        <v>2.21</v>
      </c>
      <c r="DD27" s="3">
        <f t="shared" si="64"/>
        <v>2.21</v>
      </c>
      <c r="DE27" s="4">
        <f t="shared" si="65"/>
        <v>2.21</v>
      </c>
      <c r="DF27" s="3">
        <v>1.17</v>
      </c>
      <c r="DG27" s="3">
        <f t="shared" si="66"/>
        <v>1.17</v>
      </c>
      <c r="DH27" s="4">
        <f t="shared" si="67"/>
        <v>1.17</v>
      </c>
      <c r="DI27" s="3">
        <v>9.24</v>
      </c>
      <c r="DJ27" s="3">
        <f t="shared" si="68"/>
        <v>9.24</v>
      </c>
      <c r="DK27" s="4" t="str">
        <f t="shared" si="69"/>
        <v/>
      </c>
      <c r="DL27" s="3">
        <v>3.56</v>
      </c>
      <c r="DM27" s="3">
        <f t="shared" si="127"/>
        <v>3.56</v>
      </c>
      <c r="DN27" s="4">
        <f t="shared" si="70"/>
        <v>3.56</v>
      </c>
      <c r="DO27" s="3">
        <v>1.61</v>
      </c>
      <c r="DP27" s="3">
        <f t="shared" si="71"/>
        <v>1.61</v>
      </c>
      <c r="DQ27" s="4">
        <f t="shared" si="72"/>
        <v>1.61</v>
      </c>
      <c r="DR27" s="3">
        <v>1.17</v>
      </c>
      <c r="DS27" s="3">
        <f t="shared" si="73"/>
        <v>1.17</v>
      </c>
      <c r="DT27" s="4">
        <f t="shared" si="74"/>
        <v>1.17</v>
      </c>
      <c r="DU27" s="3">
        <v>1.37</v>
      </c>
      <c r="DV27" s="3">
        <f t="shared" si="75"/>
        <v>1.37</v>
      </c>
      <c r="DW27" s="4">
        <f t="shared" si="76"/>
        <v>1.37</v>
      </c>
      <c r="DX27" s="3">
        <v>0</v>
      </c>
      <c r="DY27" s="3" t="str">
        <f t="shared" si="77"/>
        <v/>
      </c>
      <c r="DZ27" s="21" t="str">
        <f t="shared" si="78"/>
        <v/>
      </c>
      <c r="EB27" s="20" t="s">
        <v>223</v>
      </c>
      <c r="EC27" s="3">
        <v>0.53</v>
      </c>
      <c r="ED27" s="3">
        <f t="shared" si="79"/>
        <v>0.53</v>
      </c>
      <c r="EE27" s="4">
        <f t="shared" si="80"/>
        <v>0.53</v>
      </c>
      <c r="EF27" s="3">
        <v>3.56</v>
      </c>
      <c r="EG27" s="3">
        <f t="shared" si="81"/>
        <v>3.56</v>
      </c>
      <c r="EH27" s="4">
        <f t="shared" si="82"/>
        <v>3.56</v>
      </c>
      <c r="EI27" s="3">
        <v>0.39</v>
      </c>
      <c r="EJ27" s="3">
        <f t="shared" si="83"/>
        <v>0.39</v>
      </c>
      <c r="EK27" s="4">
        <f t="shared" si="84"/>
        <v>0.39</v>
      </c>
      <c r="EL27" s="3">
        <v>1.61</v>
      </c>
      <c r="EM27" s="3">
        <f t="shared" si="85"/>
        <v>1.61</v>
      </c>
      <c r="EN27" s="4">
        <f t="shared" si="86"/>
        <v>1.61</v>
      </c>
      <c r="EO27" s="3">
        <v>1.89</v>
      </c>
      <c r="EP27" s="3">
        <f t="shared" si="87"/>
        <v>1.89</v>
      </c>
      <c r="EQ27" s="4">
        <f t="shared" si="88"/>
        <v>1.89</v>
      </c>
      <c r="ER27" s="3">
        <v>1.61</v>
      </c>
      <c r="ES27" s="3">
        <f t="shared" si="89"/>
        <v>1.61</v>
      </c>
      <c r="ET27" s="4">
        <f t="shared" si="90"/>
        <v>1.61</v>
      </c>
      <c r="EU27" s="3">
        <v>0.73</v>
      </c>
      <c r="EV27" s="3">
        <f t="shared" si="91"/>
        <v>0.73</v>
      </c>
      <c r="EW27" s="4">
        <f t="shared" si="92"/>
        <v>0.73</v>
      </c>
      <c r="EX27" s="3">
        <v>4.8899999999999997</v>
      </c>
      <c r="EY27" s="3">
        <f t="shared" si="93"/>
        <v>4.8899999999999997</v>
      </c>
      <c r="EZ27" s="21" t="str">
        <f t="shared" si="94"/>
        <v/>
      </c>
      <c r="FB27" s="20" t="s">
        <v>224</v>
      </c>
      <c r="FC27" s="3">
        <v>12.69</v>
      </c>
      <c r="FD27" s="3">
        <f t="shared" si="95"/>
        <v>12.69</v>
      </c>
      <c r="FE27" s="4">
        <f t="shared" si="96"/>
        <v>12.69</v>
      </c>
      <c r="FF27" s="3">
        <v>1.37</v>
      </c>
      <c r="FG27" s="3">
        <f t="shared" si="97"/>
        <v>1.37</v>
      </c>
      <c r="FH27" s="4">
        <f t="shared" si="98"/>
        <v>1.37</v>
      </c>
      <c r="FI27" s="3">
        <v>1.61</v>
      </c>
      <c r="FJ27" s="3">
        <f t="shared" si="99"/>
        <v>1.61</v>
      </c>
      <c r="FK27" s="4">
        <f t="shared" si="100"/>
        <v>1.61</v>
      </c>
      <c r="FL27" s="3">
        <v>3.56</v>
      </c>
      <c r="FM27" s="3">
        <f t="shared" si="101"/>
        <v>3.56</v>
      </c>
      <c r="FN27" s="4">
        <f t="shared" si="102"/>
        <v>3.56</v>
      </c>
      <c r="FO27" s="3">
        <v>1.61</v>
      </c>
      <c r="FP27" s="3">
        <f t="shared" si="103"/>
        <v>1.61</v>
      </c>
      <c r="FQ27" s="4">
        <f t="shared" si="104"/>
        <v>1.61</v>
      </c>
      <c r="FR27" s="3">
        <v>2.21</v>
      </c>
      <c r="FS27" s="3">
        <f t="shared" si="105"/>
        <v>2.21</v>
      </c>
      <c r="FT27" s="4">
        <f t="shared" si="106"/>
        <v>2.21</v>
      </c>
      <c r="FU27" s="3">
        <v>0.24</v>
      </c>
      <c r="FV27" s="3">
        <f t="shared" si="107"/>
        <v>0.24</v>
      </c>
      <c r="FW27" s="4">
        <f t="shared" si="108"/>
        <v>0.24</v>
      </c>
      <c r="FX27" s="3">
        <v>0.2</v>
      </c>
      <c r="FY27" s="3">
        <f t="shared" si="109"/>
        <v>0.2</v>
      </c>
      <c r="FZ27" s="21">
        <f t="shared" si="110"/>
        <v>0.2</v>
      </c>
      <c r="GB27" s="20" t="s">
        <v>225</v>
      </c>
      <c r="GC27" s="3">
        <v>0.73</v>
      </c>
      <c r="GD27" s="3">
        <f t="shared" si="111"/>
        <v>0.73</v>
      </c>
      <c r="GE27" s="4" t="str">
        <f t="shared" si="112"/>
        <v/>
      </c>
      <c r="GF27" s="3">
        <v>0.45</v>
      </c>
      <c r="GG27" s="3">
        <f t="shared" si="113"/>
        <v>0.45</v>
      </c>
      <c r="GH27" s="4">
        <f t="shared" si="114"/>
        <v>0.45</v>
      </c>
      <c r="GI27" s="3">
        <v>0.13</v>
      </c>
      <c r="GJ27" s="3">
        <f t="shared" si="115"/>
        <v>0.13</v>
      </c>
      <c r="GK27" s="4">
        <f t="shared" si="116"/>
        <v>0.13</v>
      </c>
      <c r="GL27" s="3">
        <v>0</v>
      </c>
      <c r="GM27" s="3" t="str">
        <f t="shared" si="117"/>
        <v/>
      </c>
      <c r="GN27" s="4" t="str">
        <f t="shared" si="118"/>
        <v/>
      </c>
      <c r="GO27" s="3">
        <v>2.21</v>
      </c>
      <c r="GP27" s="3">
        <f t="shared" si="119"/>
        <v>2.21</v>
      </c>
      <c r="GQ27" s="4">
        <f t="shared" si="120"/>
        <v>2.21</v>
      </c>
      <c r="GR27" s="3">
        <v>0.73</v>
      </c>
      <c r="GS27" s="3">
        <f t="shared" si="121"/>
        <v>0.73</v>
      </c>
      <c r="GT27" s="4">
        <f t="shared" si="122"/>
        <v>0.73</v>
      </c>
      <c r="GU27" s="3">
        <v>0.33</v>
      </c>
      <c r="GV27" s="3">
        <f t="shared" si="123"/>
        <v>0.33</v>
      </c>
      <c r="GW27" s="4">
        <f t="shared" si="124"/>
        <v>0.33</v>
      </c>
      <c r="GX27" s="3">
        <v>3.04</v>
      </c>
      <c r="GY27" s="3">
        <f t="shared" si="125"/>
        <v>3.04</v>
      </c>
      <c r="GZ27" s="21">
        <f t="shared" si="126"/>
        <v>3.04</v>
      </c>
    </row>
    <row r="28" spans="2:208">
      <c r="B28" s="20" t="s">
        <v>226</v>
      </c>
      <c r="C28" s="3">
        <v>2.97</v>
      </c>
      <c r="D28" s="3">
        <f t="shared" si="0"/>
        <v>2.97</v>
      </c>
      <c r="E28" s="4">
        <f t="shared" si="1"/>
        <v>2.97</v>
      </c>
      <c r="F28" s="3">
        <v>4.41</v>
      </c>
      <c r="G28" s="3">
        <f t="shared" si="2"/>
        <v>4.41</v>
      </c>
      <c r="H28" s="4">
        <f t="shared" si="3"/>
        <v>4.41</v>
      </c>
      <c r="I28" s="3">
        <v>5.29</v>
      </c>
      <c r="J28" s="3">
        <f t="shared" si="4"/>
        <v>5.29</v>
      </c>
      <c r="K28" s="4">
        <f t="shared" si="5"/>
        <v>5.29</v>
      </c>
      <c r="L28" s="3">
        <v>5.65</v>
      </c>
      <c r="M28" s="3">
        <f t="shared" si="6"/>
        <v>5.65</v>
      </c>
      <c r="N28" s="4">
        <f t="shared" si="7"/>
        <v>5.65</v>
      </c>
      <c r="O28" s="3">
        <v>4.32</v>
      </c>
      <c r="P28" s="3">
        <f t="shared" si="8"/>
        <v>4.32</v>
      </c>
      <c r="Q28" s="4">
        <f t="shared" si="9"/>
        <v>4.32</v>
      </c>
      <c r="R28" s="3">
        <v>4.87</v>
      </c>
      <c r="S28" s="3">
        <f t="shared" si="10"/>
        <v>4.87</v>
      </c>
      <c r="T28" s="4">
        <f t="shared" si="11"/>
        <v>4.87</v>
      </c>
      <c r="U28" s="3">
        <v>1.78</v>
      </c>
      <c r="V28" s="3">
        <f t="shared" si="12"/>
        <v>1.78</v>
      </c>
      <c r="W28" s="4">
        <f t="shared" si="13"/>
        <v>1.78</v>
      </c>
      <c r="X28" s="3">
        <v>2.2599999999999998</v>
      </c>
      <c r="Y28" s="3">
        <f t="shared" si="14"/>
        <v>2.2599999999999998</v>
      </c>
      <c r="Z28" s="21">
        <f t="shared" si="15"/>
        <v>2.2599999999999998</v>
      </c>
      <c r="AB28" s="20" t="s">
        <v>227</v>
      </c>
      <c r="AC28" s="3">
        <v>2.83</v>
      </c>
      <c r="AD28" s="3">
        <f t="shared" si="16"/>
        <v>2.83</v>
      </c>
      <c r="AE28" s="4">
        <f t="shared" si="17"/>
        <v>2.83</v>
      </c>
      <c r="AF28" s="3">
        <v>5.45</v>
      </c>
      <c r="AG28" s="3">
        <f t="shared" si="18"/>
        <v>5.45</v>
      </c>
      <c r="AH28" s="4">
        <f t="shared" si="19"/>
        <v>5.45</v>
      </c>
      <c r="AI28" s="3">
        <v>5.15</v>
      </c>
      <c r="AJ28" s="3">
        <f t="shared" si="20"/>
        <v>5.15</v>
      </c>
      <c r="AK28" s="4">
        <f t="shared" si="21"/>
        <v>5.15</v>
      </c>
      <c r="AL28" s="3">
        <v>6.05</v>
      </c>
      <c r="AM28" s="3">
        <f t="shared" si="22"/>
        <v>6.05</v>
      </c>
      <c r="AN28" s="4">
        <f t="shared" si="23"/>
        <v>6.05</v>
      </c>
      <c r="AO28" s="3">
        <v>0</v>
      </c>
      <c r="AP28" s="3" t="str">
        <f t="shared" si="24"/>
        <v/>
      </c>
      <c r="AQ28" s="4" t="str">
        <f t="shared" si="25"/>
        <v/>
      </c>
      <c r="AR28" s="3">
        <v>3.78</v>
      </c>
      <c r="AS28" s="3">
        <f t="shared" si="26"/>
        <v>3.78</v>
      </c>
      <c r="AT28" s="4">
        <f t="shared" si="27"/>
        <v>3.78</v>
      </c>
      <c r="AU28" s="3">
        <v>3.06</v>
      </c>
      <c r="AV28" s="3">
        <f t="shared" si="28"/>
        <v>3.06</v>
      </c>
      <c r="AW28" s="4">
        <f t="shared" si="29"/>
        <v>3.06</v>
      </c>
      <c r="AX28" s="3">
        <v>2.08</v>
      </c>
      <c r="AY28" s="3">
        <f t="shared" si="30"/>
        <v>2.08</v>
      </c>
      <c r="AZ28" s="21" t="str">
        <f t="shared" si="31"/>
        <v/>
      </c>
      <c r="BB28" s="20" t="s">
        <v>228</v>
      </c>
      <c r="BC28" s="3">
        <v>3.91</v>
      </c>
      <c r="BD28" s="3">
        <f t="shared" si="32"/>
        <v>3.91</v>
      </c>
      <c r="BE28" s="4">
        <f t="shared" si="33"/>
        <v>3.91</v>
      </c>
      <c r="BF28" s="3">
        <v>4.2699999999999996</v>
      </c>
      <c r="BG28" s="3">
        <f t="shared" si="34"/>
        <v>4.2699999999999996</v>
      </c>
      <c r="BH28" s="4">
        <f t="shared" si="35"/>
        <v>4.2699999999999996</v>
      </c>
      <c r="BI28" s="3">
        <v>4.13</v>
      </c>
      <c r="BJ28" s="3">
        <f t="shared" si="36"/>
        <v>4.13</v>
      </c>
      <c r="BK28" s="4">
        <f t="shared" si="37"/>
        <v>4.13</v>
      </c>
      <c r="BL28" s="3">
        <v>4.32</v>
      </c>
      <c r="BM28" s="3">
        <f t="shared" si="38"/>
        <v>4.32</v>
      </c>
      <c r="BN28" s="4">
        <f t="shared" si="39"/>
        <v>4.32</v>
      </c>
      <c r="BO28" s="3">
        <v>3.62</v>
      </c>
      <c r="BP28" s="3">
        <f t="shared" si="40"/>
        <v>3.62</v>
      </c>
      <c r="BQ28" s="4">
        <f t="shared" si="41"/>
        <v>3.62</v>
      </c>
      <c r="BR28" s="3">
        <v>3.13</v>
      </c>
      <c r="BS28" s="3">
        <f t="shared" si="42"/>
        <v>3.13</v>
      </c>
      <c r="BT28" s="4">
        <f t="shared" si="43"/>
        <v>3.13</v>
      </c>
      <c r="BU28" s="3">
        <v>1.67</v>
      </c>
      <c r="BV28" s="3">
        <f t="shared" si="44"/>
        <v>1.67</v>
      </c>
      <c r="BW28" s="4">
        <f t="shared" si="45"/>
        <v>1.67</v>
      </c>
      <c r="BX28" s="3">
        <v>1.24</v>
      </c>
      <c r="BY28" s="3">
        <f t="shared" si="46"/>
        <v>1.24</v>
      </c>
      <c r="BZ28" s="21">
        <f t="shared" si="47"/>
        <v>1.24</v>
      </c>
      <c r="CB28" s="20" t="s">
        <v>229</v>
      </c>
      <c r="CC28" s="3">
        <v>4.1900000000000004</v>
      </c>
      <c r="CD28" s="3">
        <f t="shared" si="48"/>
        <v>4.1900000000000004</v>
      </c>
      <c r="CE28" s="4">
        <f t="shared" si="49"/>
        <v>4.1900000000000004</v>
      </c>
      <c r="CF28" s="3">
        <v>6.12</v>
      </c>
      <c r="CG28" s="3">
        <f t="shared" si="50"/>
        <v>6.12</v>
      </c>
      <c r="CH28" s="4">
        <f t="shared" si="51"/>
        <v>6.12</v>
      </c>
      <c r="CI28" s="3">
        <v>3.79</v>
      </c>
      <c r="CJ28" s="3">
        <f t="shared" si="52"/>
        <v>3.79</v>
      </c>
      <c r="CK28" s="4">
        <f t="shared" si="53"/>
        <v>3.79</v>
      </c>
      <c r="CL28" s="3">
        <v>5.15</v>
      </c>
      <c r="CM28" s="3">
        <f t="shared" si="54"/>
        <v>5.15</v>
      </c>
      <c r="CN28" s="4">
        <f t="shared" si="55"/>
        <v>5.15</v>
      </c>
      <c r="CO28" s="3">
        <v>3.05</v>
      </c>
      <c r="CP28" s="3">
        <f t="shared" si="56"/>
        <v>3.05</v>
      </c>
      <c r="CQ28" s="4" t="str">
        <f t="shared" si="57"/>
        <v/>
      </c>
      <c r="CR28" s="3">
        <v>1.83</v>
      </c>
      <c r="CS28" s="3">
        <f t="shared" si="58"/>
        <v>1.83</v>
      </c>
      <c r="CT28" s="4">
        <f t="shared" si="59"/>
        <v>1.83</v>
      </c>
      <c r="CU28" s="3">
        <v>3.76</v>
      </c>
      <c r="CV28" s="3">
        <f t="shared" si="60"/>
        <v>3.76</v>
      </c>
      <c r="CW28" s="4">
        <f t="shared" si="61"/>
        <v>3.76</v>
      </c>
      <c r="CX28" s="3">
        <v>3.21</v>
      </c>
      <c r="CY28" s="3">
        <f t="shared" si="62"/>
        <v>3.21</v>
      </c>
      <c r="CZ28" s="21">
        <f t="shared" si="63"/>
        <v>3.21</v>
      </c>
      <c r="DB28" s="20" t="s">
        <v>230</v>
      </c>
      <c r="DC28" s="3">
        <v>0</v>
      </c>
      <c r="DD28" s="3" t="str">
        <f t="shared" si="64"/>
        <v/>
      </c>
      <c r="DE28" s="4" t="str">
        <f t="shared" si="65"/>
        <v/>
      </c>
      <c r="DF28" s="3">
        <v>0</v>
      </c>
      <c r="DG28" s="3" t="str">
        <f t="shared" si="66"/>
        <v/>
      </c>
      <c r="DH28" s="4" t="str">
        <f t="shared" si="67"/>
        <v/>
      </c>
      <c r="DI28" s="3">
        <v>2.59</v>
      </c>
      <c r="DJ28" s="3">
        <f t="shared" si="68"/>
        <v>2.59</v>
      </c>
      <c r="DK28" s="4">
        <f t="shared" si="69"/>
        <v>2.59</v>
      </c>
      <c r="DL28" s="3">
        <v>3.04</v>
      </c>
      <c r="DM28" s="3">
        <f t="shared" si="127"/>
        <v>3.04</v>
      </c>
      <c r="DN28" s="4">
        <f t="shared" si="70"/>
        <v>3.04</v>
      </c>
      <c r="DO28" s="3">
        <v>1.61</v>
      </c>
      <c r="DP28" s="3">
        <f t="shared" si="71"/>
        <v>1.61</v>
      </c>
      <c r="DQ28" s="4">
        <f t="shared" si="72"/>
        <v>1.61</v>
      </c>
      <c r="DR28" s="3">
        <v>99.99</v>
      </c>
      <c r="DS28" s="3" t="str">
        <f t="shared" si="73"/>
        <v/>
      </c>
      <c r="DT28" s="4" t="str">
        <f t="shared" si="74"/>
        <v/>
      </c>
      <c r="DU28" s="3">
        <v>0.33</v>
      </c>
      <c r="DV28" s="3">
        <f t="shared" si="75"/>
        <v>0.33</v>
      </c>
      <c r="DW28" s="4" t="str">
        <f t="shared" si="76"/>
        <v/>
      </c>
      <c r="DX28" s="3">
        <v>3.04</v>
      </c>
      <c r="DY28" s="3">
        <f t="shared" si="77"/>
        <v>3.04</v>
      </c>
      <c r="DZ28" s="21">
        <f t="shared" si="78"/>
        <v>3.04</v>
      </c>
      <c r="EB28" s="20" t="s">
        <v>231</v>
      </c>
      <c r="EC28" s="3">
        <v>0.53</v>
      </c>
      <c r="ED28" s="3">
        <f t="shared" si="79"/>
        <v>0.53</v>
      </c>
      <c r="EE28" s="4">
        <f t="shared" si="80"/>
        <v>0.53</v>
      </c>
      <c r="EF28" s="3">
        <v>0.45</v>
      </c>
      <c r="EG28" s="3">
        <f t="shared" si="81"/>
        <v>0.45</v>
      </c>
      <c r="EH28" s="4" t="str">
        <f t="shared" si="82"/>
        <v/>
      </c>
      <c r="EI28" s="3">
        <v>0.39</v>
      </c>
      <c r="EJ28" s="3">
        <f t="shared" si="83"/>
        <v>0.39</v>
      </c>
      <c r="EK28" s="4">
        <f t="shared" si="84"/>
        <v>0.39</v>
      </c>
      <c r="EL28" s="3">
        <v>1.61</v>
      </c>
      <c r="EM28" s="3">
        <f t="shared" si="85"/>
        <v>1.61</v>
      </c>
      <c r="EN28" s="4">
        <f t="shared" si="86"/>
        <v>1.61</v>
      </c>
      <c r="EO28" s="3">
        <v>2.21</v>
      </c>
      <c r="EP28" s="3">
        <f t="shared" si="87"/>
        <v>2.21</v>
      </c>
      <c r="EQ28" s="4">
        <f t="shared" si="88"/>
        <v>2.21</v>
      </c>
      <c r="ER28" s="3">
        <v>1.89</v>
      </c>
      <c r="ES28" s="3">
        <f t="shared" si="89"/>
        <v>1.89</v>
      </c>
      <c r="ET28" s="4">
        <f t="shared" si="90"/>
        <v>1.89</v>
      </c>
      <c r="EU28" s="3">
        <v>0.45</v>
      </c>
      <c r="EV28" s="3">
        <f t="shared" si="91"/>
        <v>0.45</v>
      </c>
      <c r="EW28" s="4" t="str">
        <f t="shared" si="92"/>
        <v/>
      </c>
      <c r="EX28" s="3">
        <v>1.17</v>
      </c>
      <c r="EY28" s="3">
        <f t="shared" si="93"/>
        <v>1.17</v>
      </c>
      <c r="EZ28" s="21">
        <f t="shared" si="94"/>
        <v>1.17</v>
      </c>
      <c r="FB28" s="20" t="s">
        <v>232</v>
      </c>
      <c r="FC28" s="3">
        <v>10.83</v>
      </c>
      <c r="FD28" s="3">
        <f t="shared" si="95"/>
        <v>10.83</v>
      </c>
      <c r="FE28" s="4">
        <f t="shared" si="96"/>
        <v>10.83</v>
      </c>
      <c r="FF28" s="3">
        <v>0.85</v>
      </c>
      <c r="FG28" s="3">
        <f t="shared" si="97"/>
        <v>0.85</v>
      </c>
      <c r="FH28" s="4" t="str">
        <f t="shared" si="98"/>
        <v/>
      </c>
      <c r="FI28" s="3">
        <v>1.61</v>
      </c>
      <c r="FJ28" s="3">
        <f t="shared" si="99"/>
        <v>1.61</v>
      </c>
      <c r="FK28" s="4">
        <f t="shared" si="100"/>
        <v>1.61</v>
      </c>
      <c r="FL28" s="3">
        <v>1.89</v>
      </c>
      <c r="FM28" s="3">
        <f t="shared" si="101"/>
        <v>1.89</v>
      </c>
      <c r="FN28" s="4" t="str">
        <f t="shared" si="102"/>
        <v/>
      </c>
      <c r="FO28" s="3">
        <v>1.61</v>
      </c>
      <c r="FP28" s="3">
        <f t="shared" si="103"/>
        <v>1.61</v>
      </c>
      <c r="FQ28" s="4">
        <f t="shared" si="104"/>
        <v>1.61</v>
      </c>
      <c r="FR28" s="3">
        <v>2.59</v>
      </c>
      <c r="FS28" s="3">
        <f t="shared" si="105"/>
        <v>2.59</v>
      </c>
      <c r="FT28" s="4">
        <f t="shared" si="106"/>
        <v>2.59</v>
      </c>
      <c r="FU28" s="3">
        <v>1.17</v>
      </c>
      <c r="FV28" s="3">
        <f t="shared" si="107"/>
        <v>1.17</v>
      </c>
      <c r="FW28" s="4" t="str">
        <f t="shared" si="108"/>
        <v/>
      </c>
      <c r="FX28" s="3">
        <v>0.24</v>
      </c>
      <c r="FY28" s="3">
        <f t="shared" si="109"/>
        <v>0.24</v>
      </c>
      <c r="FZ28" s="21">
        <f t="shared" si="110"/>
        <v>0.24</v>
      </c>
      <c r="GB28" s="20" t="s">
        <v>233</v>
      </c>
      <c r="GC28" s="3">
        <v>0.85</v>
      </c>
      <c r="GD28" s="3">
        <f t="shared" si="111"/>
        <v>0.85</v>
      </c>
      <c r="GE28" s="4">
        <f t="shared" si="112"/>
        <v>0.85</v>
      </c>
      <c r="GF28" s="3">
        <v>0.45</v>
      </c>
      <c r="GG28" s="3">
        <f t="shared" si="113"/>
        <v>0.45</v>
      </c>
      <c r="GH28" s="4">
        <f t="shared" si="114"/>
        <v>0.45</v>
      </c>
      <c r="GI28" s="3">
        <v>0.15</v>
      </c>
      <c r="GJ28" s="3">
        <f t="shared" si="115"/>
        <v>0.15</v>
      </c>
      <c r="GK28" s="4">
        <f t="shared" si="116"/>
        <v>0.15</v>
      </c>
      <c r="GL28" s="3">
        <v>1.17</v>
      </c>
      <c r="GM28" s="3">
        <f t="shared" si="117"/>
        <v>1.17</v>
      </c>
      <c r="GN28" s="4">
        <f t="shared" si="118"/>
        <v>1.17</v>
      </c>
      <c r="GO28" s="3">
        <v>2.21</v>
      </c>
      <c r="GP28" s="3">
        <f t="shared" si="119"/>
        <v>2.21</v>
      </c>
      <c r="GQ28" s="4">
        <f t="shared" si="120"/>
        <v>2.21</v>
      </c>
      <c r="GR28" s="3">
        <v>0.33</v>
      </c>
      <c r="GS28" s="3">
        <f t="shared" si="121"/>
        <v>0.33</v>
      </c>
      <c r="GT28" s="4" t="str">
        <f t="shared" si="122"/>
        <v/>
      </c>
      <c r="GU28" s="3">
        <v>0.39</v>
      </c>
      <c r="GV28" s="3">
        <f t="shared" si="123"/>
        <v>0.39</v>
      </c>
      <c r="GW28" s="4" t="str">
        <f t="shared" si="124"/>
        <v/>
      </c>
      <c r="GX28" s="3">
        <v>2.21</v>
      </c>
      <c r="GY28" s="3">
        <f t="shared" si="125"/>
        <v>2.21</v>
      </c>
      <c r="GZ28" s="21">
        <f t="shared" si="126"/>
        <v>2.21</v>
      </c>
    </row>
    <row r="29" spans="2:208">
      <c r="B29" s="20" t="s">
        <v>234</v>
      </c>
      <c r="C29" s="3">
        <v>3.02</v>
      </c>
      <c r="D29" s="3">
        <f t="shared" si="0"/>
        <v>3.02</v>
      </c>
      <c r="E29" s="4">
        <f t="shared" si="1"/>
        <v>3.02</v>
      </c>
      <c r="F29" s="3">
        <v>4.37</v>
      </c>
      <c r="G29" s="3">
        <f t="shared" si="2"/>
        <v>4.37</v>
      </c>
      <c r="H29" s="4">
        <f t="shared" si="3"/>
        <v>4.37</v>
      </c>
      <c r="I29" s="3">
        <v>3.52</v>
      </c>
      <c r="J29" s="3">
        <f t="shared" si="4"/>
        <v>3.52</v>
      </c>
      <c r="K29" s="4" t="str">
        <f t="shared" si="5"/>
        <v/>
      </c>
      <c r="L29" s="3">
        <v>5.67</v>
      </c>
      <c r="M29" s="3">
        <f t="shared" si="6"/>
        <v>5.67</v>
      </c>
      <c r="N29" s="4">
        <f t="shared" si="7"/>
        <v>5.67</v>
      </c>
      <c r="O29" s="3">
        <v>4.32</v>
      </c>
      <c r="P29" s="3">
        <f t="shared" si="8"/>
        <v>4.32</v>
      </c>
      <c r="Q29" s="4">
        <f t="shared" si="9"/>
        <v>4.32</v>
      </c>
      <c r="R29" s="3">
        <v>0.1</v>
      </c>
      <c r="S29" s="3">
        <f t="shared" si="10"/>
        <v>0.1</v>
      </c>
      <c r="T29" s="4" t="str">
        <f t="shared" si="11"/>
        <v/>
      </c>
      <c r="U29" s="3">
        <v>1.8</v>
      </c>
      <c r="V29" s="3">
        <f t="shared" si="12"/>
        <v>1.8</v>
      </c>
      <c r="W29" s="4">
        <f t="shared" si="13"/>
        <v>1.8</v>
      </c>
      <c r="X29" s="3">
        <v>2.72</v>
      </c>
      <c r="Y29" s="3">
        <f t="shared" si="14"/>
        <v>2.72</v>
      </c>
      <c r="Z29" s="21" t="str">
        <f t="shared" si="15"/>
        <v/>
      </c>
      <c r="AB29" s="20" t="s">
        <v>235</v>
      </c>
      <c r="AC29" s="3">
        <v>2.85</v>
      </c>
      <c r="AD29" s="3">
        <f t="shared" si="16"/>
        <v>2.85</v>
      </c>
      <c r="AE29" s="4">
        <f t="shared" si="17"/>
        <v>2.85</v>
      </c>
      <c r="AF29" s="3">
        <v>5.44</v>
      </c>
      <c r="AG29" s="3">
        <f t="shared" si="18"/>
        <v>5.44</v>
      </c>
      <c r="AH29" s="4">
        <f t="shared" si="19"/>
        <v>5.44</v>
      </c>
      <c r="AI29" s="3">
        <v>5.15</v>
      </c>
      <c r="AJ29" s="3">
        <f t="shared" si="20"/>
        <v>5.15</v>
      </c>
      <c r="AK29" s="4">
        <f t="shared" si="21"/>
        <v>5.15</v>
      </c>
      <c r="AL29" s="3">
        <v>6.05</v>
      </c>
      <c r="AM29" s="3">
        <f t="shared" si="22"/>
        <v>6.05</v>
      </c>
      <c r="AN29" s="4">
        <f t="shared" si="23"/>
        <v>6.05</v>
      </c>
      <c r="AO29" s="3">
        <v>5.65</v>
      </c>
      <c r="AP29" s="3">
        <f t="shared" si="24"/>
        <v>5.65</v>
      </c>
      <c r="AQ29" s="4">
        <f t="shared" si="25"/>
        <v>5.65</v>
      </c>
      <c r="AR29" s="3">
        <v>3.72</v>
      </c>
      <c r="AS29" s="3">
        <f t="shared" si="26"/>
        <v>3.72</v>
      </c>
      <c r="AT29" s="4">
        <f t="shared" si="27"/>
        <v>3.72</v>
      </c>
      <c r="AU29" s="3">
        <v>3.03</v>
      </c>
      <c r="AV29" s="3">
        <f t="shared" si="28"/>
        <v>3.03</v>
      </c>
      <c r="AW29" s="4">
        <f t="shared" si="29"/>
        <v>3.03</v>
      </c>
      <c r="AX29" s="3">
        <v>3.47</v>
      </c>
      <c r="AY29" s="3">
        <f t="shared" si="30"/>
        <v>3.47</v>
      </c>
      <c r="AZ29" s="21">
        <f t="shared" si="31"/>
        <v>3.47</v>
      </c>
      <c r="BB29" s="20" t="s">
        <v>236</v>
      </c>
      <c r="BC29" s="3">
        <v>3.91</v>
      </c>
      <c r="BD29" s="3">
        <f t="shared" si="32"/>
        <v>3.91</v>
      </c>
      <c r="BE29" s="4">
        <f t="shared" si="33"/>
        <v>3.91</v>
      </c>
      <c r="BF29" s="3">
        <v>4.25</v>
      </c>
      <c r="BG29" s="3">
        <f t="shared" si="34"/>
        <v>4.25</v>
      </c>
      <c r="BH29" s="4">
        <f t="shared" si="35"/>
        <v>4.25</v>
      </c>
      <c r="BI29" s="3">
        <v>1.06</v>
      </c>
      <c r="BJ29" s="3">
        <f t="shared" si="36"/>
        <v>1.06</v>
      </c>
      <c r="BK29" s="4" t="str">
        <f t="shared" si="37"/>
        <v/>
      </c>
      <c r="BL29" s="3">
        <v>4.29</v>
      </c>
      <c r="BM29" s="3">
        <f t="shared" si="38"/>
        <v>4.29</v>
      </c>
      <c r="BN29" s="4">
        <f t="shared" si="39"/>
        <v>4.29</v>
      </c>
      <c r="BO29" s="3">
        <v>0.34</v>
      </c>
      <c r="BP29" s="3">
        <f t="shared" si="40"/>
        <v>0.34</v>
      </c>
      <c r="BQ29" s="4" t="str">
        <f t="shared" si="41"/>
        <v/>
      </c>
      <c r="BR29" s="3">
        <v>3.12</v>
      </c>
      <c r="BS29" s="3">
        <f t="shared" si="42"/>
        <v>3.12</v>
      </c>
      <c r="BT29" s="4">
        <f t="shared" si="43"/>
        <v>3.12</v>
      </c>
      <c r="BU29" s="3">
        <v>1.61</v>
      </c>
      <c r="BV29" s="3">
        <f t="shared" si="44"/>
        <v>1.61</v>
      </c>
      <c r="BW29" s="4">
        <f t="shared" si="45"/>
        <v>1.61</v>
      </c>
      <c r="BX29" s="3">
        <v>1.25</v>
      </c>
      <c r="BY29" s="3">
        <f t="shared" si="46"/>
        <v>1.25</v>
      </c>
      <c r="BZ29" s="21">
        <f t="shared" si="47"/>
        <v>1.25</v>
      </c>
      <c r="CB29" s="20" t="s">
        <v>237</v>
      </c>
      <c r="CC29" s="3">
        <v>2.57</v>
      </c>
      <c r="CD29" s="3">
        <f t="shared" si="48"/>
        <v>2.57</v>
      </c>
      <c r="CE29" s="4" t="str">
        <f t="shared" si="49"/>
        <v/>
      </c>
      <c r="CF29" s="3">
        <v>6.05</v>
      </c>
      <c r="CG29" s="3">
        <f t="shared" si="50"/>
        <v>6.05</v>
      </c>
      <c r="CH29" s="4">
        <f t="shared" si="51"/>
        <v>6.05</v>
      </c>
      <c r="CI29" s="3">
        <v>3.77</v>
      </c>
      <c r="CJ29" s="3">
        <f t="shared" si="52"/>
        <v>3.77</v>
      </c>
      <c r="CK29" s="4">
        <f t="shared" si="53"/>
        <v>3.77</v>
      </c>
      <c r="CL29" s="3">
        <v>4.09</v>
      </c>
      <c r="CM29" s="3">
        <f t="shared" si="54"/>
        <v>4.09</v>
      </c>
      <c r="CN29" s="4">
        <f t="shared" si="55"/>
        <v>4.09</v>
      </c>
      <c r="CO29" s="3">
        <v>5.5</v>
      </c>
      <c r="CP29" s="3">
        <f t="shared" si="56"/>
        <v>5.5</v>
      </c>
      <c r="CQ29" s="4">
        <f t="shared" si="57"/>
        <v>5.5</v>
      </c>
      <c r="CR29" s="3">
        <v>1.89</v>
      </c>
      <c r="CS29" s="3">
        <f t="shared" si="58"/>
        <v>1.89</v>
      </c>
      <c r="CT29" s="4">
        <f t="shared" si="59"/>
        <v>1.89</v>
      </c>
      <c r="CU29" s="3">
        <v>3.77</v>
      </c>
      <c r="CV29" s="3">
        <f t="shared" si="60"/>
        <v>3.77</v>
      </c>
      <c r="CW29" s="4">
        <f t="shared" si="61"/>
        <v>3.77</v>
      </c>
      <c r="CX29" s="3">
        <v>3.05</v>
      </c>
      <c r="CY29" s="3">
        <f t="shared" si="62"/>
        <v>3.05</v>
      </c>
      <c r="CZ29" s="21">
        <f t="shared" si="63"/>
        <v>3.05</v>
      </c>
      <c r="DB29" s="20" t="s">
        <v>238</v>
      </c>
      <c r="DC29" s="3">
        <v>2.21</v>
      </c>
      <c r="DD29" s="3">
        <f t="shared" si="64"/>
        <v>2.21</v>
      </c>
      <c r="DE29" s="4">
        <f t="shared" si="65"/>
        <v>2.21</v>
      </c>
      <c r="DF29" s="3">
        <v>1.17</v>
      </c>
      <c r="DG29" s="3">
        <f t="shared" si="66"/>
        <v>1.17</v>
      </c>
      <c r="DH29" s="4">
        <f t="shared" si="67"/>
        <v>1.17</v>
      </c>
      <c r="DI29" s="3">
        <v>2.59</v>
      </c>
      <c r="DJ29" s="3">
        <f t="shared" si="68"/>
        <v>2.59</v>
      </c>
      <c r="DK29" s="4">
        <f t="shared" si="69"/>
        <v>2.59</v>
      </c>
      <c r="DL29" s="3">
        <v>3.56</v>
      </c>
      <c r="DM29" s="3">
        <f t="shared" si="127"/>
        <v>3.56</v>
      </c>
      <c r="DN29" s="4">
        <f t="shared" si="70"/>
        <v>3.56</v>
      </c>
      <c r="DO29" s="3">
        <v>1.17</v>
      </c>
      <c r="DP29" s="3">
        <f t="shared" si="71"/>
        <v>1.17</v>
      </c>
      <c r="DQ29" s="4">
        <f t="shared" si="72"/>
        <v>1.17</v>
      </c>
      <c r="DR29" s="3">
        <v>1.17</v>
      </c>
      <c r="DS29" s="3">
        <f t="shared" si="73"/>
        <v>1.17</v>
      </c>
      <c r="DT29" s="4">
        <f t="shared" si="74"/>
        <v>1.17</v>
      </c>
      <c r="DU29" s="3">
        <v>1.37</v>
      </c>
      <c r="DV29" s="3">
        <f t="shared" si="75"/>
        <v>1.37</v>
      </c>
      <c r="DW29" s="4">
        <f t="shared" si="76"/>
        <v>1.37</v>
      </c>
      <c r="DX29" s="3">
        <v>3.04</v>
      </c>
      <c r="DY29" s="3">
        <f t="shared" si="77"/>
        <v>3.04</v>
      </c>
      <c r="DZ29" s="21">
        <f t="shared" si="78"/>
        <v>3.04</v>
      </c>
      <c r="EB29" s="20" t="s">
        <v>239</v>
      </c>
      <c r="EC29" s="3">
        <v>0.53</v>
      </c>
      <c r="ED29" s="3">
        <f t="shared" si="79"/>
        <v>0.53</v>
      </c>
      <c r="EE29" s="4">
        <f t="shared" si="80"/>
        <v>0.53</v>
      </c>
      <c r="EF29" s="3">
        <v>0.45</v>
      </c>
      <c r="EG29" s="3">
        <f t="shared" si="81"/>
        <v>0.45</v>
      </c>
      <c r="EH29" s="4" t="str">
        <f t="shared" si="82"/>
        <v/>
      </c>
      <c r="EI29" s="3">
        <v>0.39</v>
      </c>
      <c r="EJ29" s="3">
        <f t="shared" si="83"/>
        <v>0.39</v>
      </c>
      <c r="EK29" s="4">
        <f t="shared" si="84"/>
        <v>0.39</v>
      </c>
      <c r="EL29" s="3">
        <v>1.61</v>
      </c>
      <c r="EM29" s="3">
        <f t="shared" si="85"/>
        <v>1.61</v>
      </c>
      <c r="EN29" s="4">
        <f t="shared" si="86"/>
        <v>1.61</v>
      </c>
      <c r="EO29" s="3">
        <v>17.43</v>
      </c>
      <c r="EP29" s="3">
        <f t="shared" si="87"/>
        <v>17.43</v>
      </c>
      <c r="EQ29" s="4" t="str">
        <f t="shared" si="88"/>
        <v/>
      </c>
      <c r="ER29" s="3">
        <v>1.89</v>
      </c>
      <c r="ES29" s="3">
        <f t="shared" si="89"/>
        <v>1.89</v>
      </c>
      <c r="ET29" s="4">
        <f t="shared" si="90"/>
        <v>1.89</v>
      </c>
      <c r="EU29" s="3">
        <v>0.62</v>
      </c>
      <c r="EV29" s="3">
        <f t="shared" si="91"/>
        <v>0.62</v>
      </c>
      <c r="EW29" s="4">
        <f t="shared" si="92"/>
        <v>0.62</v>
      </c>
      <c r="EX29" s="3">
        <v>0.85</v>
      </c>
      <c r="EY29" s="3">
        <f t="shared" si="93"/>
        <v>0.85</v>
      </c>
      <c r="EZ29" s="21">
        <f t="shared" si="94"/>
        <v>0.85</v>
      </c>
      <c r="FB29" s="20" t="s">
        <v>240</v>
      </c>
      <c r="FC29" s="3">
        <v>12.69</v>
      </c>
      <c r="FD29" s="3">
        <f t="shared" si="95"/>
        <v>12.69</v>
      </c>
      <c r="FE29" s="4">
        <f t="shared" si="96"/>
        <v>12.69</v>
      </c>
      <c r="FF29" s="3">
        <v>0.85</v>
      </c>
      <c r="FG29" s="3">
        <f t="shared" si="97"/>
        <v>0.85</v>
      </c>
      <c r="FH29" s="4" t="str">
        <f t="shared" si="98"/>
        <v/>
      </c>
      <c r="FI29" s="3">
        <v>1.61</v>
      </c>
      <c r="FJ29" s="3">
        <f t="shared" si="99"/>
        <v>1.61</v>
      </c>
      <c r="FK29" s="4">
        <f t="shared" si="100"/>
        <v>1.61</v>
      </c>
      <c r="FL29" s="3">
        <v>1.89</v>
      </c>
      <c r="FM29" s="3">
        <f t="shared" si="101"/>
        <v>1.89</v>
      </c>
      <c r="FN29" s="4" t="str">
        <f t="shared" si="102"/>
        <v/>
      </c>
      <c r="FO29" s="3">
        <v>1.37</v>
      </c>
      <c r="FP29" s="3">
        <f t="shared" si="103"/>
        <v>1.37</v>
      </c>
      <c r="FQ29" s="4" t="str">
        <f t="shared" si="104"/>
        <v/>
      </c>
      <c r="FR29" s="3">
        <v>2.21</v>
      </c>
      <c r="FS29" s="3">
        <f t="shared" si="105"/>
        <v>2.21</v>
      </c>
      <c r="FT29" s="4">
        <f t="shared" si="106"/>
        <v>2.21</v>
      </c>
      <c r="FU29" s="3">
        <v>0.2</v>
      </c>
      <c r="FV29" s="3">
        <f t="shared" si="107"/>
        <v>0.2</v>
      </c>
      <c r="FW29" s="4">
        <f t="shared" si="108"/>
        <v>0.2</v>
      </c>
      <c r="FX29" s="3">
        <v>0.24</v>
      </c>
      <c r="FY29" s="3">
        <f t="shared" si="109"/>
        <v>0.24</v>
      </c>
      <c r="FZ29" s="21">
        <f t="shared" si="110"/>
        <v>0.24</v>
      </c>
      <c r="GB29" s="20" t="s">
        <v>241</v>
      </c>
      <c r="GC29" s="3">
        <v>0</v>
      </c>
      <c r="GD29" s="3" t="str">
        <f t="shared" si="111"/>
        <v/>
      </c>
      <c r="GE29" s="4" t="str">
        <f t="shared" si="112"/>
        <v/>
      </c>
      <c r="GF29" s="3">
        <v>0.45</v>
      </c>
      <c r="GG29" s="3">
        <f t="shared" si="113"/>
        <v>0.45</v>
      </c>
      <c r="GH29" s="4">
        <f t="shared" si="114"/>
        <v>0.45</v>
      </c>
      <c r="GI29" s="3">
        <v>0.15</v>
      </c>
      <c r="GJ29" s="3">
        <f t="shared" si="115"/>
        <v>0.15</v>
      </c>
      <c r="GK29" s="4">
        <f t="shared" si="116"/>
        <v>0.15</v>
      </c>
      <c r="GL29" s="3">
        <v>0</v>
      </c>
      <c r="GM29" s="3" t="str">
        <f t="shared" si="117"/>
        <v/>
      </c>
      <c r="GN29" s="4" t="str">
        <f t="shared" si="118"/>
        <v/>
      </c>
      <c r="GO29" s="3">
        <v>1.89</v>
      </c>
      <c r="GP29" s="3">
        <f t="shared" si="119"/>
        <v>1.89</v>
      </c>
      <c r="GQ29" s="4">
        <f t="shared" si="120"/>
        <v>1.89</v>
      </c>
      <c r="GR29" s="3">
        <v>0.73</v>
      </c>
      <c r="GS29" s="3">
        <f t="shared" si="121"/>
        <v>0.73</v>
      </c>
      <c r="GT29" s="4">
        <f t="shared" si="122"/>
        <v>0.73</v>
      </c>
      <c r="GU29" s="3">
        <v>0.28000000000000003</v>
      </c>
      <c r="GV29" s="3">
        <f t="shared" si="123"/>
        <v>0.28000000000000003</v>
      </c>
      <c r="GW29" s="4">
        <f t="shared" si="124"/>
        <v>0.28000000000000003</v>
      </c>
      <c r="GX29" s="3">
        <v>2.21</v>
      </c>
      <c r="GY29" s="3">
        <f t="shared" si="125"/>
        <v>2.21</v>
      </c>
      <c r="GZ29" s="21">
        <f t="shared" si="126"/>
        <v>2.21</v>
      </c>
    </row>
    <row r="30" spans="2:208">
      <c r="B30" s="20" t="s">
        <v>242</v>
      </c>
      <c r="C30" s="3">
        <v>2.99</v>
      </c>
      <c r="D30" s="3">
        <f t="shared" si="0"/>
        <v>2.99</v>
      </c>
      <c r="E30" s="4">
        <f t="shared" si="1"/>
        <v>2.99</v>
      </c>
      <c r="F30" s="3">
        <v>4.38</v>
      </c>
      <c r="G30" s="3">
        <f t="shared" si="2"/>
        <v>4.38</v>
      </c>
      <c r="H30" s="4">
        <f t="shared" si="3"/>
        <v>4.38</v>
      </c>
      <c r="I30" s="3">
        <v>5.29</v>
      </c>
      <c r="J30" s="3">
        <f t="shared" si="4"/>
        <v>5.29</v>
      </c>
      <c r="K30" s="4">
        <f t="shared" si="5"/>
        <v>5.29</v>
      </c>
      <c r="L30" s="3">
        <v>5.7</v>
      </c>
      <c r="M30" s="3">
        <f t="shared" si="6"/>
        <v>5.7</v>
      </c>
      <c r="N30" s="4">
        <f t="shared" si="7"/>
        <v>5.7</v>
      </c>
      <c r="O30" s="3">
        <v>4.32</v>
      </c>
      <c r="P30" s="3">
        <f t="shared" si="8"/>
        <v>4.32</v>
      </c>
      <c r="Q30" s="4">
        <f t="shared" si="9"/>
        <v>4.32</v>
      </c>
      <c r="R30" s="3">
        <v>4.8</v>
      </c>
      <c r="S30" s="3">
        <f t="shared" si="10"/>
        <v>4.8</v>
      </c>
      <c r="T30" s="4">
        <f t="shared" si="11"/>
        <v>4.8</v>
      </c>
      <c r="U30" s="3">
        <v>1.76</v>
      </c>
      <c r="V30" s="3">
        <f t="shared" si="12"/>
        <v>1.76</v>
      </c>
      <c r="W30" s="4">
        <f t="shared" si="13"/>
        <v>1.76</v>
      </c>
      <c r="X30" s="3">
        <v>3.24</v>
      </c>
      <c r="Y30" s="3">
        <f t="shared" si="14"/>
        <v>3.24</v>
      </c>
      <c r="Z30" s="21" t="str">
        <f t="shared" si="15"/>
        <v/>
      </c>
      <c r="AB30" s="20" t="s">
        <v>243</v>
      </c>
      <c r="AC30" s="3">
        <v>2.82</v>
      </c>
      <c r="AD30" s="3">
        <f t="shared" si="16"/>
        <v>2.82</v>
      </c>
      <c r="AE30" s="4">
        <f t="shared" si="17"/>
        <v>2.82</v>
      </c>
      <c r="AF30" s="3">
        <v>5.44</v>
      </c>
      <c r="AG30" s="3">
        <f t="shared" si="18"/>
        <v>5.44</v>
      </c>
      <c r="AH30" s="4">
        <f t="shared" si="19"/>
        <v>5.44</v>
      </c>
      <c r="AI30" s="3">
        <v>5.18</v>
      </c>
      <c r="AJ30" s="3">
        <f t="shared" si="20"/>
        <v>5.18</v>
      </c>
      <c r="AK30" s="4">
        <f t="shared" si="21"/>
        <v>5.18</v>
      </c>
      <c r="AL30" s="3">
        <v>6.1</v>
      </c>
      <c r="AM30" s="3">
        <f t="shared" si="22"/>
        <v>6.1</v>
      </c>
      <c r="AN30" s="4">
        <f t="shared" si="23"/>
        <v>6.1</v>
      </c>
      <c r="AO30" s="3">
        <v>0</v>
      </c>
      <c r="AP30" s="3" t="str">
        <f t="shared" si="24"/>
        <v/>
      </c>
      <c r="AQ30" s="4" t="str">
        <f t="shared" si="25"/>
        <v/>
      </c>
      <c r="AR30" s="3">
        <v>3.73</v>
      </c>
      <c r="AS30" s="3">
        <f t="shared" si="26"/>
        <v>3.73</v>
      </c>
      <c r="AT30" s="4">
        <f t="shared" si="27"/>
        <v>3.73</v>
      </c>
      <c r="AU30" s="3">
        <v>3.02</v>
      </c>
      <c r="AV30" s="3">
        <f t="shared" si="28"/>
        <v>3.02</v>
      </c>
      <c r="AW30" s="4">
        <f t="shared" si="29"/>
        <v>3.02</v>
      </c>
      <c r="AX30" s="3">
        <v>3.46</v>
      </c>
      <c r="AY30" s="3">
        <f t="shared" si="30"/>
        <v>3.46</v>
      </c>
      <c r="AZ30" s="21">
        <f t="shared" si="31"/>
        <v>3.46</v>
      </c>
      <c r="BB30" s="20" t="s">
        <v>244</v>
      </c>
      <c r="BC30" s="3">
        <v>3.91</v>
      </c>
      <c r="BD30" s="3">
        <f t="shared" si="32"/>
        <v>3.91</v>
      </c>
      <c r="BE30" s="4">
        <f t="shared" si="33"/>
        <v>3.91</v>
      </c>
      <c r="BF30" s="3">
        <v>1.1200000000000001</v>
      </c>
      <c r="BG30" s="3">
        <f t="shared" si="34"/>
        <v>1.1200000000000001</v>
      </c>
      <c r="BH30" s="4" t="str">
        <f t="shared" si="35"/>
        <v/>
      </c>
      <c r="BI30" s="3">
        <v>4.16</v>
      </c>
      <c r="BJ30" s="3">
        <f t="shared" si="36"/>
        <v>4.16</v>
      </c>
      <c r="BK30" s="4">
        <f t="shared" si="37"/>
        <v>4.16</v>
      </c>
      <c r="BL30" s="3">
        <v>4.3</v>
      </c>
      <c r="BM30" s="3">
        <f t="shared" si="38"/>
        <v>4.3</v>
      </c>
      <c r="BN30" s="4">
        <f t="shared" si="39"/>
        <v>4.3</v>
      </c>
      <c r="BO30" s="3">
        <v>3.6</v>
      </c>
      <c r="BP30" s="3">
        <f t="shared" si="40"/>
        <v>3.6</v>
      </c>
      <c r="BQ30" s="4">
        <f t="shared" si="41"/>
        <v>3.6</v>
      </c>
      <c r="BR30" s="3">
        <v>3.14</v>
      </c>
      <c r="BS30" s="3">
        <f t="shared" si="42"/>
        <v>3.14</v>
      </c>
      <c r="BT30" s="4">
        <f t="shared" si="43"/>
        <v>3.14</v>
      </c>
      <c r="BU30" s="3">
        <v>1.62</v>
      </c>
      <c r="BV30" s="3">
        <f t="shared" si="44"/>
        <v>1.62</v>
      </c>
      <c r="BW30" s="4">
        <f t="shared" si="45"/>
        <v>1.62</v>
      </c>
      <c r="BX30" s="3">
        <v>1.24</v>
      </c>
      <c r="BY30" s="3">
        <f t="shared" si="46"/>
        <v>1.24</v>
      </c>
      <c r="BZ30" s="21">
        <f t="shared" si="47"/>
        <v>1.24</v>
      </c>
      <c r="CB30" s="20" t="s">
        <v>245</v>
      </c>
      <c r="CC30" s="3">
        <v>4.1500000000000004</v>
      </c>
      <c r="CD30" s="3">
        <f t="shared" si="48"/>
        <v>4.1500000000000004</v>
      </c>
      <c r="CE30" s="4">
        <f t="shared" si="49"/>
        <v>4.1500000000000004</v>
      </c>
      <c r="CF30" s="3">
        <v>6.11</v>
      </c>
      <c r="CG30" s="3">
        <f t="shared" si="50"/>
        <v>6.11</v>
      </c>
      <c r="CH30" s="4">
        <f t="shared" si="51"/>
        <v>6.11</v>
      </c>
      <c r="CI30" s="3">
        <v>3.77</v>
      </c>
      <c r="CJ30" s="3">
        <f t="shared" si="52"/>
        <v>3.77</v>
      </c>
      <c r="CK30" s="4">
        <f t="shared" si="53"/>
        <v>3.77</v>
      </c>
      <c r="CL30" s="3">
        <v>5.17</v>
      </c>
      <c r="CM30" s="3">
        <f t="shared" si="54"/>
        <v>5.17</v>
      </c>
      <c r="CN30" s="4">
        <f t="shared" si="55"/>
        <v>5.17</v>
      </c>
      <c r="CO30" s="3">
        <v>5.46</v>
      </c>
      <c r="CP30" s="3">
        <f t="shared" si="56"/>
        <v>5.46</v>
      </c>
      <c r="CQ30" s="4">
        <f t="shared" si="57"/>
        <v>5.46</v>
      </c>
      <c r="CR30" s="3">
        <v>1.86</v>
      </c>
      <c r="CS30" s="3">
        <f t="shared" si="58"/>
        <v>1.86</v>
      </c>
      <c r="CT30" s="4">
        <f t="shared" si="59"/>
        <v>1.86</v>
      </c>
      <c r="CU30" s="3">
        <v>3.74</v>
      </c>
      <c r="CV30" s="3">
        <f t="shared" si="60"/>
        <v>3.74</v>
      </c>
      <c r="CW30" s="4">
        <f t="shared" si="61"/>
        <v>3.74</v>
      </c>
      <c r="CX30" s="3">
        <v>0</v>
      </c>
      <c r="CY30" s="3" t="str">
        <f t="shared" si="62"/>
        <v/>
      </c>
      <c r="CZ30" s="21" t="str">
        <f t="shared" si="63"/>
        <v/>
      </c>
      <c r="DB30" s="20" t="s">
        <v>246</v>
      </c>
      <c r="DC30" s="3">
        <v>2.59</v>
      </c>
      <c r="DD30" s="3">
        <f t="shared" si="64"/>
        <v>2.59</v>
      </c>
      <c r="DE30" s="4">
        <f t="shared" si="65"/>
        <v>2.59</v>
      </c>
      <c r="DF30" s="3">
        <v>1.17</v>
      </c>
      <c r="DG30" s="3">
        <f t="shared" si="66"/>
        <v>1.17</v>
      </c>
      <c r="DH30" s="4">
        <f t="shared" si="67"/>
        <v>1.17</v>
      </c>
      <c r="DI30" s="3">
        <v>2.21</v>
      </c>
      <c r="DJ30" s="3">
        <f t="shared" si="68"/>
        <v>2.21</v>
      </c>
      <c r="DK30" s="4">
        <f t="shared" si="69"/>
        <v>2.21</v>
      </c>
      <c r="DL30" s="3">
        <v>3.56</v>
      </c>
      <c r="DM30" s="3">
        <f t="shared" si="127"/>
        <v>3.56</v>
      </c>
      <c r="DN30" s="4">
        <f t="shared" si="70"/>
        <v>3.56</v>
      </c>
      <c r="DO30" s="3">
        <v>1.37</v>
      </c>
      <c r="DP30" s="3">
        <f t="shared" si="71"/>
        <v>1.37</v>
      </c>
      <c r="DQ30" s="4">
        <f t="shared" si="72"/>
        <v>1.37</v>
      </c>
      <c r="DR30" s="3">
        <v>1.17</v>
      </c>
      <c r="DS30" s="3">
        <f t="shared" si="73"/>
        <v>1.17</v>
      </c>
      <c r="DT30" s="4">
        <f t="shared" si="74"/>
        <v>1.17</v>
      </c>
      <c r="DU30" s="3">
        <v>1.17</v>
      </c>
      <c r="DV30" s="3">
        <f t="shared" si="75"/>
        <v>1.17</v>
      </c>
      <c r="DW30" s="4">
        <f t="shared" si="76"/>
        <v>1.17</v>
      </c>
      <c r="DX30" s="3">
        <v>3.04</v>
      </c>
      <c r="DY30" s="3">
        <f t="shared" si="77"/>
        <v>3.04</v>
      </c>
      <c r="DZ30" s="21">
        <f t="shared" si="78"/>
        <v>3.04</v>
      </c>
      <c r="EB30" s="20" t="s">
        <v>247</v>
      </c>
      <c r="EC30" s="3">
        <v>0.53</v>
      </c>
      <c r="ED30" s="3">
        <f t="shared" si="79"/>
        <v>0.53</v>
      </c>
      <c r="EE30" s="4">
        <f t="shared" si="80"/>
        <v>0.53</v>
      </c>
      <c r="EF30" s="3">
        <v>0.45</v>
      </c>
      <c r="EG30" s="3">
        <f t="shared" si="81"/>
        <v>0.45</v>
      </c>
      <c r="EH30" s="4" t="str">
        <f t="shared" si="82"/>
        <v/>
      </c>
      <c r="EI30" s="3">
        <v>0.39</v>
      </c>
      <c r="EJ30" s="3">
        <f t="shared" si="83"/>
        <v>0.39</v>
      </c>
      <c r="EK30" s="4">
        <f t="shared" si="84"/>
        <v>0.39</v>
      </c>
      <c r="EL30" s="3">
        <v>1.61</v>
      </c>
      <c r="EM30" s="3">
        <f t="shared" si="85"/>
        <v>1.61</v>
      </c>
      <c r="EN30" s="4">
        <f t="shared" si="86"/>
        <v>1.61</v>
      </c>
      <c r="EO30" s="3">
        <v>17.43</v>
      </c>
      <c r="EP30" s="3">
        <f t="shared" si="87"/>
        <v>17.43</v>
      </c>
      <c r="EQ30" s="4" t="str">
        <f t="shared" si="88"/>
        <v/>
      </c>
      <c r="ER30" s="3">
        <v>1.89</v>
      </c>
      <c r="ES30" s="3">
        <f t="shared" si="89"/>
        <v>1.89</v>
      </c>
      <c r="ET30" s="4">
        <f t="shared" si="90"/>
        <v>1.89</v>
      </c>
      <c r="EU30" s="3">
        <v>0.73</v>
      </c>
      <c r="EV30" s="3">
        <f t="shared" si="91"/>
        <v>0.73</v>
      </c>
      <c r="EW30" s="4">
        <f t="shared" si="92"/>
        <v>0.73</v>
      </c>
      <c r="EX30" s="3">
        <v>1.17</v>
      </c>
      <c r="EY30" s="3">
        <f t="shared" si="93"/>
        <v>1.17</v>
      </c>
      <c r="EZ30" s="21">
        <f t="shared" si="94"/>
        <v>1.17</v>
      </c>
      <c r="FB30" s="20" t="s">
        <v>248</v>
      </c>
      <c r="FC30" s="3">
        <v>14.87</v>
      </c>
      <c r="FD30" s="3">
        <f t="shared" si="95"/>
        <v>14.87</v>
      </c>
      <c r="FE30" s="4" t="str">
        <f t="shared" si="96"/>
        <v/>
      </c>
      <c r="FF30" s="3">
        <v>1.37</v>
      </c>
      <c r="FG30" s="3">
        <f t="shared" si="97"/>
        <v>1.37</v>
      </c>
      <c r="FH30" s="4">
        <f t="shared" si="98"/>
        <v>1.37</v>
      </c>
      <c r="FI30" s="3">
        <v>1.61</v>
      </c>
      <c r="FJ30" s="3">
        <f t="shared" si="99"/>
        <v>1.61</v>
      </c>
      <c r="FK30" s="4">
        <f t="shared" si="100"/>
        <v>1.61</v>
      </c>
      <c r="FL30" s="3">
        <v>3.04</v>
      </c>
      <c r="FM30" s="3">
        <f t="shared" si="101"/>
        <v>3.04</v>
      </c>
      <c r="FN30" s="4">
        <f t="shared" si="102"/>
        <v>3.04</v>
      </c>
      <c r="FO30" s="3">
        <v>1.37</v>
      </c>
      <c r="FP30" s="3">
        <f t="shared" si="103"/>
        <v>1.37</v>
      </c>
      <c r="FQ30" s="4" t="str">
        <f t="shared" si="104"/>
        <v/>
      </c>
      <c r="FR30" s="3">
        <v>2.59</v>
      </c>
      <c r="FS30" s="3">
        <f t="shared" si="105"/>
        <v>2.59</v>
      </c>
      <c r="FT30" s="4">
        <f t="shared" si="106"/>
        <v>2.59</v>
      </c>
      <c r="FU30" s="3">
        <v>0.24</v>
      </c>
      <c r="FV30" s="3">
        <f t="shared" si="107"/>
        <v>0.24</v>
      </c>
      <c r="FW30" s="4">
        <f t="shared" si="108"/>
        <v>0.24</v>
      </c>
      <c r="FX30" s="3">
        <v>0.2</v>
      </c>
      <c r="FY30" s="3">
        <f t="shared" si="109"/>
        <v>0.2</v>
      </c>
      <c r="FZ30" s="21">
        <f t="shared" si="110"/>
        <v>0.2</v>
      </c>
      <c r="GB30" s="20" t="s">
        <v>249</v>
      </c>
      <c r="GC30" s="3">
        <v>0.85</v>
      </c>
      <c r="GD30" s="3">
        <f t="shared" si="111"/>
        <v>0.85</v>
      </c>
      <c r="GE30" s="4">
        <f t="shared" si="112"/>
        <v>0.85</v>
      </c>
      <c r="GF30" s="3">
        <v>0.45</v>
      </c>
      <c r="GG30" s="3">
        <f t="shared" si="113"/>
        <v>0.45</v>
      </c>
      <c r="GH30" s="4">
        <f t="shared" si="114"/>
        <v>0.45</v>
      </c>
      <c r="GI30" s="3">
        <v>0.15</v>
      </c>
      <c r="GJ30" s="3">
        <f t="shared" si="115"/>
        <v>0.15</v>
      </c>
      <c r="GK30" s="4">
        <f t="shared" si="116"/>
        <v>0.15</v>
      </c>
      <c r="GL30" s="3">
        <v>1.17</v>
      </c>
      <c r="GM30" s="3">
        <f t="shared" si="117"/>
        <v>1.17</v>
      </c>
      <c r="GN30" s="4">
        <f t="shared" si="118"/>
        <v>1.17</v>
      </c>
      <c r="GO30" s="3">
        <v>1.89</v>
      </c>
      <c r="GP30" s="3">
        <f t="shared" si="119"/>
        <v>1.89</v>
      </c>
      <c r="GQ30" s="4">
        <f t="shared" si="120"/>
        <v>1.89</v>
      </c>
      <c r="GR30" s="3">
        <v>0.73</v>
      </c>
      <c r="GS30" s="3">
        <f t="shared" si="121"/>
        <v>0.73</v>
      </c>
      <c r="GT30" s="4">
        <f t="shared" si="122"/>
        <v>0.73</v>
      </c>
      <c r="GU30" s="3">
        <v>0.24</v>
      </c>
      <c r="GV30" s="3">
        <f t="shared" si="123"/>
        <v>0.24</v>
      </c>
      <c r="GW30" s="4" t="str">
        <f t="shared" si="124"/>
        <v/>
      </c>
      <c r="GX30" s="3">
        <v>3.56</v>
      </c>
      <c r="GY30" s="3">
        <f t="shared" si="125"/>
        <v>3.56</v>
      </c>
      <c r="GZ30" s="21" t="str">
        <f t="shared" si="126"/>
        <v/>
      </c>
    </row>
    <row r="31" spans="2:208">
      <c r="B31" s="20" t="s">
        <v>250</v>
      </c>
      <c r="C31" s="3">
        <v>2.95</v>
      </c>
      <c r="D31" s="3">
        <f t="shared" si="0"/>
        <v>2.95</v>
      </c>
      <c r="E31" s="4">
        <f t="shared" si="1"/>
        <v>2.95</v>
      </c>
      <c r="F31" s="3">
        <v>0.37</v>
      </c>
      <c r="G31" s="3">
        <f t="shared" si="2"/>
        <v>0.37</v>
      </c>
      <c r="H31" s="4" t="str">
        <f t="shared" si="3"/>
        <v/>
      </c>
      <c r="I31" s="3">
        <v>5.31</v>
      </c>
      <c r="J31" s="3">
        <f t="shared" si="4"/>
        <v>5.31</v>
      </c>
      <c r="K31" s="4">
        <f t="shared" si="5"/>
        <v>5.31</v>
      </c>
      <c r="L31" s="3">
        <v>5.63</v>
      </c>
      <c r="M31" s="3">
        <f t="shared" si="6"/>
        <v>5.63</v>
      </c>
      <c r="N31" s="4">
        <f t="shared" si="7"/>
        <v>5.63</v>
      </c>
      <c r="O31" s="3">
        <v>4.3600000000000003</v>
      </c>
      <c r="P31" s="3">
        <f t="shared" si="8"/>
        <v>4.3600000000000003</v>
      </c>
      <c r="Q31" s="4">
        <f t="shared" si="9"/>
        <v>4.3600000000000003</v>
      </c>
      <c r="R31" s="3">
        <v>4.84</v>
      </c>
      <c r="S31" s="3">
        <f t="shared" si="10"/>
        <v>4.84</v>
      </c>
      <c r="T31" s="4">
        <f t="shared" si="11"/>
        <v>4.84</v>
      </c>
      <c r="U31" s="3">
        <v>1.75</v>
      </c>
      <c r="V31" s="3">
        <f t="shared" si="12"/>
        <v>1.75</v>
      </c>
      <c r="W31" s="4">
        <f t="shared" si="13"/>
        <v>1.75</v>
      </c>
      <c r="X31" s="3">
        <v>3.25</v>
      </c>
      <c r="Y31" s="3">
        <f t="shared" si="14"/>
        <v>3.25</v>
      </c>
      <c r="Z31" s="21" t="str">
        <f t="shared" si="15"/>
        <v/>
      </c>
      <c r="AB31" s="20" t="s">
        <v>251</v>
      </c>
      <c r="AC31" s="3">
        <v>2.86</v>
      </c>
      <c r="AD31" s="3">
        <f t="shared" si="16"/>
        <v>2.86</v>
      </c>
      <c r="AE31" s="4">
        <f t="shared" si="17"/>
        <v>2.86</v>
      </c>
      <c r="AF31" s="3">
        <v>5.45</v>
      </c>
      <c r="AG31" s="3">
        <f t="shared" si="18"/>
        <v>5.45</v>
      </c>
      <c r="AH31" s="4">
        <f t="shared" si="19"/>
        <v>5.45</v>
      </c>
      <c r="AI31" s="3">
        <v>3.55</v>
      </c>
      <c r="AJ31" s="3">
        <f t="shared" si="20"/>
        <v>3.55</v>
      </c>
      <c r="AK31" s="4" t="str">
        <f t="shared" si="21"/>
        <v/>
      </c>
      <c r="AL31" s="3">
        <v>5.5</v>
      </c>
      <c r="AM31" s="3">
        <f t="shared" si="22"/>
        <v>5.5</v>
      </c>
      <c r="AN31" s="4">
        <f t="shared" si="23"/>
        <v>5.5</v>
      </c>
      <c r="AO31" s="3">
        <v>3.1</v>
      </c>
      <c r="AP31" s="3">
        <f t="shared" si="24"/>
        <v>3.1</v>
      </c>
      <c r="AQ31" s="4" t="str">
        <f t="shared" si="25"/>
        <v/>
      </c>
      <c r="AR31" s="3">
        <v>3.72</v>
      </c>
      <c r="AS31" s="3">
        <f t="shared" si="26"/>
        <v>3.72</v>
      </c>
      <c r="AT31" s="4">
        <f t="shared" si="27"/>
        <v>3.72</v>
      </c>
      <c r="AU31" s="3">
        <v>3.08</v>
      </c>
      <c r="AV31" s="3">
        <f t="shared" si="28"/>
        <v>3.08</v>
      </c>
      <c r="AW31" s="4">
        <f t="shared" si="29"/>
        <v>3.08</v>
      </c>
      <c r="AX31" s="3">
        <v>3.43</v>
      </c>
      <c r="AY31" s="3">
        <f t="shared" si="30"/>
        <v>3.43</v>
      </c>
      <c r="AZ31" s="21">
        <f t="shared" si="31"/>
        <v>3.43</v>
      </c>
      <c r="BB31" s="20" t="s">
        <v>252</v>
      </c>
      <c r="BC31" s="3">
        <v>3.9</v>
      </c>
      <c r="BD31" s="3">
        <f t="shared" si="32"/>
        <v>3.9</v>
      </c>
      <c r="BE31" s="4">
        <f t="shared" si="33"/>
        <v>3.9</v>
      </c>
      <c r="BF31" s="3">
        <v>4.34</v>
      </c>
      <c r="BG31" s="3">
        <f t="shared" si="34"/>
        <v>4.34</v>
      </c>
      <c r="BH31" s="4">
        <f t="shared" si="35"/>
        <v>4.34</v>
      </c>
      <c r="BI31" s="3">
        <v>4.1399999999999997</v>
      </c>
      <c r="BJ31" s="3">
        <f t="shared" si="36"/>
        <v>4.1399999999999997</v>
      </c>
      <c r="BK31" s="4">
        <f t="shared" si="37"/>
        <v>4.1399999999999997</v>
      </c>
      <c r="BL31" s="3">
        <v>4.32</v>
      </c>
      <c r="BM31" s="3">
        <f t="shared" si="38"/>
        <v>4.32</v>
      </c>
      <c r="BN31" s="4">
        <f t="shared" si="39"/>
        <v>4.32</v>
      </c>
      <c r="BO31" s="3">
        <v>3.59</v>
      </c>
      <c r="BP31" s="3">
        <f t="shared" si="40"/>
        <v>3.59</v>
      </c>
      <c r="BQ31" s="4">
        <f t="shared" si="41"/>
        <v>3.59</v>
      </c>
      <c r="BR31" s="3">
        <v>3.14</v>
      </c>
      <c r="BS31" s="3">
        <f t="shared" si="42"/>
        <v>3.14</v>
      </c>
      <c r="BT31" s="4">
        <f t="shared" si="43"/>
        <v>3.14</v>
      </c>
      <c r="BU31" s="3">
        <v>1.61</v>
      </c>
      <c r="BV31" s="3">
        <f t="shared" si="44"/>
        <v>1.61</v>
      </c>
      <c r="BW31" s="4">
        <f t="shared" si="45"/>
        <v>1.61</v>
      </c>
      <c r="BX31" s="3">
        <v>1.21</v>
      </c>
      <c r="BY31" s="3">
        <f t="shared" si="46"/>
        <v>1.21</v>
      </c>
      <c r="BZ31" s="21">
        <f t="shared" si="47"/>
        <v>1.21</v>
      </c>
      <c r="CB31" s="20" t="s">
        <v>253</v>
      </c>
      <c r="CC31" s="3">
        <v>4.16</v>
      </c>
      <c r="CD31" s="3">
        <f t="shared" si="48"/>
        <v>4.16</v>
      </c>
      <c r="CE31" s="4">
        <f t="shared" si="49"/>
        <v>4.16</v>
      </c>
      <c r="CF31" s="3">
        <v>6.07</v>
      </c>
      <c r="CG31" s="3">
        <f t="shared" si="50"/>
        <v>6.07</v>
      </c>
      <c r="CH31" s="4">
        <f t="shared" si="51"/>
        <v>6.07</v>
      </c>
      <c r="CI31" s="3">
        <v>3.79</v>
      </c>
      <c r="CJ31" s="3">
        <f t="shared" si="52"/>
        <v>3.79</v>
      </c>
      <c r="CK31" s="4">
        <f t="shared" si="53"/>
        <v>3.79</v>
      </c>
      <c r="CL31" s="3">
        <v>5.16</v>
      </c>
      <c r="CM31" s="3">
        <f t="shared" si="54"/>
        <v>5.16</v>
      </c>
      <c r="CN31" s="4">
        <f t="shared" si="55"/>
        <v>5.16</v>
      </c>
      <c r="CO31" s="3">
        <v>5.51</v>
      </c>
      <c r="CP31" s="3">
        <f t="shared" si="56"/>
        <v>5.51</v>
      </c>
      <c r="CQ31" s="4">
        <f t="shared" si="57"/>
        <v>5.51</v>
      </c>
      <c r="CR31" s="3">
        <v>1.83</v>
      </c>
      <c r="CS31" s="3">
        <f t="shared" si="58"/>
        <v>1.83</v>
      </c>
      <c r="CT31" s="4">
        <f t="shared" si="59"/>
        <v>1.83</v>
      </c>
      <c r="CU31" s="3">
        <v>1.27</v>
      </c>
      <c r="CV31" s="3">
        <f t="shared" si="60"/>
        <v>1.27</v>
      </c>
      <c r="CW31" s="4" t="str">
        <f t="shared" si="61"/>
        <v/>
      </c>
      <c r="CX31" s="3">
        <v>3.13</v>
      </c>
      <c r="CY31" s="3">
        <f t="shared" si="62"/>
        <v>3.13</v>
      </c>
      <c r="CZ31" s="21">
        <f t="shared" si="63"/>
        <v>3.13</v>
      </c>
      <c r="DB31" s="20" t="s">
        <v>254</v>
      </c>
      <c r="DC31" s="3">
        <v>2.21</v>
      </c>
      <c r="DD31" s="3">
        <f t="shared" si="64"/>
        <v>2.21</v>
      </c>
      <c r="DE31" s="4">
        <f t="shared" si="65"/>
        <v>2.21</v>
      </c>
      <c r="DF31" s="3">
        <v>0</v>
      </c>
      <c r="DG31" s="3" t="str">
        <f t="shared" si="66"/>
        <v/>
      </c>
      <c r="DH31" s="4" t="str">
        <f t="shared" si="67"/>
        <v/>
      </c>
      <c r="DI31" s="3">
        <v>2.59</v>
      </c>
      <c r="DJ31" s="3">
        <f t="shared" si="68"/>
        <v>2.59</v>
      </c>
      <c r="DK31" s="4">
        <f t="shared" si="69"/>
        <v>2.59</v>
      </c>
      <c r="DL31" s="3">
        <v>3.56</v>
      </c>
      <c r="DM31" s="3">
        <f t="shared" si="127"/>
        <v>3.56</v>
      </c>
      <c r="DN31" s="4">
        <f t="shared" si="70"/>
        <v>3.56</v>
      </c>
      <c r="DO31" s="3">
        <v>1.37</v>
      </c>
      <c r="DP31" s="3">
        <f t="shared" si="71"/>
        <v>1.37</v>
      </c>
      <c r="DQ31" s="4">
        <f t="shared" si="72"/>
        <v>1.37</v>
      </c>
      <c r="DR31" s="3">
        <v>1.37</v>
      </c>
      <c r="DS31" s="3">
        <f t="shared" si="73"/>
        <v>1.37</v>
      </c>
      <c r="DT31" s="4">
        <f t="shared" si="74"/>
        <v>1.37</v>
      </c>
      <c r="DU31" s="3">
        <v>1.17</v>
      </c>
      <c r="DV31" s="3">
        <f t="shared" si="75"/>
        <v>1.17</v>
      </c>
      <c r="DW31" s="4">
        <f t="shared" si="76"/>
        <v>1.17</v>
      </c>
      <c r="DX31" s="3">
        <v>1.17</v>
      </c>
      <c r="DY31" s="3">
        <f t="shared" si="77"/>
        <v>1.17</v>
      </c>
      <c r="DZ31" s="21" t="str">
        <f t="shared" si="78"/>
        <v/>
      </c>
      <c r="EB31" s="20" t="s">
        <v>255</v>
      </c>
      <c r="EC31" s="3">
        <v>0.62</v>
      </c>
      <c r="ED31" s="3">
        <f t="shared" si="79"/>
        <v>0.62</v>
      </c>
      <c r="EE31" s="4">
        <f t="shared" si="80"/>
        <v>0.62</v>
      </c>
      <c r="EF31" s="3">
        <v>3.56</v>
      </c>
      <c r="EG31" s="3">
        <f t="shared" si="81"/>
        <v>3.56</v>
      </c>
      <c r="EH31" s="4">
        <f t="shared" si="82"/>
        <v>3.56</v>
      </c>
      <c r="EI31" s="3">
        <v>0.33</v>
      </c>
      <c r="EJ31" s="3">
        <f t="shared" si="83"/>
        <v>0.33</v>
      </c>
      <c r="EK31" s="4">
        <f t="shared" si="84"/>
        <v>0.33</v>
      </c>
      <c r="EL31" s="3">
        <v>1.61</v>
      </c>
      <c r="EM31" s="3">
        <f t="shared" si="85"/>
        <v>1.61</v>
      </c>
      <c r="EN31" s="4">
        <f t="shared" si="86"/>
        <v>1.61</v>
      </c>
      <c r="EO31" s="3">
        <v>2.21</v>
      </c>
      <c r="EP31" s="3">
        <f t="shared" si="87"/>
        <v>2.21</v>
      </c>
      <c r="EQ31" s="4">
        <f t="shared" si="88"/>
        <v>2.21</v>
      </c>
      <c r="ER31" s="3">
        <v>1.89</v>
      </c>
      <c r="ES31" s="3">
        <f t="shared" si="89"/>
        <v>1.89</v>
      </c>
      <c r="ET31" s="4">
        <f t="shared" si="90"/>
        <v>1.89</v>
      </c>
      <c r="EU31" s="3">
        <v>0.73</v>
      </c>
      <c r="EV31" s="3">
        <f t="shared" si="91"/>
        <v>0.73</v>
      </c>
      <c r="EW31" s="4">
        <f t="shared" si="92"/>
        <v>0.73</v>
      </c>
      <c r="EX31" s="3">
        <v>1.17</v>
      </c>
      <c r="EY31" s="3">
        <f t="shared" si="93"/>
        <v>1.17</v>
      </c>
      <c r="EZ31" s="21">
        <f t="shared" si="94"/>
        <v>1.17</v>
      </c>
      <c r="FB31" s="20" t="s">
        <v>256</v>
      </c>
      <c r="FC31" s="3">
        <v>12.69</v>
      </c>
      <c r="FD31" s="3">
        <f t="shared" si="95"/>
        <v>12.69</v>
      </c>
      <c r="FE31" s="4">
        <f t="shared" si="96"/>
        <v>12.69</v>
      </c>
      <c r="FF31" s="3">
        <v>1.37</v>
      </c>
      <c r="FG31" s="3">
        <f t="shared" si="97"/>
        <v>1.37</v>
      </c>
      <c r="FH31" s="4">
        <f t="shared" si="98"/>
        <v>1.37</v>
      </c>
      <c r="FI31" s="3">
        <v>1.89</v>
      </c>
      <c r="FJ31" s="3">
        <f t="shared" si="99"/>
        <v>1.89</v>
      </c>
      <c r="FK31" s="4">
        <f t="shared" si="100"/>
        <v>1.89</v>
      </c>
      <c r="FL31" s="3">
        <v>3.56</v>
      </c>
      <c r="FM31" s="3">
        <f t="shared" si="101"/>
        <v>3.56</v>
      </c>
      <c r="FN31" s="4">
        <f t="shared" si="102"/>
        <v>3.56</v>
      </c>
      <c r="FO31" s="3">
        <v>1.61</v>
      </c>
      <c r="FP31" s="3">
        <f t="shared" si="103"/>
        <v>1.61</v>
      </c>
      <c r="FQ31" s="4">
        <f t="shared" si="104"/>
        <v>1.61</v>
      </c>
      <c r="FR31" s="3">
        <v>2.21</v>
      </c>
      <c r="FS31" s="3">
        <f t="shared" si="105"/>
        <v>2.21</v>
      </c>
      <c r="FT31" s="4">
        <f t="shared" si="106"/>
        <v>2.21</v>
      </c>
      <c r="FU31" s="3">
        <v>0.24</v>
      </c>
      <c r="FV31" s="3">
        <f t="shared" si="107"/>
        <v>0.24</v>
      </c>
      <c r="FW31" s="4">
        <f t="shared" si="108"/>
        <v>0.24</v>
      </c>
      <c r="FX31" s="3">
        <v>0.2</v>
      </c>
      <c r="FY31" s="3">
        <f t="shared" si="109"/>
        <v>0.2</v>
      </c>
      <c r="FZ31" s="21">
        <f t="shared" si="110"/>
        <v>0.2</v>
      </c>
      <c r="GB31" s="20" t="s">
        <v>257</v>
      </c>
      <c r="GC31" s="3">
        <v>0.85</v>
      </c>
      <c r="GD31" s="3">
        <f t="shared" si="111"/>
        <v>0.85</v>
      </c>
      <c r="GE31" s="4">
        <f t="shared" si="112"/>
        <v>0.85</v>
      </c>
      <c r="GF31" s="3">
        <v>1.17</v>
      </c>
      <c r="GG31" s="3">
        <f t="shared" si="113"/>
        <v>1.17</v>
      </c>
      <c r="GH31" s="4">
        <f t="shared" si="114"/>
        <v>1.17</v>
      </c>
      <c r="GI31" s="3">
        <v>0.11</v>
      </c>
      <c r="GJ31" s="3">
        <f t="shared" si="115"/>
        <v>0.11</v>
      </c>
      <c r="GK31" s="4" t="str">
        <f t="shared" si="116"/>
        <v/>
      </c>
      <c r="GL31" s="3">
        <v>2.21</v>
      </c>
      <c r="GM31" s="3">
        <f t="shared" si="117"/>
        <v>2.21</v>
      </c>
      <c r="GN31" s="4">
        <f t="shared" si="118"/>
        <v>2.21</v>
      </c>
      <c r="GO31" s="3">
        <v>0.85</v>
      </c>
      <c r="GP31" s="3">
        <f t="shared" si="119"/>
        <v>0.85</v>
      </c>
      <c r="GQ31" s="4" t="str">
        <f t="shared" si="120"/>
        <v/>
      </c>
      <c r="GR31" s="3">
        <v>0.39</v>
      </c>
      <c r="GS31" s="3">
        <f t="shared" si="121"/>
        <v>0.39</v>
      </c>
      <c r="GT31" s="4" t="str">
        <f t="shared" si="122"/>
        <v/>
      </c>
      <c r="GU31" s="3">
        <v>0.28000000000000003</v>
      </c>
      <c r="GV31" s="3">
        <f t="shared" si="123"/>
        <v>0.28000000000000003</v>
      </c>
      <c r="GW31" s="4">
        <f t="shared" si="124"/>
        <v>0.28000000000000003</v>
      </c>
      <c r="GX31" s="3">
        <v>3.04</v>
      </c>
      <c r="GY31" s="3">
        <f t="shared" si="125"/>
        <v>3.04</v>
      </c>
      <c r="GZ31" s="21">
        <f t="shared" si="126"/>
        <v>3.04</v>
      </c>
    </row>
    <row r="32" spans="2:208">
      <c r="B32" s="20" t="s">
        <v>258</v>
      </c>
      <c r="C32" s="3">
        <v>3.02</v>
      </c>
      <c r="D32" s="3">
        <f t="shared" si="0"/>
        <v>3.02</v>
      </c>
      <c r="E32" s="4">
        <f t="shared" si="1"/>
        <v>3.02</v>
      </c>
      <c r="F32" s="3">
        <v>4.37</v>
      </c>
      <c r="G32" s="3">
        <f t="shared" si="2"/>
        <v>4.37</v>
      </c>
      <c r="H32" s="4">
        <f t="shared" si="3"/>
        <v>4.37</v>
      </c>
      <c r="I32" s="3">
        <v>5.28</v>
      </c>
      <c r="J32" s="3">
        <f t="shared" si="4"/>
        <v>5.28</v>
      </c>
      <c r="K32" s="4">
        <f t="shared" si="5"/>
        <v>5.28</v>
      </c>
      <c r="L32" s="3">
        <v>5.28</v>
      </c>
      <c r="M32" s="3">
        <f t="shared" si="6"/>
        <v>5.28</v>
      </c>
      <c r="N32" s="4">
        <f t="shared" si="7"/>
        <v>5.28</v>
      </c>
      <c r="O32" s="3">
        <v>4.32</v>
      </c>
      <c r="P32" s="3">
        <f t="shared" si="8"/>
        <v>4.32</v>
      </c>
      <c r="Q32" s="4">
        <f t="shared" si="9"/>
        <v>4.32</v>
      </c>
      <c r="R32" s="3">
        <v>4.83</v>
      </c>
      <c r="S32" s="3">
        <f t="shared" si="10"/>
        <v>4.83</v>
      </c>
      <c r="T32" s="4">
        <f t="shared" si="11"/>
        <v>4.83</v>
      </c>
      <c r="U32" s="3">
        <v>1.74</v>
      </c>
      <c r="V32" s="3">
        <f t="shared" si="12"/>
        <v>1.74</v>
      </c>
      <c r="W32" s="4">
        <f t="shared" si="13"/>
        <v>1.74</v>
      </c>
      <c r="X32" s="3">
        <v>2.21</v>
      </c>
      <c r="Y32" s="3">
        <f t="shared" si="14"/>
        <v>2.21</v>
      </c>
      <c r="Z32" s="21">
        <f t="shared" si="15"/>
        <v>2.21</v>
      </c>
      <c r="AB32" s="20" t="s">
        <v>259</v>
      </c>
      <c r="AC32" s="3">
        <v>2.85</v>
      </c>
      <c r="AD32" s="3">
        <f t="shared" si="16"/>
        <v>2.85</v>
      </c>
      <c r="AE32" s="4">
        <f t="shared" si="17"/>
        <v>2.85</v>
      </c>
      <c r="AF32" s="3">
        <v>5.29</v>
      </c>
      <c r="AG32" s="3">
        <f t="shared" si="18"/>
        <v>5.29</v>
      </c>
      <c r="AH32" s="4">
        <f t="shared" si="19"/>
        <v>5.29</v>
      </c>
      <c r="AI32" s="3">
        <v>5.16</v>
      </c>
      <c r="AJ32" s="3">
        <f t="shared" si="20"/>
        <v>5.16</v>
      </c>
      <c r="AK32" s="4">
        <f t="shared" si="21"/>
        <v>5.16</v>
      </c>
      <c r="AL32" s="3">
        <v>6.05</v>
      </c>
      <c r="AM32" s="3">
        <f t="shared" si="22"/>
        <v>6.05</v>
      </c>
      <c r="AN32" s="4">
        <f t="shared" si="23"/>
        <v>6.05</v>
      </c>
      <c r="AO32" s="3">
        <v>5.36</v>
      </c>
      <c r="AP32" s="3">
        <f t="shared" si="24"/>
        <v>5.36</v>
      </c>
      <c r="AQ32" s="4">
        <f t="shared" si="25"/>
        <v>5.36</v>
      </c>
      <c r="AR32" s="3">
        <v>3.72</v>
      </c>
      <c r="AS32" s="3">
        <f t="shared" si="26"/>
        <v>3.72</v>
      </c>
      <c r="AT32" s="4">
        <f t="shared" si="27"/>
        <v>3.72</v>
      </c>
      <c r="AU32" s="3">
        <v>1.18</v>
      </c>
      <c r="AV32" s="3">
        <f t="shared" si="28"/>
        <v>1.18</v>
      </c>
      <c r="AW32" s="4" t="str">
        <f t="shared" si="29"/>
        <v/>
      </c>
      <c r="AX32" s="3">
        <v>3.47</v>
      </c>
      <c r="AY32" s="3">
        <f t="shared" si="30"/>
        <v>3.47</v>
      </c>
      <c r="AZ32" s="21">
        <f t="shared" si="31"/>
        <v>3.47</v>
      </c>
      <c r="BB32" s="20" t="s">
        <v>260</v>
      </c>
      <c r="BC32" s="3">
        <v>3.94</v>
      </c>
      <c r="BD32" s="3">
        <f t="shared" si="32"/>
        <v>3.94</v>
      </c>
      <c r="BE32" s="4">
        <f t="shared" si="33"/>
        <v>3.94</v>
      </c>
      <c r="BF32" s="3">
        <v>4.26</v>
      </c>
      <c r="BG32" s="3">
        <f t="shared" si="34"/>
        <v>4.26</v>
      </c>
      <c r="BH32" s="4">
        <f t="shared" si="35"/>
        <v>4.26</v>
      </c>
      <c r="BI32" s="3">
        <v>2.76</v>
      </c>
      <c r="BJ32" s="3">
        <f t="shared" si="36"/>
        <v>2.76</v>
      </c>
      <c r="BK32" s="4" t="str">
        <f t="shared" si="37"/>
        <v/>
      </c>
      <c r="BL32" s="3">
        <v>4.3</v>
      </c>
      <c r="BM32" s="3">
        <f t="shared" si="38"/>
        <v>4.3</v>
      </c>
      <c r="BN32" s="4">
        <f t="shared" si="39"/>
        <v>4.3</v>
      </c>
      <c r="BO32" s="3">
        <v>3.62</v>
      </c>
      <c r="BP32" s="3">
        <f t="shared" si="40"/>
        <v>3.62</v>
      </c>
      <c r="BQ32" s="4">
        <f t="shared" si="41"/>
        <v>3.62</v>
      </c>
      <c r="BR32" s="3">
        <v>3.13</v>
      </c>
      <c r="BS32" s="3">
        <f t="shared" si="42"/>
        <v>3.13</v>
      </c>
      <c r="BT32" s="4">
        <f t="shared" si="43"/>
        <v>3.13</v>
      </c>
      <c r="BU32" s="3">
        <v>1.6</v>
      </c>
      <c r="BV32" s="3">
        <f t="shared" si="44"/>
        <v>1.6</v>
      </c>
      <c r="BW32" s="4">
        <f t="shared" si="45"/>
        <v>1.6</v>
      </c>
      <c r="BX32" s="3">
        <v>1.22</v>
      </c>
      <c r="BY32" s="3">
        <f t="shared" si="46"/>
        <v>1.22</v>
      </c>
      <c r="BZ32" s="21">
        <f t="shared" si="47"/>
        <v>1.22</v>
      </c>
      <c r="CB32" s="20" t="s">
        <v>261</v>
      </c>
      <c r="CC32" s="3">
        <v>4.1500000000000004</v>
      </c>
      <c r="CD32" s="3">
        <f t="shared" si="48"/>
        <v>4.1500000000000004</v>
      </c>
      <c r="CE32" s="4">
        <f t="shared" si="49"/>
        <v>4.1500000000000004</v>
      </c>
      <c r="CF32" s="3">
        <v>6.11</v>
      </c>
      <c r="CG32" s="3">
        <f t="shared" si="50"/>
        <v>6.11</v>
      </c>
      <c r="CH32" s="4">
        <f t="shared" si="51"/>
        <v>6.11</v>
      </c>
      <c r="CI32" s="3">
        <v>3.76</v>
      </c>
      <c r="CJ32" s="3">
        <f t="shared" si="52"/>
        <v>3.76</v>
      </c>
      <c r="CK32" s="4">
        <f t="shared" si="53"/>
        <v>3.76</v>
      </c>
      <c r="CL32" s="3">
        <v>5.12</v>
      </c>
      <c r="CM32" s="3">
        <f t="shared" si="54"/>
        <v>5.12</v>
      </c>
      <c r="CN32" s="4">
        <f t="shared" si="55"/>
        <v>5.12</v>
      </c>
      <c r="CO32" s="3">
        <v>5.45</v>
      </c>
      <c r="CP32" s="3">
        <f t="shared" si="56"/>
        <v>5.45</v>
      </c>
      <c r="CQ32" s="4">
        <f t="shared" si="57"/>
        <v>5.45</v>
      </c>
      <c r="CR32" s="3">
        <v>1.86</v>
      </c>
      <c r="CS32" s="3">
        <f t="shared" si="58"/>
        <v>1.86</v>
      </c>
      <c r="CT32" s="4">
        <f t="shared" si="59"/>
        <v>1.86</v>
      </c>
      <c r="CU32" s="3">
        <v>3.74</v>
      </c>
      <c r="CV32" s="3">
        <f t="shared" si="60"/>
        <v>3.74</v>
      </c>
      <c r="CW32" s="4">
        <f t="shared" si="61"/>
        <v>3.74</v>
      </c>
      <c r="CX32" s="3">
        <v>3.13</v>
      </c>
      <c r="CY32" s="3">
        <f t="shared" si="62"/>
        <v>3.13</v>
      </c>
      <c r="CZ32" s="21">
        <f t="shared" si="63"/>
        <v>3.13</v>
      </c>
      <c r="DB32" s="20" t="s">
        <v>262</v>
      </c>
      <c r="DC32" s="3">
        <v>2.59</v>
      </c>
      <c r="DD32" s="3">
        <f t="shared" si="64"/>
        <v>2.59</v>
      </c>
      <c r="DE32" s="4">
        <f t="shared" si="65"/>
        <v>2.59</v>
      </c>
      <c r="DF32" s="3">
        <v>1.17</v>
      </c>
      <c r="DG32" s="3">
        <f t="shared" si="66"/>
        <v>1.17</v>
      </c>
      <c r="DH32" s="4">
        <f t="shared" si="67"/>
        <v>1.17</v>
      </c>
      <c r="DI32" s="3">
        <v>2.59</v>
      </c>
      <c r="DJ32" s="3">
        <f t="shared" si="68"/>
        <v>2.59</v>
      </c>
      <c r="DK32" s="4">
        <f t="shared" si="69"/>
        <v>2.59</v>
      </c>
      <c r="DL32" s="3">
        <v>3.56</v>
      </c>
      <c r="DM32" s="3">
        <f t="shared" si="127"/>
        <v>3.56</v>
      </c>
      <c r="DN32" s="4">
        <f t="shared" si="70"/>
        <v>3.56</v>
      </c>
      <c r="DO32" s="3">
        <v>1.37</v>
      </c>
      <c r="DP32" s="3">
        <f t="shared" si="71"/>
        <v>1.37</v>
      </c>
      <c r="DQ32" s="4">
        <f t="shared" si="72"/>
        <v>1.37</v>
      </c>
      <c r="DR32" s="3">
        <v>1.17</v>
      </c>
      <c r="DS32" s="3">
        <f t="shared" si="73"/>
        <v>1.17</v>
      </c>
      <c r="DT32" s="4">
        <f t="shared" si="74"/>
        <v>1.17</v>
      </c>
      <c r="DU32" s="3">
        <v>1.17</v>
      </c>
      <c r="DV32" s="3">
        <f t="shared" si="75"/>
        <v>1.17</v>
      </c>
      <c r="DW32" s="4">
        <f t="shared" si="76"/>
        <v>1.17</v>
      </c>
      <c r="DX32" s="3">
        <v>0</v>
      </c>
      <c r="DY32" s="3" t="str">
        <f t="shared" si="77"/>
        <v/>
      </c>
      <c r="DZ32" s="21" t="str">
        <f t="shared" si="78"/>
        <v/>
      </c>
      <c r="EB32" s="20" t="s">
        <v>263</v>
      </c>
      <c r="EC32" s="3">
        <v>0.53</v>
      </c>
      <c r="ED32" s="3">
        <f t="shared" si="79"/>
        <v>0.53</v>
      </c>
      <c r="EE32" s="4">
        <f t="shared" si="80"/>
        <v>0.53</v>
      </c>
      <c r="EF32" s="3">
        <v>4.18</v>
      </c>
      <c r="EG32" s="3">
        <f t="shared" si="81"/>
        <v>4.18</v>
      </c>
      <c r="EH32" s="4">
        <f t="shared" si="82"/>
        <v>4.18</v>
      </c>
      <c r="EI32" s="3">
        <v>5.74</v>
      </c>
      <c r="EJ32" s="3">
        <f t="shared" si="83"/>
        <v>5.74</v>
      </c>
      <c r="EK32" s="4" t="str">
        <f t="shared" si="84"/>
        <v/>
      </c>
      <c r="EL32" s="3">
        <v>1.61</v>
      </c>
      <c r="EM32" s="3">
        <f t="shared" si="85"/>
        <v>1.61</v>
      </c>
      <c r="EN32" s="4">
        <f t="shared" si="86"/>
        <v>1.61</v>
      </c>
      <c r="EO32" s="3">
        <v>2.59</v>
      </c>
      <c r="EP32" s="3">
        <f t="shared" si="87"/>
        <v>2.59</v>
      </c>
      <c r="EQ32" s="4">
        <f t="shared" si="88"/>
        <v>2.59</v>
      </c>
      <c r="ER32" s="3">
        <v>1.89</v>
      </c>
      <c r="ES32" s="3">
        <f t="shared" si="89"/>
        <v>1.89</v>
      </c>
      <c r="ET32" s="4">
        <f t="shared" si="90"/>
        <v>1.89</v>
      </c>
      <c r="EU32" s="3">
        <v>0.73</v>
      </c>
      <c r="EV32" s="3">
        <f t="shared" si="91"/>
        <v>0.73</v>
      </c>
      <c r="EW32" s="4">
        <f t="shared" si="92"/>
        <v>0.73</v>
      </c>
      <c r="EX32" s="3">
        <v>4.18</v>
      </c>
      <c r="EY32" s="3">
        <f t="shared" si="93"/>
        <v>4.18</v>
      </c>
      <c r="EZ32" s="21" t="str">
        <f t="shared" si="94"/>
        <v/>
      </c>
      <c r="FB32" s="20" t="s">
        <v>264</v>
      </c>
      <c r="FC32" s="3">
        <v>10.83</v>
      </c>
      <c r="FD32" s="3">
        <f t="shared" si="95"/>
        <v>10.83</v>
      </c>
      <c r="FE32" s="4">
        <f t="shared" si="96"/>
        <v>10.83</v>
      </c>
      <c r="FF32" s="3">
        <v>0.85</v>
      </c>
      <c r="FG32" s="3">
        <f t="shared" si="97"/>
        <v>0.85</v>
      </c>
      <c r="FH32" s="4" t="str">
        <f t="shared" si="98"/>
        <v/>
      </c>
      <c r="FI32" s="3">
        <v>0.2</v>
      </c>
      <c r="FJ32" s="3">
        <f t="shared" si="99"/>
        <v>0.2</v>
      </c>
      <c r="FK32" s="4">
        <f t="shared" si="100"/>
        <v>0.2</v>
      </c>
      <c r="FL32" s="3">
        <v>1.89</v>
      </c>
      <c r="FM32" s="3">
        <f t="shared" si="101"/>
        <v>1.89</v>
      </c>
      <c r="FN32" s="4" t="str">
        <f t="shared" si="102"/>
        <v/>
      </c>
      <c r="FO32" s="3">
        <v>1.37</v>
      </c>
      <c r="FP32" s="3">
        <f t="shared" si="103"/>
        <v>1.37</v>
      </c>
      <c r="FQ32" s="4" t="str">
        <f t="shared" si="104"/>
        <v/>
      </c>
      <c r="FR32" s="3">
        <v>0.85</v>
      </c>
      <c r="FS32" s="3">
        <f t="shared" si="105"/>
        <v>0.85</v>
      </c>
      <c r="FT32" s="4" t="str">
        <f t="shared" si="106"/>
        <v/>
      </c>
      <c r="FU32" s="3">
        <v>0.17</v>
      </c>
      <c r="FV32" s="3">
        <f t="shared" si="107"/>
        <v>0.17</v>
      </c>
      <c r="FW32" s="4">
        <f t="shared" si="108"/>
        <v>0.17</v>
      </c>
      <c r="FX32" s="3">
        <v>0.24</v>
      </c>
      <c r="FY32" s="3">
        <f t="shared" si="109"/>
        <v>0.24</v>
      </c>
      <c r="FZ32" s="21">
        <f t="shared" si="110"/>
        <v>0.24</v>
      </c>
      <c r="GB32" s="20" t="s">
        <v>265</v>
      </c>
      <c r="GC32" s="3">
        <v>0</v>
      </c>
      <c r="GD32" s="3" t="str">
        <f t="shared" si="111"/>
        <v/>
      </c>
      <c r="GE32" s="4" t="str">
        <f t="shared" si="112"/>
        <v/>
      </c>
      <c r="GF32" s="3">
        <v>7.88</v>
      </c>
      <c r="GG32" s="3">
        <f t="shared" si="113"/>
        <v>7.88</v>
      </c>
      <c r="GH32" s="4" t="str">
        <f t="shared" si="114"/>
        <v/>
      </c>
      <c r="GI32" s="3">
        <v>0.13</v>
      </c>
      <c r="GJ32" s="3">
        <f t="shared" si="115"/>
        <v>0.13</v>
      </c>
      <c r="GK32" s="4">
        <f t="shared" si="116"/>
        <v>0.13</v>
      </c>
      <c r="GL32" s="3">
        <v>9.24</v>
      </c>
      <c r="GM32" s="3">
        <f t="shared" si="117"/>
        <v>9.24</v>
      </c>
      <c r="GN32" s="4" t="str">
        <f t="shared" si="118"/>
        <v/>
      </c>
      <c r="GO32" s="3">
        <v>1.89</v>
      </c>
      <c r="GP32" s="3">
        <f t="shared" si="119"/>
        <v>1.89</v>
      </c>
      <c r="GQ32" s="4">
        <f t="shared" si="120"/>
        <v>1.89</v>
      </c>
      <c r="GR32" s="3">
        <v>0.33</v>
      </c>
      <c r="GS32" s="3">
        <f t="shared" si="121"/>
        <v>0.33</v>
      </c>
      <c r="GT32" s="4" t="str">
        <f t="shared" si="122"/>
        <v/>
      </c>
      <c r="GU32" s="3">
        <v>0.33</v>
      </c>
      <c r="GV32" s="3">
        <f t="shared" si="123"/>
        <v>0.33</v>
      </c>
      <c r="GW32" s="4">
        <f t="shared" si="124"/>
        <v>0.33</v>
      </c>
      <c r="GX32" s="3">
        <v>3.56</v>
      </c>
      <c r="GY32" s="3">
        <f t="shared" si="125"/>
        <v>3.56</v>
      </c>
      <c r="GZ32" s="21" t="str">
        <f t="shared" si="126"/>
        <v/>
      </c>
    </row>
    <row r="33" spans="2:208">
      <c r="B33" s="20" t="s">
        <v>266</v>
      </c>
      <c r="C33" s="3">
        <v>3.03</v>
      </c>
      <c r="D33" s="3">
        <f t="shared" si="0"/>
        <v>3.03</v>
      </c>
      <c r="E33" s="4">
        <f t="shared" si="1"/>
        <v>3.03</v>
      </c>
      <c r="F33" s="3">
        <v>4.3899999999999997</v>
      </c>
      <c r="G33" s="3">
        <f t="shared" si="2"/>
        <v>4.3899999999999997</v>
      </c>
      <c r="H33" s="4">
        <f t="shared" si="3"/>
        <v>4.3899999999999997</v>
      </c>
      <c r="I33" s="3">
        <v>5.3</v>
      </c>
      <c r="J33" s="3">
        <f t="shared" si="4"/>
        <v>5.3</v>
      </c>
      <c r="K33" s="4">
        <f t="shared" si="5"/>
        <v>5.3</v>
      </c>
      <c r="L33" s="3">
        <v>4.7300000000000004</v>
      </c>
      <c r="M33" s="3">
        <f t="shared" si="6"/>
        <v>4.7300000000000004</v>
      </c>
      <c r="N33" s="4">
        <f t="shared" si="7"/>
        <v>4.7300000000000004</v>
      </c>
      <c r="O33" s="3">
        <v>4.32</v>
      </c>
      <c r="P33" s="3">
        <f t="shared" si="8"/>
        <v>4.32</v>
      </c>
      <c r="Q33" s="4">
        <f t="shared" si="9"/>
        <v>4.32</v>
      </c>
      <c r="R33" s="3">
        <v>4.8099999999999996</v>
      </c>
      <c r="S33" s="3">
        <f t="shared" si="10"/>
        <v>4.8099999999999996</v>
      </c>
      <c r="T33" s="4">
        <f t="shared" si="11"/>
        <v>4.8099999999999996</v>
      </c>
      <c r="U33" s="3">
        <v>1.78</v>
      </c>
      <c r="V33" s="3">
        <f t="shared" si="12"/>
        <v>1.78</v>
      </c>
      <c r="W33" s="4">
        <f t="shared" si="13"/>
        <v>1.78</v>
      </c>
      <c r="X33" s="3">
        <v>2.27</v>
      </c>
      <c r="Y33" s="3">
        <f t="shared" si="14"/>
        <v>2.27</v>
      </c>
      <c r="Z33" s="21">
        <f t="shared" si="15"/>
        <v>2.27</v>
      </c>
      <c r="AB33" s="20" t="s">
        <v>267</v>
      </c>
      <c r="AC33" s="3">
        <v>2.82</v>
      </c>
      <c r="AD33" s="3">
        <f t="shared" si="16"/>
        <v>2.82</v>
      </c>
      <c r="AE33" s="4">
        <f t="shared" si="17"/>
        <v>2.82</v>
      </c>
      <c r="AF33" s="3">
        <v>4.78</v>
      </c>
      <c r="AG33" s="3">
        <f t="shared" si="18"/>
        <v>4.78</v>
      </c>
      <c r="AH33" s="4">
        <f t="shared" si="19"/>
        <v>4.78</v>
      </c>
      <c r="AI33" s="3">
        <v>5.13</v>
      </c>
      <c r="AJ33" s="3">
        <f t="shared" si="20"/>
        <v>5.13</v>
      </c>
      <c r="AK33" s="4">
        <f t="shared" si="21"/>
        <v>5.13</v>
      </c>
      <c r="AL33" s="3">
        <v>3.93</v>
      </c>
      <c r="AM33" s="3">
        <f t="shared" si="22"/>
        <v>3.93</v>
      </c>
      <c r="AN33" s="4" t="str">
        <f t="shared" si="23"/>
        <v/>
      </c>
      <c r="AO33" s="3">
        <v>0</v>
      </c>
      <c r="AP33" s="3" t="str">
        <f t="shared" si="24"/>
        <v/>
      </c>
      <c r="AQ33" s="4" t="str">
        <f t="shared" si="25"/>
        <v/>
      </c>
      <c r="AR33" s="3">
        <v>3.73</v>
      </c>
      <c r="AS33" s="3">
        <f t="shared" si="26"/>
        <v>3.73</v>
      </c>
      <c r="AT33" s="4">
        <f t="shared" si="27"/>
        <v>3.73</v>
      </c>
      <c r="AU33" s="3">
        <v>3.07</v>
      </c>
      <c r="AV33" s="3">
        <f t="shared" si="28"/>
        <v>3.07</v>
      </c>
      <c r="AW33" s="4">
        <f t="shared" si="29"/>
        <v>3.07</v>
      </c>
      <c r="AX33" s="3">
        <v>3.41</v>
      </c>
      <c r="AY33" s="3">
        <f t="shared" si="30"/>
        <v>3.41</v>
      </c>
      <c r="AZ33" s="21">
        <f t="shared" si="31"/>
        <v>3.41</v>
      </c>
      <c r="BB33" s="20" t="s">
        <v>268</v>
      </c>
      <c r="BC33" s="3">
        <v>3.94</v>
      </c>
      <c r="BD33" s="3">
        <f t="shared" si="32"/>
        <v>3.94</v>
      </c>
      <c r="BE33" s="4">
        <f t="shared" si="33"/>
        <v>3.94</v>
      </c>
      <c r="BF33" s="3">
        <v>4.25</v>
      </c>
      <c r="BG33" s="3">
        <f t="shared" si="34"/>
        <v>4.25</v>
      </c>
      <c r="BH33" s="4">
        <f t="shared" si="35"/>
        <v>4.25</v>
      </c>
      <c r="BI33" s="3">
        <v>4.17</v>
      </c>
      <c r="BJ33" s="3">
        <f t="shared" si="36"/>
        <v>4.17</v>
      </c>
      <c r="BK33" s="4">
        <f t="shared" si="37"/>
        <v>4.17</v>
      </c>
      <c r="BL33" s="3">
        <v>4.3</v>
      </c>
      <c r="BM33" s="3">
        <f t="shared" si="38"/>
        <v>4.3</v>
      </c>
      <c r="BN33" s="4">
        <f t="shared" si="39"/>
        <v>4.3</v>
      </c>
      <c r="BO33" s="3">
        <v>3.57</v>
      </c>
      <c r="BP33" s="3">
        <f t="shared" si="40"/>
        <v>3.57</v>
      </c>
      <c r="BQ33" s="4">
        <f t="shared" si="41"/>
        <v>3.57</v>
      </c>
      <c r="BR33" s="3">
        <v>3.12</v>
      </c>
      <c r="BS33" s="3">
        <f t="shared" si="42"/>
        <v>3.12</v>
      </c>
      <c r="BT33" s="4">
        <f t="shared" si="43"/>
        <v>3.12</v>
      </c>
      <c r="BU33" s="3">
        <v>1.62</v>
      </c>
      <c r="BV33" s="3">
        <f t="shared" si="44"/>
        <v>1.62</v>
      </c>
      <c r="BW33" s="4">
        <f t="shared" si="45"/>
        <v>1.62</v>
      </c>
      <c r="BX33" s="3">
        <v>1.29</v>
      </c>
      <c r="BY33" s="3">
        <f t="shared" si="46"/>
        <v>1.29</v>
      </c>
      <c r="BZ33" s="21">
        <f t="shared" si="47"/>
        <v>1.29</v>
      </c>
      <c r="CB33" s="20" t="s">
        <v>269</v>
      </c>
      <c r="CC33" s="3">
        <v>4.16</v>
      </c>
      <c r="CD33" s="3">
        <f t="shared" si="48"/>
        <v>4.16</v>
      </c>
      <c r="CE33" s="4">
        <f t="shared" si="49"/>
        <v>4.16</v>
      </c>
      <c r="CF33" s="3">
        <v>6.08</v>
      </c>
      <c r="CG33" s="3">
        <f t="shared" si="50"/>
        <v>6.08</v>
      </c>
      <c r="CH33" s="4">
        <f t="shared" si="51"/>
        <v>6.08</v>
      </c>
      <c r="CI33" s="3">
        <v>3.76</v>
      </c>
      <c r="CJ33" s="3">
        <f t="shared" si="52"/>
        <v>3.76</v>
      </c>
      <c r="CK33" s="4">
        <f t="shared" si="53"/>
        <v>3.76</v>
      </c>
      <c r="CL33" s="3">
        <v>1.21</v>
      </c>
      <c r="CM33" s="3">
        <f t="shared" si="54"/>
        <v>1.21</v>
      </c>
      <c r="CN33" s="4" t="str">
        <f t="shared" si="55"/>
        <v/>
      </c>
      <c r="CO33" s="3">
        <v>5.47</v>
      </c>
      <c r="CP33" s="3">
        <f t="shared" si="56"/>
        <v>5.47</v>
      </c>
      <c r="CQ33" s="4">
        <f t="shared" si="57"/>
        <v>5.47</v>
      </c>
      <c r="CR33" s="3">
        <v>1.83</v>
      </c>
      <c r="CS33" s="3">
        <f t="shared" si="58"/>
        <v>1.83</v>
      </c>
      <c r="CT33" s="4">
        <f t="shared" si="59"/>
        <v>1.83</v>
      </c>
      <c r="CU33" s="3">
        <v>3.74</v>
      </c>
      <c r="CV33" s="3">
        <f t="shared" si="60"/>
        <v>3.74</v>
      </c>
      <c r="CW33" s="4">
        <f t="shared" si="61"/>
        <v>3.74</v>
      </c>
      <c r="CX33" s="3">
        <v>0</v>
      </c>
      <c r="CY33" s="3" t="str">
        <f t="shared" si="62"/>
        <v/>
      </c>
      <c r="CZ33" s="21" t="str">
        <f t="shared" si="63"/>
        <v/>
      </c>
      <c r="DB33" s="20" t="s">
        <v>270</v>
      </c>
      <c r="DC33" s="3">
        <v>2.59</v>
      </c>
      <c r="DD33" s="3">
        <f t="shared" si="64"/>
        <v>2.59</v>
      </c>
      <c r="DE33" s="4">
        <f t="shared" si="65"/>
        <v>2.59</v>
      </c>
      <c r="DF33" s="3">
        <v>1.17</v>
      </c>
      <c r="DG33" s="3">
        <f t="shared" si="66"/>
        <v>1.17</v>
      </c>
      <c r="DH33" s="4">
        <f t="shared" si="67"/>
        <v>1.17</v>
      </c>
      <c r="DI33" s="3">
        <v>2.59</v>
      </c>
      <c r="DJ33" s="3">
        <f t="shared" si="68"/>
        <v>2.59</v>
      </c>
      <c r="DK33" s="4">
        <f t="shared" si="69"/>
        <v>2.59</v>
      </c>
      <c r="DL33" s="3">
        <v>3.56</v>
      </c>
      <c r="DM33" s="3">
        <f t="shared" si="127"/>
        <v>3.56</v>
      </c>
      <c r="DN33" s="4">
        <f t="shared" si="70"/>
        <v>3.56</v>
      </c>
      <c r="DO33" s="3">
        <v>1.37</v>
      </c>
      <c r="DP33" s="3">
        <f t="shared" si="71"/>
        <v>1.37</v>
      </c>
      <c r="DQ33" s="4">
        <f t="shared" si="72"/>
        <v>1.37</v>
      </c>
      <c r="DR33" s="3">
        <v>5.74</v>
      </c>
      <c r="DS33" s="3">
        <f t="shared" si="73"/>
        <v>5.74</v>
      </c>
      <c r="DT33" s="4">
        <f t="shared" si="74"/>
        <v>5.74</v>
      </c>
      <c r="DU33" s="3">
        <v>0.45</v>
      </c>
      <c r="DV33" s="3">
        <f t="shared" si="75"/>
        <v>0.45</v>
      </c>
      <c r="DW33" s="4" t="str">
        <f t="shared" si="76"/>
        <v/>
      </c>
      <c r="DX33" s="3">
        <v>3.04</v>
      </c>
      <c r="DY33" s="3">
        <f t="shared" si="77"/>
        <v>3.04</v>
      </c>
      <c r="DZ33" s="21">
        <f t="shared" si="78"/>
        <v>3.04</v>
      </c>
      <c r="EB33" s="20" t="s">
        <v>271</v>
      </c>
      <c r="EC33" s="3">
        <v>0.45</v>
      </c>
      <c r="ED33" s="3">
        <f t="shared" si="79"/>
        <v>0.45</v>
      </c>
      <c r="EE33" s="4">
        <f t="shared" si="80"/>
        <v>0.45</v>
      </c>
      <c r="EF33" s="3">
        <v>3.56</v>
      </c>
      <c r="EG33" s="3">
        <f t="shared" si="81"/>
        <v>3.56</v>
      </c>
      <c r="EH33" s="4">
        <f t="shared" si="82"/>
        <v>3.56</v>
      </c>
      <c r="EI33" s="3">
        <v>0.17</v>
      </c>
      <c r="EJ33" s="3">
        <f t="shared" si="83"/>
        <v>0.17</v>
      </c>
      <c r="EK33" s="4">
        <f t="shared" si="84"/>
        <v>0.17</v>
      </c>
      <c r="EL33" s="3">
        <v>1.61</v>
      </c>
      <c r="EM33" s="3">
        <f t="shared" si="85"/>
        <v>1.61</v>
      </c>
      <c r="EN33" s="4">
        <f t="shared" si="86"/>
        <v>1.61</v>
      </c>
      <c r="EO33" s="3">
        <v>2.21</v>
      </c>
      <c r="EP33" s="3">
        <f t="shared" si="87"/>
        <v>2.21</v>
      </c>
      <c r="EQ33" s="4">
        <f t="shared" si="88"/>
        <v>2.21</v>
      </c>
      <c r="ER33" s="3">
        <v>1.89</v>
      </c>
      <c r="ES33" s="3">
        <f t="shared" si="89"/>
        <v>1.89</v>
      </c>
      <c r="ET33" s="4">
        <f t="shared" si="90"/>
        <v>1.89</v>
      </c>
      <c r="EU33" s="3">
        <v>0.73</v>
      </c>
      <c r="EV33" s="3">
        <f t="shared" si="91"/>
        <v>0.73</v>
      </c>
      <c r="EW33" s="4">
        <f t="shared" si="92"/>
        <v>0.73</v>
      </c>
      <c r="EX33" s="3">
        <v>1.17</v>
      </c>
      <c r="EY33" s="3">
        <f t="shared" si="93"/>
        <v>1.17</v>
      </c>
      <c r="EZ33" s="21">
        <f t="shared" si="94"/>
        <v>1.17</v>
      </c>
      <c r="FB33" s="20" t="s">
        <v>272</v>
      </c>
      <c r="FC33" s="3">
        <v>12.69</v>
      </c>
      <c r="FD33" s="3">
        <f t="shared" si="95"/>
        <v>12.69</v>
      </c>
      <c r="FE33" s="4">
        <f t="shared" si="96"/>
        <v>12.69</v>
      </c>
      <c r="FF33" s="3">
        <v>1.37</v>
      </c>
      <c r="FG33" s="3">
        <f t="shared" si="97"/>
        <v>1.37</v>
      </c>
      <c r="FH33" s="4">
        <f t="shared" si="98"/>
        <v>1.37</v>
      </c>
      <c r="FI33" s="3">
        <v>0.2</v>
      </c>
      <c r="FJ33" s="3">
        <f t="shared" si="99"/>
        <v>0.2</v>
      </c>
      <c r="FK33" s="4">
        <f t="shared" si="100"/>
        <v>0.2</v>
      </c>
      <c r="FL33" s="3">
        <v>3.56</v>
      </c>
      <c r="FM33" s="3">
        <f t="shared" si="101"/>
        <v>3.56</v>
      </c>
      <c r="FN33" s="4">
        <f t="shared" si="102"/>
        <v>3.56</v>
      </c>
      <c r="FO33" s="3">
        <v>1.89</v>
      </c>
      <c r="FP33" s="3">
        <f t="shared" si="103"/>
        <v>1.89</v>
      </c>
      <c r="FQ33" s="4">
        <f t="shared" si="104"/>
        <v>1.89</v>
      </c>
      <c r="FR33" s="3">
        <v>2.59</v>
      </c>
      <c r="FS33" s="3">
        <f t="shared" si="105"/>
        <v>2.59</v>
      </c>
      <c r="FT33" s="4">
        <f t="shared" si="106"/>
        <v>2.59</v>
      </c>
      <c r="FU33" s="3">
        <v>0.24</v>
      </c>
      <c r="FV33" s="3">
        <f t="shared" si="107"/>
        <v>0.24</v>
      </c>
      <c r="FW33" s="4">
        <f t="shared" si="108"/>
        <v>0.24</v>
      </c>
      <c r="FX33" s="3">
        <v>0.2</v>
      </c>
      <c r="FY33" s="3">
        <f t="shared" si="109"/>
        <v>0.2</v>
      </c>
      <c r="FZ33" s="21">
        <f t="shared" si="110"/>
        <v>0.2</v>
      </c>
      <c r="GB33" s="20" t="s">
        <v>273</v>
      </c>
      <c r="GC33" s="3">
        <v>0.73</v>
      </c>
      <c r="GD33" s="3">
        <f t="shared" si="111"/>
        <v>0.73</v>
      </c>
      <c r="GE33" s="4" t="str">
        <f t="shared" si="112"/>
        <v/>
      </c>
      <c r="GF33" s="3">
        <v>0.45</v>
      </c>
      <c r="GG33" s="3">
        <f t="shared" si="113"/>
        <v>0.45</v>
      </c>
      <c r="GH33" s="4">
        <f t="shared" si="114"/>
        <v>0.45</v>
      </c>
      <c r="GI33" s="3">
        <v>0.15</v>
      </c>
      <c r="GJ33" s="3">
        <f t="shared" si="115"/>
        <v>0.15</v>
      </c>
      <c r="GK33" s="4">
        <f t="shared" si="116"/>
        <v>0.15</v>
      </c>
      <c r="GL33" s="3">
        <v>1.17</v>
      </c>
      <c r="GM33" s="3">
        <f t="shared" si="117"/>
        <v>1.17</v>
      </c>
      <c r="GN33" s="4">
        <f t="shared" si="118"/>
        <v>1.17</v>
      </c>
      <c r="GO33" s="3">
        <v>0</v>
      </c>
      <c r="GP33" s="3" t="str">
        <f t="shared" si="119"/>
        <v/>
      </c>
      <c r="GQ33" s="4" t="str">
        <f t="shared" si="120"/>
        <v/>
      </c>
      <c r="GR33" s="3">
        <v>0.28000000000000003</v>
      </c>
      <c r="GS33" s="3">
        <f t="shared" si="121"/>
        <v>0.28000000000000003</v>
      </c>
      <c r="GT33" s="4" t="str">
        <f t="shared" si="122"/>
        <v/>
      </c>
      <c r="GU33" s="3">
        <v>0.24</v>
      </c>
      <c r="GV33" s="3">
        <f t="shared" si="123"/>
        <v>0.24</v>
      </c>
      <c r="GW33" s="4" t="str">
        <f t="shared" si="124"/>
        <v/>
      </c>
      <c r="GX33" s="3">
        <v>1.89</v>
      </c>
      <c r="GY33" s="3">
        <f t="shared" si="125"/>
        <v>1.89</v>
      </c>
      <c r="GZ33" s="21">
        <f t="shared" si="126"/>
        <v>1.89</v>
      </c>
    </row>
    <row r="34" spans="2:208">
      <c r="B34" s="20" t="s">
        <v>274</v>
      </c>
      <c r="C34" s="3">
        <v>2.98</v>
      </c>
      <c r="D34" s="3">
        <f t="shared" si="0"/>
        <v>2.98</v>
      </c>
      <c r="E34" s="4">
        <f t="shared" si="1"/>
        <v>2.98</v>
      </c>
      <c r="F34" s="3">
        <v>4.4000000000000004</v>
      </c>
      <c r="G34" s="3">
        <f t="shared" si="2"/>
        <v>4.4000000000000004</v>
      </c>
      <c r="H34" s="4">
        <f t="shared" si="3"/>
        <v>4.4000000000000004</v>
      </c>
      <c r="I34" s="3">
        <v>5.36</v>
      </c>
      <c r="J34" s="3">
        <f t="shared" si="4"/>
        <v>5.36</v>
      </c>
      <c r="K34" s="4">
        <f t="shared" si="5"/>
        <v>5.36</v>
      </c>
      <c r="L34" s="3">
        <v>4.29</v>
      </c>
      <c r="M34" s="3">
        <f t="shared" si="6"/>
        <v>4.29</v>
      </c>
      <c r="N34" s="4">
        <f t="shared" si="7"/>
        <v>4.29</v>
      </c>
      <c r="O34" s="3">
        <v>4.32</v>
      </c>
      <c r="P34" s="3">
        <f t="shared" si="8"/>
        <v>4.32</v>
      </c>
      <c r="Q34" s="4">
        <f t="shared" si="9"/>
        <v>4.32</v>
      </c>
      <c r="R34" s="3">
        <v>4.8099999999999996</v>
      </c>
      <c r="S34" s="3">
        <f t="shared" si="10"/>
        <v>4.8099999999999996</v>
      </c>
      <c r="T34" s="4">
        <f t="shared" si="11"/>
        <v>4.8099999999999996</v>
      </c>
      <c r="U34" s="3">
        <v>1.75</v>
      </c>
      <c r="V34" s="3">
        <f t="shared" si="12"/>
        <v>1.75</v>
      </c>
      <c r="W34" s="4">
        <f t="shared" si="13"/>
        <v>1.75</v>
      </c>
      <c r="X34" s="3">
        <v>3.29</v>
      </c>
      <c r="Y34" s="3">
        <f t="shared" si="14"/>
        <v>3.29</v>
      </c>
      <c r="Z34" s="21" t="str">
        <f t="shared" si="15"/>
        <v/>
      </c>
      <c r="AB34" s="20" t="s">
        <v>275</v>
      </c>
      <c r="AC34" s="3">
        <v>2.85</v>
      </c>
      <c r="AD34" s="3">
        <f t="shared" si="16"/>
        <v>2.85</v>
      </c>
      <c r="AE34" s="4">
        <f t="shared" si="17"/>
        <v>2.85</v>
      </c>
      <c r="AF34" s="3">
        <v>5.48</v>
      </c>
      <c r="AG34" s="3">
        <f t="shared" si="18"/>
        <v>5.48</v>
      </c>
      <c r="AH34" s="4">
        <f t="shared" si="19"/>
        <v>5.48</v>
      </c>
      <c r="AI34" s="3">
        <v>5.16</v>
      </c>
      <c r="AJ34" s="3">
        <f t="shared" si="20"/>
        <v>5.16</v>
      </c>
      <c r="AK34" s="4">
        <f t="shared" si="21"/>
        <v>5.16</v>
      </c>
      <c r="AL34" s="3">
        <v>4.79</v>
      </c>
      <c r="AM34" s="3">
        <f t="shared" si="22"/>
        <v>4.79</v>
      </c>
      <c r="AN34" s="4">
        <f t="shared" si="23"/>
        <v>4.79</v>
      </c>
      <c r="AO34" s="3">
        <v>0</v>
      </c>
      <c r="AP34" s="3" t="str">
        <f t="shared" si="24"/>
        <v/>
      </c>
      <c r="AQ34" s="4" t="str">
        <f t="shared" si="25"/>
        <v/>
      </c>
      <c r="AR34" s="3">
        <v>3.74</v>
      </c>
      <c r="AS34" s="3">
        <f t="shared" si="26"/>
        <v>3.74</v>
      </c>
      <c r="AT34" s="4">
        <f t="shared" si="27"/>
        <v>3.74</v>
      </c>
      <c r="AU34" s="3">
        <v>3.06</v>
      </c>
      <c r="AV34" s="3">
        <f t="shared" si="28"/>
        <v>3.06</v>
      </c>
      <c r="AW34" s="4">
        <f t="shared" si="29"/>
        <v>3.06</v>
      </c>
      <c r="AX34" s="3">
        <v>3.44</v>
      </c>
      <c r="AY34" s="3">
        <f t="shared" si="30"/>
        <v>3.44</v>
      </c>
      <c r="AZ34" s="21">
        <f t="shared" si="31"/>
        <v>3.44</v>
      </c>
      <c r="BB34" s="20" t="s">
        <v>276</v>
      </c>
      <c r="BC34" s="3">
        <v>1.87</v>
      </c>
      <c r="BD34" s="3">
        <f t="shared" si="32"/>
        <v>1.87</v>
      </c>
      <c r="BE34" s="4" t="str">
        <f t="shared" si="33"/>
        <v/>
      </c>
      <c r="BF34" s="3">
        <v>4.25</v>
      </c>
      <c r="BG34" s="3">
        <f t="shared" si="34"/>
        <v>4.25</v>
      </c>
      <c r="BH34" s="4">
        <f t="shared" si="35"/>
        <v>4.25</v>
      </c>
      <c r="BI34" s="3">
        <v>4.0999999999999996</v>
      </c>
      <c r="BJ34" s="3">
        <f t="shared" si="36"/>
        <v>4.0999999999999996</v>
      </c>
      <c r="BK34" s="4">
        <f t="shared" si="37"/>
        <v>4.0999999999999996</v>
      </c>
      <c r="BL34" s="3">
        <v>4.3099999999999996</v>
      </c>
      <c r="BM34" s="3">
        <f t="shared" si="38"/>
        <v>4.3099999999999996</v>
      </c>
      <c r="BN34" s="4">
        <f t="shared" si="39"/>
        <v>4.3099999999999996</v>
      </c>
      <c r="BO34" s="3">
        <v>3.6</v>
      </c>
      <c r="BP34" s="3">
        <f t="shared" si="40"/>
        <v>3.6</v>
      </c>
      <c r="BQ34" s="4">
        <f t="shared" si="41"/>
        <v>3.6</v>
      </c>
      <c r="BR34" s="3">
        <v>3.11</v>
      </c>
      <c r="BS34" s="3">
        <f t="shared" si="42"/>
        <v>3.11</v>
      </c>
      <c r="BT34" s="4">
        <f t="shared" si="43"/>
        <v>3.11</v>
      </c>
      <c r="BU34" s="3">
        <v>1.61</v>
      </c>
      <c r="BV34" s="3">
        <f t="shared" si="44"/>
        <v>1.61</v>
      </c>
      <c r="BW34" s="4">
        <f t="shared" si="45"/>
        <v>1.61</v>
      </c>
      <c r="BX34" s="3">
        <v>1.29</v>
      </c>
      <c r="BY34" s="3">
        <f t="shared" si="46"/>
        <v>1.29</v>
      </c>
      <c r="BZ34" s="21">
        <f t="shared" si="47"/>
        <v>1.29</v>
      </c>
      <c r="CB34" s="20" t="s">
        <v>277</v>
      </c>
      <c r="CC34" s="3">
        <v>4.1500000000000004</v>
      </c>
      <c r="CD34" s="3">
        <f t="shared" si="48"/>
        <v>4.1500000000000004</v>
      </c>
      <c r="CE34" s="4">
        <f t="shared" si="49"/>
        <v>4.1500000000000004</v>
      </c>
      <c r="CF34" s="3">
        <v>6.09</v>
      </c>
      <c r="CG34" s="3">
        <f t="shared" si="50"/>
        <v>6.09</v>
      </c>
      <c r="CH34" s="4">
        <f t="shared" si="51"/>
        <v>6.09</v>
      </c>
      <c r="CI34" s="3">
        <v>3.81</v>
      </c>
      <c r="CJ34" s="3">
        <f t="shared" si="52"/>
        <v>3.81</v>
      </c>
      <c r="CK34" s="4">
        <f t="shared" si="53"/>
        <v>3.81</v>
      </c>
      <c r="CL34" s="3">
        <v>5.13</v>
      </c>
      <c r="CM34" s="3">
        <f t="shared" si="54"/>
        <v>5.13</v>
      </c>
      <c r="CN34" s="4">
        <f t="shared" si="55"/>
        <v>5.13</v>
      </c>
      <c r="CO34" s="3">
        <v>5.45</v>
      </c>
      <c r="CP34" s="3">
        <f t="shared" si="56"/>
        <v>5.45</v>
      </c>
      <c r="CQ34" s="4">
        <f t="shared" si="57"/>
        <v>5.45</v>
      </c>
      <c r="CR34" s="3">
        <v>1.84</v>
      </c>
      <c r="CS34" s="3">
        <f t="shared" si="58"/>
        <v>1.84</v>
      </c>
      <c r="CT34" s="4">
        <f t="shared" si="59"/>
        <v>1.84</v>
      </c>
      <c r="CU34" s="3">
        <v>3.73</v>
      </c>
      <c r="CV34" s="3">
        <f t="shared" si="60"/>
        <v>3.73</v>
      </c>
      <c r="CW34" s="4">
        <f t="shared" si="61"/>
        <v>3.73</v>
      </c>
      <c r="CX34" s="3">
        <v>3.18</v>
      </c>
      <c r="CY34" s="3">
        <f t="shared" si="62"/>
        <v>3.18</v>
      </c>
      <c r="CZ34" s="21">
        <f t="shared" si="63"/>
        <v>3.18</v>
      </c>
      <c r="DB34" s="20" t="s">
        <v>278</v>
      </c>
      <c r="DC34" s="3">
        <v>2.21</v>
      </c>
      <c r="DD34" s="3">
        <f t="shared" si="64"/>
        <v>2.21</v>
      </c>
      <c r="DE34" s="4">
        <f t="shared" si="65"/>
        <v>2.21</v>
      </c>
      <c r="DF34" s="3">
        <v>1.17</v>
      </c>
      <c r="DG34" s="3">
        <f t="shared" si="66"/>
        <v>1.17</v>
      </c>
      <c r="DH34" s="4">
        <f t="shared" si="67"/>
        <v>1.17</v>
      </c>
      <c r="DI34" s="3">
        <v>2.21</v>
      </c>
      <c r="DJ34" s="3">
        <f t="shared" si="68"/>
        <v>2.21</v>
      </c>
      <c r="DK34" s="4">
        <f t="shared" si="69"/>
        <v>2.21</v>
      </c>
      <c r="DL34" s="3">
        <v>3.56</v>
      </c>
      <c r="DM34" s="3">
        <f t="shared" si="127"/>
        <v>3.56</v>
      </c>
      <c r="DN34" s="4">
        <f t="shared" si="70"/>
        <v>3.56</v>
      </c>
      <c r="DO34" s="3">
        <v>1.37</v>
      </c>
      <c r="DP34" s="3">
        <f t="shared" si="71"/>
        <v>1.37</v>
      </c>
      <c r="DQ34" s="4">
        <f t="shared" si="72"/>
        <v>1.37</v>
      </c>
      <c r="DR34" s="3">
        <v>1.17</v>
      </c>
      <c r="DS34" s="3">
        <f t="shared" si="73"/>
        <v>1.17</v>
      </c>
      <c r="DT34" s="4">
        <f t="shared" si="74"/>
        <v>1.17</v>
      </c>
      <c r="DU34" s="3">
        <v>0.33</v>
      </c>
      <c r="DV34" s="3">
        <f t="shared" si="75"/>
        <v>0.33</v>
      </c>
      <c r="DW34" s="4" t="str">
        <f t="shared" si="76"/>
        <v/>
      </c>
      <c r="DX34" s="3">
        <v>0</v>
      </c>
      <c r="DY34" s="3" t="str">
        <f t="shared" si="77"/>
        <v/>
      </c>
      <c r="DZ34" s="21" t="str">
        <f t="shared" si="78"/>
        <v/>
      </c>
      <c r="EB34" s="20" t="s">
        <v>279</v>
      </c>
      <c r="EC34" s="3">
        <v>0.53</v>
      </c>
      <c r="ED34" s="3">
        <f t="shared" si="79"/>
        <v>0.53</v>
      </c>
      <c r="EE34" s="4">
        <f t="shared" si="80"/>
        <v>0.53</v>
      </c>
      <c r="EF34" s="3">
        <v>0.45</v>
      </c>
      <c r="EG34" s="3">
        <f t="shared" si="81"/>
        <v>0.45</v>
      </c>
      <c r="EH34" s="4" t="str">
        <f t="shared" si="82"/>
        <v/>
      </c>
      <c r="EI34" s="3">
        <v>0.15</v>
      </c>
      <c r="EJ34" s="3">
        <f t="shared" si="83"/>
        <v>0.15</v>
      </c>
      <c r="EK34" s="4">
        <f t="shared" si="84"/>
        <v>0.15</v>
      </c>
      <c r="EL34" s="3">
        <v>1.89</v>
      </c>
      <c r="EM34" s="3">
        <f t="shared" si="85"/>
        <v>1.89</v>
      </c>
      <c r="EN34" s="4">
        <f t="shared" si="86"/>
        <v>1.89</v>
      </c>
      <c r="EO34" s="3">
        <v>17.43</v>
      </c>
      <c r="EP34" s="3">
        <f t="shared" si="87"/>
        <v>17.43</v>
      </c>
      <c r="EQ34" s="4" t="str">
        <f t="shared" si="88"/>
        <v/>
      </c>
      <c r="ER34" s="3">
        <v>1.89</v>
      </c>
      <c r="ES34" s="3">
        <f t="shared" si="89"/>
        <v>1.89</v>
      </c>
      <c r="ET34" s="4">
        <f t="shared" si="90"/>
        <v>1.89</v>
      </c>
      <c r="EU34" s="3">
        <v>0.73</v>
      </c>
      <c r="EV34" s="3">
        <f t="shared" si="91"/>
        <v>0.73</v>
      </c>
      <c r="EW34" s="4">
        <f t="shared" si="92"/>
        <v>0.73</v>
      </c>
      <c r="EX34" s="3">
        <v>1.17</v>
      </c>
      <c r="EY34" s="3">
        <f t="shared" si="93"/>
        <v>1.17</v>
      </c>
      <c r="EZ34" s="21">
        <f t="shared" si="94"/>
        <v>1.17</v>
      </c>
      <c r="FB34" s="20" t="s">
        <v>280</v>
      </c>
      <c r="FC34" s="3">
        <v>14.87</v>
      </c>
      <c r="FD34" s="3">
        <f t="shared" si="95"/>
        <v>14.87</v>
      </c>
      <c r="FE34" s="4" t="str">
        <f t="shared" si="96"/>
        <v/>
      </c>
      <c r="FF34" s="3">
        <v>1.37</v>
      </c>
      <c r="FG34" s="3">
        <f t="shared" si="97"/>
        <v>1.37</v>
      </c>
      <c r="FH34" s="4">
        <f t="shared" si="98"/>
        <v>1.37</v>
      </c>
      <c r="FI34" s="3">
        <v>1.61</v>
      </c>
      <c r="FJ34" s="3">
        <f t="shared" si="99"/>
        <v>1.61</v>
      </c>
      <c r="FK34" s="4">
        <f t="shared" si="100"/>
        <v>1.61</v>
      </c>
      <c r="FL34" s="3">
        <v>3.56</v>
      </c>
      <c r="FM34" s="3">
        <f t="shared" si="101"/>
        <v>3.56</v>
      </c>
      <c r="FN34" s="4">
        <f t="shared" si="102"/>
        <v>3.56</v>
      </c>
      <c r="FO34" s="3">
        <v>1.61</v>
      </c>
      <c r="FP34" s="3">
        <f t="shared" si="103"/>
        <v>1.61</v>
      </c>
      <c r="FQ34" s="4">
        <f t="shared" si="104"/>
        <v>1.61</v>
      </c>
      <c r="FR34" s="3">
        <v>2.21</v>
      </c>
      <c r="FS34" s="3">
        <f t="shared" si="105"/>
        <v>2.21</v>
      </c>
      <c r="FT34" s="4">
        <f t="shared" si="106"/>
        <v>2.21</v>
      </c>
      <c r="FU34" s="3">
        <v>0.24</v>
      </c>
      <c r="FV34" s="3">
        <f t="shared" si="107"/>
        <v>0.24</v>
      </c>
      <c r="FW34" s="4">
        <f t="shared" si="108"/>
        <v>0.24</v>
      </c>
      <c r="FX34" s="3">
        <v>0.2</v>
      </c>
      <c r="FY34" s="3">
        <f t="shared" si="109"/>
        <v>0.2</v>
      </c>
      <c r="FZ34" s="21">
        <f t="shared" si="110"/>
        <v>0.2</v>
      </c>
      <c r="GB34" s="20" t="s">
        <v>281</v>
      </c>
      <c r="GC34" s="3">
        <v>0.85</v>
      </c>
      <c r="GD34" s="3">
        <f t="shared" si="111"/>
        <v>0.85</v>
      </c>
      <c r="GE34" s="4">
        <f t="shared" si="112"/>
        <v>0.85</v>
      </c>
      <c r="GF34" s="3">
        <v>0.53</v>
      </c>
      <c r="GG34" s="3">
        <f t="shared" si="113"/>
        <v>0.53</v>
      </c>
      <c r="GH34" s="4">
        <f t="shared" si="114"/>
        <v>0.53</v>
      </c>
      <c r="GI34" s="3">
        <v>0.15</v>
      </c>
      <c r="GJ34" s="3">
        <f t="shared" si="115"/>
        <v>0.15</v>
      </c>
      <c r="GK34" s="4">
        <f t="shared" si="116"/>
        <v>0.15</v>
      </c>
      <c r="GL34" s="3">
        <v>1.17</v>
      </c>
      <c r="GM34" s="3">
        <f t="shared" si="117"/>
        <v>1.17</v>
      </c>
      <c r="GN34" s="4">
        <f t="shared" si="118"/>
        <v>1.17</v>
      </c>
      <c r="GO34" s="3">
        <v>2.21</v>
      </c>
      <c r="GP34" s="3">
        <f t="shared" si="119"/>
        <v>2.21</v>
      </c>
      <c r="GQ34" s="4">
        <f t="shared" si="120"/>
        <v>2.21</v>
      </c>
      <c r="GR34" s="3">
        <v>0.73</v>
      </c>
      <c r="GS34" s="3">
        <f t="shared" si="121"/>
        <v>0.73</v>
      </c>
      <c r="GT34" s="4">
        <f t="shared" si="122"/>
        <v>0.73</v>
      </c>
      <c r="GU34" s="3">
        <v>0.28000000000000003</v>
      </c>
      <c r="GV34" s="3">
        <f t="shared" si="123"/>
        <v>0.28000000000000003</v>
      </c>
      <c r="GW34" s="4">
        <f t="shared" si="124"/>
        <v>0.28000000000000003</v>
      </c>
      <c r="GX34" s="3">
        <v>1.89</v>
      </c>
      <c r="GY34" s="3">
        <f t="shared" si="125"/>
        <v>1.89</v>
      </c>
      <c r="GZ34" s="21">
        <f t="shared" si="126"/>
        <v>1.89</v>
      </c>
    </row>
    <row r="35" spans="2:208">
      <c r="B35" s="20" t="s">
        <v>282</v>
      </c>
      <c r="C35" s="3">
        <v>2.99</v>
      </c>
      <c r="D35" s="3">
        <f t="shared" si="0"/>
        <v>2.99</v>
      </c>
      <c r="E35" s="4">
        <f t="shared" si="1"/>
        <v>2.99</v>
      </c>
      <c r="F35" s="3">
        <v>4.4000000000000004</v>
      </c>
      <c r="G35" s="3">
        <f t="shared" si="2"/>
        <v>4.4000000000000004</v>
      </c>
      <c r="H35" s="4">
        <f t="shared" si="3"/>
        <v>4.4000000000000004</v>
      </c>
      <c r="I35" s="3">
        <v>5.3</v>
      </c>
      <c r="J35" s="3">
        <f t="shared" si="4"/>
        <v>5.3</v>
      </c>
      <c r="K35" s="4">
        <f t="shared" si="5"/>
        <v>5.3</v>
      </c>
      <c r="L35" s="3">
        <v>5.65</v>
      </c>
      <c r="M35" s="3">
        <f t="shared" si="6"/>
        <v>5.65</v>
      </c>
      <c r="N35" s="4">
        <f t="shared" si="7"/>
        <v>5.65</v>
      </c>
      <c r="O35" s="3">
        <v>4.34</v>
      </c>
      <c r="P35" s="3">
        <f t="shared" si="8"/>
        <v>4.34</v>
      </c>
      <c r="Q35" s="4">
        <f t="shared" si="9"/>
        <v>4.34</v>
      </c>
      <c r="R35" s="3">
        <v>4.8499999999999996</v>
      </c>
      <c r="S35" s="3">
        <f t="shared" si="10"/>
        <v>4.8499999999999996</v>
      </c>
      <c r="T35" s="4">
        <f t="shared" si="11"/>
        <v>4.8499999999999996</v>
      </c>
      <c r="U35" s="3">
        <v>1.78</v>
      </c>
      <c r="V35" s="3">
        <f t="shared" si="12"/>
        <v>1.78</v>
      </c>
      <c r="W35" s="4">
        <f t="shared" si="13"/>
        <v>1.78</v>
      </c>
      <c r="X35" s="3">
        <v>2.65</v>
      </c>
      <c r="Y35" s="3">
        <f t="shared" si="14"/>
        <v>2.65</v>
      </c>
      <c r="Z35" s="21">
        <f t="shared" si="15"/>
        <v>2.65</v>
      </c>
      <c r="AB35" s="20" t="s">
        <v>283</v>
      </c>
      <c r="AC35" s="3">
        <v>2.85</v>
      </c>
      <c r="AD35" s="3">
        <f t="shared" si="16"/>
        <v>2.85</v>
      </c>
      <c r="AE35" s="4">
        <f t="shared" si="17"/>
        <v>2.85</v>
      </c>
      <c r="AF35" s="3">
        <v>5.45</v>
      </c>
      <c r="AG35" s="3">
        <f t="shared" si="18"/>
        <v>5.45</v>
      </c>
      <c r="AH35" s="4">
        <f t="shared" si="19"/>
        <v>5.45</v>
      </c>
      <c r="AI35" s="3">
        <v>5.18</v>
      </c>
      <c r="AJ35" s="3">
        <f t="shared" si="20"/>
        <v>5.18</v>
      </c>
      <c r="AK35" s="4">
        <f t="shared" si="21"/>
        <v>5.18</v>
      </c>
      <c r="AL35" s="3">
        <v>4.3099999999999996</v>
      </c>
      <c r="AM35" s="3">
        <f t="shared" si="22"/>
        <v>4.3099999999999996</v>
      </c>
      <c r="AN35" s="4">
        <f t="shared" si="23"/>
        <v>4.3099999999999996</v>
      </c>
      <c r="AO35" s="3">
        <v>5.24</v>
      </c>
      <c r="AP35" s="3">
        <f t="shared" si="24"/>
        <v>5.24</v>
      </c>
      <c r="AQ35" s="4">
        <f t="shared" si="25"/>
        <v>5.24</v>
      </c>
      <c r="AR35" s="3">
        <v>3.75</v>
      </c>
      <c r="AS35" s="3">
        <f t="shared" si="26"/>
        <v>3.75</v>
      </c>
      <c r="AT35" s="4">
        <f t="shared" si="27"/>
        <v>3.75</v>
      </c>
      <c r="AU35" s="3">
        <v>3.02</v>
      </c>
      <c r="AV35" s="3">
        <f t="shared" si="28"/>
        <v>3.02</v>
      </c>
      <c r="AW35" s="4">
        <f t="shared" si="29"/>
        <v>3.02</v>
      </c>
      <c r="AX35" s="3">
        <v>3.17</v>
      </c>
      <c r="AY35" s="3">
        <f t="shared" si="30"/>
        <v>3.17</v>
      </c>
      <c r="AZ35" s="21">
        <f t="shared" si="31"/>
        <v>3.17</v>
      </c>
      <c r="BB35" s="20" t="s">
        <v>284</v>
      </c>
      <c r="BC35" s="3">
        <v>3.91</v>
      </c>
      <c r="BD35" s="3">
        <f t="shared" si="32"/>
        <v>3.91</v>
      </c>
      <c r="BE35" s="4">
        <f t="shared" si="33"/>
        <v>3.91</v>
      </c>
      <c r="BF35" s="3">
        <v>4.3</v>
      </c>
      <c r="BG35" s="3">
        <f t="shared" si="34"/>
        <v>4.3</v>
      </c>
      <c r="BH35" s="4">
        <f t="shared" si="35"/>
        <v>4.3</v>
      </c>
      <c r="BI35" s="3">
        <v>4.18</v>
      </c>
      <c r="BJ35" s="3">
        <f t="shared" si="36"/>
        <v>4.18</v>
      </c>
      <c r="BK35" s="4">
        <f t="shared" si="37"/>
        <v>4.18</v>
      </c>
      <c r="BL35" s="3">
        <v>4.3499999999999996</v>
      </c>
      <c r="BM35" s="3">
        <f t="shared" si="38"/>
        <v>4.3499999999999996</v>
      </c>
      <c r="BN35" s="4">
        <f t="shared" si="39"/>
        <v>4.3499999999999996</v>
      </c>
      <c r="BO35" s="3">
        <v>3.57</v>
      </c>
      <c r="BP35" s="3">
        <f t="shared" si="40"/>
        <v>3.57</v>
      </c>
      <c r="BQ35" s="4">
        <f t="shared" si="41"/>
        <v>3.57</v>
      </c>
      <c r="BR35" s="3">
        <v>3.14</v>
      </c>
      <c r="BS35" s="3">
        <f t="shared" si="42"/>
        <v>3.14</v>
      </c>
      <c r="BT35" s="4">
        <f t="shared" si="43"/>
        <v>3.14</v>
      </c>
      <c r="BU35" s="3">
        <v>1.63</v>
      </c>
      <c r="BV35" s="3">
        <f t="shared" si="44"/>
        <v>1.63</v>
      </c>
      <c r="BW35" s="4">
        <f t="shared" si="45"/>
        <v>1.63</v>
      </c>
      <c r="BX35" s="3">
        <v>1.26</v>
      </c>
      <c r="BY35" s="3">
        <f t="shared" si="46"/>
        <v>1.26</v>
      </c>
      <c r="BZ35" s="21">
        <f t="shared" si="47"/>
        <v>1.26</v>
      </c>
      <c r="CB35" s="20" t="s">
        <v>285</v>
      </c>
      <c r="CC35" s="3">
        <v>4.17</v>
      </c>
      <c r="CD35" s="3">
        <f t="shared" si="48"/>
        <v>4.17</v>
      </c>
      <c r="CE35" s="4">
        <f t="shared" si="49"/>
        <v>4.17</v>
      </c>
      <c r="CF35" s="3">
        <v>6.11</v>
      </c>
      <c r="CG35" s="3">
        <f t="shared" si="50"/>
        <v>6.11</v>
      </c>
      <c r="CH35" s="4">
        <f t="shared" si="51"/>
        <v>6.11</v>
      </c>
      <c r="CI35" s="3">
        <v>3.75</v>
      </c>
      <c r="CJ35" s="3">
        <f t="shared" si="52"/>
        <v>3.75</v>
      </c>
      <c r="CK35" s="4">
        <f t="shared" si="53"/>
        <v>3.75</v>
      </c>
      <c r="CL35" s="3">
        <v>5.13</v>
      </c>
      <c r="CM35" s="3">
        <f t="shared" si="54"/>
        <v>5.13</v>
      </c>
      <c r="CN35" s="4">
        <f t="shared" si="55"/>
        <v>5.13</v>
      </c>
      <c r="CO35" s="3">
        <v>4.8899999999999997</v>
      </c>
      <c r="CP35" s="3">
        <f t="shared" si="56"/>
        <v>4.8899999999999997</v>
      </c>
      <c r="CQ35" s="4">
        <f t="shared" si="57"/>
        <v>4.8899999999999997</v>
      </c>
      <c r="CR35" s="3">
        <v>1.83</v>
      </c>
      <c r="CS35" s="3">
        <f t="shared" si="58"/>
        <v>1.83</v>
      </c>
      <c r="CT35" s="4">
        <f t="shared" si="59"/>
        <v>1.83</v>
      </c>
      <c r="CU35" s="3">
        <v>3.75</v>
      </c>
      <c r="CV35" s="3">
        <f t="shared" si="60"/>
        <v>3.75</v>
      </c>
      <c r="CW35" s="4">
        <f t="shared" si="61"/>
        <v>3.75</v>
      </c>
      <c r="CX35" s="3">
        <v>0</v>
      </c>
      <c r="CY35" s="3" t="str">
        <f t="shared" si="62"/>
        <v/>
      </c>
      <c r="CZ35" s="21" t="str">
        <f t="shared" si="63"/>
        <v/>
      </c>
      <c r="DB35" s="20" t="s">
        <v>286</v>
      </c>
      <c r="DC35" s="3">
        <v>2.21</v>
      </c>
      <c r="DD35" s="3">
        <f t="shared" si="64"/>
        <v>2.21</v>
      </c>
      <c r="DE35" s="4">
        <f t="shared" si="65"/>
        <v>2.21</v>
      </c>
      <c r="DF35" s="3">
        <v>1.17</v>
      </c>
      <c r="DG35" s="3">
        <f t="shared" si="66"/>
        <v>1.17</v>
      </c>
      <c r="DH35" s="4">
        <f t="shared" si="67"/>
        <v>1.17</v>
      </c>
      <c r="DI35" s="3">
        <v>2.59</v>
      </c>
      <c r="DJ35" s="3">
        <f t="shared" si="68"/>
        <v>2.59</v>
      </c>
      <c r="DK35" s="4">
        <f t="shared" si="69"/>
        <v>2.59</v>
      </c>
      <c r="DL35" s="3">
        <v>3.56</v>
      </c>
      <c r="DM35" s="3">
        <f t="shared" si="127"/>
        <v>3.56</v>
      </c>
      <c r="DN35" s="4">
        <f t="shared" si="70"/>
        <v>3.56</v>
      </c>
      <c r="DO35" s="3">
        <v>1.37</v>
      </c>
      <c r="DP35" s="3">
        <f t="shared" si="71"/>
        <v>1.37</v>
      </c>
      <c r="DQ35" s="4">
        <f t="shared" si="72"/>
        <v>1.37</v>
      </c>
      <c r="DR35" s="3">
        <v>1.17</v>
      </c>
      <c r="DS35" s="3">
        <f t="shared" si="73"/>
        <v>1.17</v>
      </c>
      <c r="DT35" s="4">
        <f t="shared" si="74"/>
        <v>1.17</v>
      </c>
      <c r="DU35" s="3">
        <v>0.33</v>
      </c>
      <c r="DV35" s="3">
        <f t="shared" si="75"/>
        <v>0.33</v>
      </c>
      <c r="DW35" s="4" t="str">
        <f t="shared" si="76"/>
        <v/>
      </c>
      <c r="DX35" s="3">
        <v>0.85</v>
      </c>
      <c r="DY35" s="3">
        <f t="shared" si="77"/>
        <v>0.85</v>
      </c>
      <c r="DZ35" s="21" t="str">
        <f t="shared" si="78"/>
        <v/>
      </c>
      <c r="EB35" s="20" t="s">
        <v>287</v>
      </c>
      <c r="EC35" s="3">
        <v>0.53</v>
      </c>
      <c r="ED35" s="3">
        <f t="shared" si="79"/>
        <v>0.53</v>
      </c>
      <c r="EE35" s="4">
        <f t="shared" si="80"/>
        <v>0.53</v>
      </c>
      <c r="EF35" s="3">
        <v>3.56</v>
      </c>
      <c r="EG35" s="3">
        <f t="shared" si="81"/>
        <v>3.56</v>
      </c>
      <c r="EH35" s="4">
        <f t="shared" si="82"/>
        <v>3.56</v>
      </c>
      <c r="EI35" s="3">
        <v>0.39</v>
      </c>
      <c r="EJ35" s="3">
        <f t="shared" si="83"/>
        <v>0.39</v>
      </c>
      <c r="EK35" s="4">
        <f t="shared" si="84"/>
        <v>0.39</v>
      </c>
      <c r="EL35" s="3">
        <v>1.61</v>
      </c>
      <c r="EM35" s="3">
        <f t="shared" si="85"/>
        <v>1.61</v>
      </c>
      <c r="EN35" s="4">
        <f t="shared" si="86"/>
        <v>1.61</v>
      </c>
      <c r="EO35" s="3">
        <v>2.21</v>
      </c>
      <c r="EP35" s="3">
        <f t="shared" si="87"/>
        <v>2.21</v>
      </c>
      <c r="EQ35" s="4">
        <f t="shared" si="88"/>
        <v>2.21</v>
      </c>
      <c r="ER35" s="3">
        <v>1.89</v>
      </c>
      <c r="ES35" s="3">
        <f t="shared" si="89"/>
        <v>1.89</v>
      </c>
      <c r="ET35" s="4">
        <f t="shared" si="90"/>
        <v>1.89</v>
      </c>
      <c r="EU35" s="3">
        <v>0.62</v>
      </c>
      <c r="EV35" s="3">
        <f t="shared" si="91"/>
        <v>0.62</v>
      </c>
      <c r="EW35" s="4">
        <f t="shared" si="92"/>
        <v>0.62</v>
      </c>
      <c r="EX35" s="3">
        <v>1.17</v>
      </c>
      <c r="EY35" s="3">
        <f t="shared" si="93"/>
        <v>1.17</v>
      </c>
      <c r="EZ35" s="21">
        <f t="shared" si="94"/>
        <v>1.17</v>
      </c>
      <c r="FB35" s="20" t="s">
        <v>288</v>
      </c>
      <c r="FC35" s="3">
        <v>14.87</v>
      </c>
      <c r="FD35" s="3">
        <f t="shared" si="95"/>
        <v>14.87</v>
      </c>
      <c r="FE35" s="4" t="str">
        <f t="shared" si="96"/>
        <v/>
      </c>
      <c r="FF35" s="3">
        <v>1.61</v>
      </c>
      <c r="FG35" s="3">
        <f t="shared" si="97"/>
        <v>1.61</v>
      </c>
      <c r="FH35" s="4" t="str">
        <f t="shared" si="98"/>
        <v/>
      </c>
      <c r="FI35" s="3">
        <v>1.61</v>
      </c>
      <c r="FJ35" s="3">
        <f t="shared" si="99"/>
        <v>1.61</v>
      </c>
      <c r="FK35" s="4">
        <f t="shared" si="100"/>
        <v>1.61</v>
      </c>
      <c r="FL35" s="3">
        <v>3.56</v>
      </c>
      <c r="FM35" s="3">
        <f t="shared" si="101"/>
        <v>3.56</v>
      </c>
      <c r="FN35" s="4">
        <f t="shared" si="102"/>
        <v>3.56</v>
      </c>
      <c r="FO35" s="3">
        <v>1.89</v>
      </c>
      <c r="FP35" s="3">
        <f t="shared" si="103"/>
        <v>1.89</v>
      </c>
      <c r="FQ35" s="4">
        <f t="shared" si="104"/>
        <v>1.89</v>
      </c>
      <c r="FR35" s="3">
        <v>2.21</v>
      </c>
      <c r="FS35" s="3">
        <f t="shared" si="105"/>
        <v>2.21</v>
      </c>
      <c r="FT35" s="4">
        <f t="shared" si="106"/>
        <v>2.21</v>
      </c>
      <c r="FU35" s="3">
        <v>0.2</v>
      </c>
      <c r="FV35" s="3">
        <f t="shared" si="107"/>
        <v>0.2</v>
      </c>
      <c r="FW35" s="4">
        <f t="shared" si="108"/>
        <v>0.2</v>
      </c>
      <c r="FX35" s="3">
        <v>0.85</v>
      </c>
      <c r="FY35" s="3">
        <f t="shared" si="109"/>
        <v>0.85</v>
      </c>
      <c r="FZ35" s="21" t="str">
        <f t="shared" si="110"/>
        <v/>
      </c>
      <c r="GB35" s="20" t="s">
        <v>289</v>
      </c>
      <c r="GC35" s="3">
        <v>0.85</v>
      </c>
      <c r="GD35" s="3">
        <f t="shared" si="111"/>
        <v>0.85</v>
      </c>
      <c r="GE35" s="4">
        <f t="shared" si="112"/>
        <v>0.85</v>
      </c>
      <c r="GF35" s="3">
        <v>0.45</v>
      </c>
      <c r="GG35" s="3">
        <f t="shared" si="113"/>
        <v>0.45</v>
      </c>
      <c r="GH35" s="4">
        <f t="shared" si="114"/>
        <v>0.45</v>
      </c>
      <c r="GI35" s="3">
        <v>0.15</v>
      </c>
      <c r="GJ35" s="3">
        <f t="shared" si="115"/>
        <v>0.15</v>
      </c>
      <c r="GK35" s="4">
        <f t="shared" si="116"/>
        <v>0.15</v>
      </c>
      <c r="GL35" s="3">
        <v>1.17</v>
      </c>
      <c r="GM35" s="3">
        <f t="shared" si="117"/>
        <v>1.17</v>
      </c>
      <c r="GN35" s="4">
        <f t="shared" si="118"/>
        <v>1.17</v>
      </c>
      <c r="GO35" s="3">
        <v>1.89</v>
      </c>
      <c r="GP35" s="3">
        <f t="shared" si="119"/>
        <v>1.89</v>
      </c>
      <c r="GQ35" s="4">
        <f t="shared" si="120"/>
        <v>1.89</v>
      </c>
      <c r="GR35" s="3">
        <v>0.73</v>
      </c>
      <c r="GS35" s="3">
        <f t="shared" si="121"/>
        <v>0.73</v>
      </c>
      <c r="GT35" s="4">
        <f t="shared" si="122"/>
        <v>0.73</v>
      </c>
      <c r="GU35" s="3">
        <v>0.33</v>
      </c>
      <c r="GV35" s="3">
        <f t="shared" si="123"/>
        <v>0.33</v>
      </c>
      <c r="GW35" s="4">
        <f t="shared" si="124"/>
        <v>0.33</v>
      </c>
      <c r="GX35" s="3">
        <v>1.89</v>
      </c>
      <c r="GY35" s="3">
        <f t="shared" si="125"/>
        <v>1.89</v>
      </c>
      <c r="GZ35" s="21">
        <f t="shared" si="126"/>
        <v>1.89</v>
      </c>
    </row>
    <row r="36" spans="2:208">
      <c r="B36" s="20" t="s">
        <v>290</v>
      </c>
      <c r="C36" s="3">
        <v>3</v>
      </c>
      <c r="D36" s="3">
        <f t="shared" ref="D36:D67" si="128">IF(AND(C36 &lt; 99.99, C36 &gt; 0), C36, "")</f>
        <v>3</v>
      </c>
      <c r="E36" s="4">
        <f t="shared" ref="E36:E67" si="129">IF(AND(D36 &lt;= $D$214, D36 &gt;= $D$215), D36, "")</f>
        <v>3</v>
      </c>
      <c r="F36" s="3">
        <v>4.4000000000000004</v>
      </c>
      <c r="G36" s="3">
        <f t="shared" ref="G36:G67" si="130">IF(AND(F36 &lt; 99.99, F36 &gt; 0), F36, "")</f>
        <v>4.4000000000000004</v>
      </c>
      <c r="H36" s="4">
        <f t="shared" ref="H36:H67" si="131">IF(AND(G36 &lt;= G$214, G36 &gt;= G$215), G36, "")</f>
        <v>4.4000000000000004</v>
      </c>
      <c r="I36" s="3">
        <v>5.3</v>
      </c>
      <c r="J36" s="3">
        <f t="shared" ref="J36:J67" si="132">IF(AND(I36 &lt; 99.99, I36 &gt; 0), I36, "")</f>
        <v>5.3</v>
      </c>
      <c r="K36" s="4">
        <f t="shared" ref="K36:K67" si="133">IF(AND(J36 &lt;= J$214, J36 &gt;= J$215), J36, "")</f>
        <v>5.3</v>
      </c>
      <c r="L36" s="3">
        <v>4.5599999999999996</v>
      </c>
      <c r="M36" s="3">
        <f t="shared" ref="M36:M67" si="134">IF(AND(L36 &lt; 99.99, L36 &gt; 0), L36, "")</f>
        <v>4.5599999999999996</v>
      </c>
      <c r="N36" s="4">
        <f t="shared" ref="N36:N67" si="135">IF(AND(M36 &lt;= M$214, M36 &gt;= M$215), M36, "")</f>
        <v>4.5599999999999996</v>
      </c>
      <c r="O36" s="3">
        <v>4.32</v>
      </c>
      <c r="P36" s="3">
        <f t="shared" ref="P36:P67" si="136">IF(AND(O36 &lt; 99.99, O36 &gt; 0), O36, "")</f>
        <v>4.32</v>
      </c>
      <c r="Q36" s="4">
        <f t="shared" ref="Q36:Q67" si="137">IF(AND(P36 &lt;= P$214, P36 &gt;= P$215), P36, "")</f>
        <v>4.32</v>
      </c>
      <c r="R36" s="3">
        <v>4.82</v>
      </c>
      <c r="S36" s="3">
        <f t="shared" ref="S36:S67" si="138">IF(AND(R36 &lt; 99.99, R36 &gt; 0), R36, "")</f>
        <v>4.82</v>
      </c>
      <c r="T36" s="4">
        <f t="shared" ref="T36:T67" si="139">IF(AND(S36 &lt;= S$214, S36 &gt;= S$215), S36, "")</f>
        <v>4.82</v>
      </c>
      <c r="U36" s="3">
        <v>1.77</v>
      </c>
      <c r="V36" s="3">
        <f t="shared" ref="V36:V67" si="140">IF(AND(U36 &lt; 99.99, U36 &gt; 0), U36, "")</f>
        <v>1.77</v>
      </c>
      <c r="W36" s="4">
        <f t="shared" ref="W36:W67" si="141">IF(AND(V36 &lt;= V$214, V36 &gt;= V$215), V36, "")</f>
        <v>1.77</v>
      </c>
      <c r="X36" s="3">
        <v>2.39</v>
      </c>
      <c r="Y36" s="3">
        <f t="shared" ref="Y36:Y67" si="142">IF(AND(X36 &lt; 99.99, X36 &gt; 0), X36, "")</f>
        <v>2.39</v>
      </c>
      <c r="Z36" s="21">
        <f t="shared" ref="Z36:Z67" si="143">IF(AND(Y36 &lt;= Y$214, Y36 &gt;= Y$215), Y36, "")</f>
        <v>2.39</v>
      </c>
      <c r="AB36" s="20" t="s">
        <v>291</v>
      </c>
      <c r="AC36" s="3">
        <v>2.83</v>
      </c>
      <c r="AD36" s="3">
        <f t="shared" ref="AD36:AD67" si="144">IF(AND(AC36 &lt; 99.99, AC36 &gt; 0), AC36, "")</f>
        <v>2.83</v>
      </c>
      <c r="AE36" s="4">
        <f t="shared" ref="AE36:AE67" si="145">IF(AND(AD36 &lt;= AD$77, AD36 &gt;= AD$78), AD36, "")</f>
        <v>2.83</v>
      </c>
      <c r="AF36" s="3">
        <v>5.46</v>
      </c>
      <c r="AG36" s="3">
        <f t="shared" ref="AG36:AG67" si="146">IF(AND(AF36 &lt; 99.99, AF36 &gt; 0), AF36, "")</f>
        <v>5.46</v>
      </c>
      <c r="AH36" s="4">
        <f t="shared" ref="AH36:AH67" si="147">IF(AND(AG36 &lt;= AG$77, AG36 &gt;= AG$78), AG36, "")</f>
        <v>5.46</v>
      </c>
      <c r="AI36" s="3">
        <v>5.18</v>
      </c>
      <c r="AJ36" s="3">
        <f t="shared" ref="AJ36:AJ67" si="148">IF(AND(AI36 &lt; 99.99, AI36 &gt; 0), AI36, "")</f>
        <v>5.18</v>
      </c>
      <c r="AK36" s="4">
        <f t="shared" ref="AK36:AK67" si="149">IF(AND(AJ36 &lt;= AJ$77, AJ36 &gt;= AJ$78), AJ36, "")</f>
        <v>5.18</v>
      </c>
      <c r="AL36" s="3">
        <v>6.06</v>
      </c>
      <c r="AM36" s="3">
        <f t="shared" ref="AM36:AM67" si="150">IF(AND(AL36 &lt; 99.99, AL36 &gt; 0), AL36, "")</f>
        <v>6.06</v>
      </c>
      <c r="AN36" s="4">
        <f t="shared" ref="AN36:AN67" si="151">IF(AND(AM36 &lt;= AM$77, AM36 &gt;= AM$78), AM36, "")</f>
        <v>6.06</v>
      </c>
      <c r="AO36" s="3">
        <v>0</v>
      </c>
      <c r="AP36" s="3" t="str">
        <f t="shared" ref="AP36:AP67" si="152">IF(AND(AO36 &lt; 99.99, AO36 &gt; 0), AO36, "")</f>
        <v/>
      </c>
      <c r="AQ36" s="4" t="str">
        <f t="shared" ref="AQ36:AQ67" si="153">IF(AND(AP36 &lt;= AP$77, AP36 &gt;= AP$78), AP36, "")</f>
        <v/>
      </c>
      <c r="AR36" s="3">
        <v>3.72</v>
      </c>
      <c r="AS36" s="3">
        <f t="shared" ref="AS36:AS67" si="154">IF(AND(AR36 &lt; 99.99, AR36 &gt; 0), AR36, "")</f>
        <v>3.72</v>
      </c>
      <c r="AT36" s="4">
        <f t="shared" ref="AT36:AT67" si="155">IF(AND(AS36 &lt;= AS$77, AS36 &gt;= AS$78), AS36, "")</f>
        <v>3.72</v>
      </c>
      <c r="AU36" s="3">
        <v>3.07</v>
      </c>
      <c r="AV36" s="3">
        <f t="shared" ref="AV36:AV67" si="156">IF(AND(AU36 &lt; 99.99, AU36 &gt; 0), AU36, "")</f>
        <v>3.07</v>
      </c>
      <c r="AW36" s="4">
        <f t="shared" ref="AW36:AW67" si="157">IF(AND(AV36 &lt;= AV$77, AV36 &gt;= AV$78), AV36, "")</f>
        <v>3.07</v>
      </c>
      <c r="AX36" s="3">
        <v>3.51</v>
      </c>
      <c r="AY36" s="3">
        <f t="shared" ref="AY36:AY67" si="158">IF(AND(AX36 &lt; 99.99, AX36 &gt; 0), AX36, "")</f>
        <v>3.51</v>
      </c>
      <c r="AZ36" s="21">
        <f t="shared" si="31"/>
        <v>3.51</v>
      </c>
      <c r="BB36" s="20" t="s">
        <v>292</v>
      </c>
      <c r="BC36" s="3">
        <v>3.92</v>
      </c>
      <c r="BD36" s="3">
        <f t="shared" si="32"/>
        <v>3.92</v>
      </c>
      <c r="BE36" s="4">
        <f t="shared" si="33"/>
        <v>3.92</v>
      </c>
      <c r="BF36" s="3">
        <v>4.2699999999999996</v>
      </c>
      <c r="BG36" s="3">
        <f t="shared" si="34"/>
        <v>4.2699999999999996</v>
      </c>
      <c r="BH36" s="4">
        <f t="shared" si="35"/>
        <v>4.2699999999999996</v>
      </c>
      <c r="BI36" s="3">
        <v>4.24</v>
      </c>
      <c r="BJ36" s="3">
        <f t="shared" si="36"/>
        <v>4.24</v>
      </c>
      <c r="BK36" s="4">
        <f t="shared" si="37"/>
        <v>4.24</v>
      </c>
      <c r="BL36" s="3">
        <v>4.32</v>
      </c>
      <c r="BM36" s="3">
        <f t="shared" si="38"/>
        <v>4.32</v>
      </c>
      <c r="BN36" s="4">
        <f t="shared" si="39"/>
        <v>4.32</v>
      </c>
      <c r="BO36" s="3">
        <v>3.59</v>
      </c>
      <c r="BP36" s="3">
        <f t="shared" si="40"/>
        <v>3.59</v>
      </c>
      <c r="BQ36" s="4">
        <f t="shared" si="41"/>
        <v>3.59</v>
      </c>
      <c r="BR36" s="3">
        <v>3.17</v>
      </c>
      <c r="BS36" s="3">
        <f t="shared" si="42"/>
        <v>3.17</v>
      </c>
      <c r="BT36" s="4">
        <f t="shared" si="43"/>
        <v>3.17</v>
      </c>
      <c r="BU36" s="3">
        <v>1.61</v>
      </c>
      <c r="BV36" s="3">
        <f t="shared" si="44"/>
        <v>1.61</v>
      </c>
      <c r="BW36" s="4">
        <f t="shared" si="45"/>
        <v>1.61</v>
      </c>
      <c r="BX36" s="3">
        <v>1.19</v>
      </c>
      <c r="BY36" s="3">
        <f t="shared" si="46"/>
        <v>1.19</v>
      </c>
      <c r="BZ36" s="21">
        <f t="shared" si="47"/>
        <v>1.19</v>
      </c>
      <c r="CB36" s="20" t="s">
        <v>293</v>
      </c>
      <c r="CC36" s="3">
        <v>3.1</v>
      </c>
      <c r="CD36" s="3">
        <f t="shared" si="48"/>
        <v>3.1</v>
      </c>
      <c r="CE36" s="4">
        <f t="shared" ref="CE36:CE67" si="159">IF(AND(CD36 &lt;= CD$125, CD36 &gt;= CD$126), CD36, "")</f>
        <v>3.1</v>
      </c>
      <c r="CF36" s="3">
        <v>6.09</v>
      </c>
      <c r="CG36" s="3">
        <f t="shared" si="50"/>
        <v>6.09</v>
      </c>
      <c r="CH36" s="4">
        <f t="shared" ref="CH36:CH67" si="160">IF(AND(CG36 &lt;= CG$125, CG36 &gt;= CG$126), CG36, "")</f>
        <v>6.09</v>
      </c>
      <c r="CI36" s="3">
        <v>3.36</v>
      </c>
      <c r="CJ36" s="3">
        <f t="shared" si="52"/>
        <v>3.36</v>
      </c>
      <c r="CK36" s="4">
        <f t="shared" ref="CK36:CK67" si="161">IF(AND(CJ36 &lt;= CJ$125, CJ36 &gt;= CJ$126), CJ36, "")</f>
        <v>3.36</v>
      </c>
      <c r="CL36" s="3">
        <v>5.19</v>
      </c>
      <c r="CM36" s="3">
        <f t="shared" si="54"/>
        <v>5.19</v>
      </c>
      <c r="CN36" s="4">
        <f t="shared" ref="CN36:CN67" si="162">IF(AND(CM36 &lt;= CM$125, CM36 &gt;= CM$126), CM36, "")</f>
        <v>5.19</v>
      </c>
      <c r="CO36" s="3">
        <v>5.46</v>
      </c>
      <c r="CP36" s="3">
        <f t="shared" si="56"/>
        <v>5.46</v>
      </c>
      <c r="CQ36" s="4">
        <f t="shared" ref="CQ36:CQ67" si="163">IF(AND(CP36 &lt;= CP$125, CP36 &gt;= CP$126), CP36, "")</f>
        <v>5.46</v>
      </c>
      <c r="CR36" s="3">
        <v>1.83</v>
      </c>
      <c r="CS36" s="3">
        <f t="shared" si="58"/>
        <v>1.83</v>
      </c>
      <c r="CT36" s="4">
        <f t="shared" ref="CT36:CT67" si="164">IF(AND(CS36 &lt;= CS$125, CS36 &gt;= CS$126), CS36, "")</f>
        <v>1.83</v>
      </c>
      <c r="CU36" s="3">
        <v>0.3</v>
      </c>
      <c r="CV36" s="3">
        <f t="shared" si="60"/>
        <v>0.3</v>
      </c>
      <c r="CW36" s="4" t="str">
        <f t="shared" ref="CW36:CW67" si="165">IF(AND(CV36 &lt;= CV$125, CV36 &gt;= CV$126), CV36, "")</f>
        <v/>
      </c>
      <c r="CX36" s="3">
        <v>0</v>
      </c>
      <c r="CY36" s="3" t="str">
        <f t="shared" si="62"/>
        <v/>
      </c>
      <c r="CZ36" s="21" t="str">
        <f t="shared" ref="CZ36:CZ67" si="166">IF(AND(CY36 &lt;= CY$125, CY36 &gt;= CY$126), CY36, "")</f>
        <v/>
      </c>
      <c r="DB36" s="20" t="s">
        <v>294</v>
      </c>
      <c r="DC36" s="3">
        <v>2.21</v>
      </c>
      <c r="DD36" s="3">
        <f t="shared" si="64"/>
        <v>2.21</v>
      </c>
      <c r="DE36" s="4">
        <f t="shared" ref="DE36:DE62" si="167">IF(AND(DD36 &lt;= DD$65, DD36 &gt;= DD$66), DD36, "")</f>
        <v>2.21</v>
      </c>
      <c r="DF36" s="3">
        <v>1.17</v>
      </c>
      <c r="DG36" s="3">
        <f t="shared" si="66"/>
        <v>1.17</v>
      </c>
      <c r="DH36" s="4">
        <f t="shared" ref="DH36:DH62" si="168">IF(AND(DG36 &lt;= DG$65, DG36 &gt;= DG$66), DG36, "")</f>
        <v>1.17</v>
      </c>
      <c r="DI36" s="3">
        <v>2.59</v>
      </c>
      <c r="DJ36" s="3">
        <f t="shared" si="68"/>
        <v>2.59</v>
      </c>
      <c r="DK36" s="4">
        <f t="shared" ref="DK36:DK62" si="169">IF(AND(DJ36 &lt;= DJ$65, DJ36 &gt;= DJ$66), DJ36, "")</f>
        <v>2.59</v>
      </c>
      <c r="DL36" s="3">
        <v>3.56</v>
      </c>
      <c r="DM36" s="3">
        <f t="shared" si="127"/>
        <v>3.56</v>
      </c>
      <c r="DN36" s="4">
        <f t="shared" ref="DN36:DN62" si="170">IF(AND(DM36 &lt;= DM$65, DM36 &gt;= DM$66), DM36, "")</f>
        <v>3.56</v>
      </c>
      <c r="DO36" s="3">
        <v>1.37</v>
      </c>
      <c r="DP36" s="3">
        <f t="shared" si="71"/>
        <v>1.37</v>
      </c>
      <c r="DQ36" s="4">
        <f t="shared" ref="DQ36:DQ62" si="171">IF(AND(DP36 &lt;= DP$65, DP36 &gt;= DP$66), DP36, "")</f>
        <v>1.37</v>
      </c>
      <c r="DR36" s="3">
        <v>1.17</v>
      </c>
      <c r="DS36" s="3">
        <f t="shared" si="73"/>
        <v>1.17</v>
      </c>
      <c r="DT36" s="4">
        <f t="shared" ref="DT36:DT62" si="172">IF(AND(DS36 &lt;= DS$65, DS36 &gt;= DS$66), DS36, "")</f>
        <v>1.17</v>
      </c>
      <c r="DU36" s="3">
        <v>1.17</v>
      </c>
      <c r="DV36" s="3">
        <f t="shared" si="75"/>
        <v>1.17</v>
      </c>
      <c r="DW36" s="4">
        <f t="shared" ref="DW36:DW62" si="173">IF(AND(DV36 &lt;= DV$65, DV36 &gt;= DV$66), DV36, "")</f>
        <v>1.17</v>
      </c>
      <c r="DX36" s="3">
        <v>0</v>
      </c>
      <c r="DY36" s="3" t="str">
        <f t="shared" si="77"/>
        <v/>
      </c>
      <c r="DZ36" s="21" t="str">
        <f t="shared" ref="DZ36:DZ62" si="174">IF(AND(DY36 &lt;= DY$65, DY36 &gt;= DY$66), DY36, "")</f>
        <v/>
      </c>
      <c r="EB36" s="20" t="s">
        <v>295</v>
      </c>
      <c r="EC36" s="3">
        <v>0.53</v>
      </c>
      <c r="ED36" s="3">
        <f t="shared" si="79"/>
        <v>0.53</v>
      </c>
      <c r="EE36" s="4">
        <f t="shared" ref="EE36:EE62" si="175">IF(AND(ED36 &lt;= ED$65, ED36 &gt;= ED$66), ED36, "")</f>
        <v>0.53</v>
      </c>
      <c r="EF36" s="3">
        <v>3.56</v>
      </c>
      <c r="EG36" s="3">
        <f t="shared" si="81"/>
        <v>3.56</v>
      </c>
      <c r="EH36" s="4">
        <f t="shared" ref="EH36:EH62" si="176">IF(AND(EG36 &lt;= EG$65, EG36 &gt;= EG$66), EG36, "")</f>
        <v>3.56</v>
      </c>
      <c r="EI36" s="3">
        <v>0.39</v>
      </c>
      <c r="EJ36" s="3">
        <f t="shared" si="83"/>
        <v>0.39</v>
      </c>
      <c r="EK36" s="4">
        <f t="shared" ref="EK36:EK62" si="177">IF(AND(EJ36 &lt;= EJ$65, EJ36 &gt;= EJ$66), EJ36, "")</f>
        <v>0.39</v>
      </c>
      <c r="EL36" s="3">
        <v>1.61</v>
      </c>
      <c r="EM36" s="3">
        <f t="shared" si="85"/>
        <v>1.61</v>
      </c>
      <c r="EN36" s="4">
        <f t="shared" ref="EN36:EN62" si="178">IF(AND(EM36 &lt;= EM$65, EM36 &gt;= EM$66), EM36, "")</f>
        <v>1.61</v>
      </c>
      <c r="EO36" s="3">
        <v>2.59</v>
      </c>
      <c r="EP36" s="3">
        <f t="shared" si="87"/>
        <v>2.59</v>
      </c>
      <c r="EQ36" s="4">
        <f t="shared" ref="EQ36:EQ62" si="179">IF(AND(EP36 &lt;= EP$65, EP36 &gt;= EP$66), EP36, "")</f>
        <v>2.59</v>
      </c>
      <c r="ER36" s="3">
        <v>1.89</v>
      </c>
      <c r="ES36" s="3">
        <f t="shared" si="89"/>
        <v>1.89</v>
      </c>
      <c r="ET36" s="4">
        <f t="shared" ref="ET36:ET62" si="180">IF(AND(ES36 &lt;= ES$65, ES36 &gt;= ES$66), ES36, "")</f>
        <v>1.89</v>
      </c>
      <c r="EU36" s="3">
        <v>0.73</v>
      </c>
      <c r="EV36" s="3">
        <f t="shared" si="91"/>
        <v>0.73</v>
      </c>
      <c r="EW36" s="4">
        <f t="shared" ref="EW36:EW62" si="181">IF(AND(EV36 &lt;= EV$65, EV36 &gt;= EV$66), EV36, "")</f>
        <v>0.73</v>
      </c>
      <c r="EX36" s="3">
        <v>1.17</v>
      </c>
      <c r="EY36" s="3">
        <f t="shared" si="93"/>
        <v>1.17</v>
      </c>
      <c r="EZ36" s="21">
        <f t="shared" ref="EZ36:EZ62" si="182">IF(AND(EY36 &lt;= EY$65, EY36 &gt;= EY$66), EY36, "")</f>
        <v>1.17</v>
      </c>
      <c r="FB36" s="20" t="s">
        <v>296</v>
      </c>
      <c r="FC36" s="3">
        <v>14.87</v>
      </c>
      <c r="FD36" s="3">
        <f t="shared" si="95"/>
        <v>14.87</v>
      </c>
      <c r="FE36" s="4" t="str">
        <f t="shared" ref="FE36:FE62" si="183">IF(AND(FD36 &lt;= FD$65, FD36 &gt;= FD$66), FD36, "")</f>
        <v/>
      </c>
      <c r="FF36" s="3">
        <v>1.37</v>
      </c>
      <c r="FG36" s="3">
        <f t="shared" si="97"/>
        <v>1.37</v>
      </c>
      <c r="FH36" s="4">
        <f t="shared" ref="FH36:FH62" si="184">IF(AND(FG36 &lt;= FG$65, FG36 &gt;= FG$66), FG36, "")</f>
        <v>1.37</v>
      </c>
      <c r="FI36" s="3">
        <v>1.61</v>
      </c>
      <c r="FJ36" s="3">
        <f t="shared" si="99"/>
        <v>1.61</v>
      </c>
      <c r="FK36" s="4">
        <f t="shared" ref="FK36:FK62" si="185">IF(AND(FJ36 &lt;= FJ$65, FJ36 &gt;= FJ$66), FJ36, "")</f>
        <v>1.61</v>
      </c>
      <c r="FL36" s="3">
        <v>3.56</v>
      </c>
      <c r="FM36" s="3">
        <f t="shared" si="101"/>
        <v>3.56</v>
      </c>
      <c r="FN36" s="4">
        <f t="shared" ref="FN36:FN62" si="186">IF(AND(FM36 &lt;= FM$65, FM36 &gt;= FM$66), FM36, "")</f>
        <v>3.56</v>
      </c>
      <c r="FO36" s="3">
        <v>1.89</v>
      </c>
      <c r="FP36" s="3">
        <f t="shared" si="103"/>
        <v>1.89</v>
      </c>
      <c r="FQ36" s="4">
        <f t="shared" ref="FQ36:FQ62" si="187">IF(AND(FP36 &lt;= FP$65, FP36 &gt;= FP$66), FP36, "")</f>
        <v>1.89</v>
      </c>
      <c r="FR36" s="3">
        <v>2.59</v>
      </c>
      <c r="FS36" s="3">
        <f t="shared" si="105"/>
        <v>2.59</v>
      </c>
      <c r="FT36" s="4">
        <f t="shared" ref="FT36:FT62" si="188">IF(AND(FS36 &lt;= FS$65, FS36 &gt;= FS$66), FS36, "")</f>
        <v>2.59</v>
      </c>
      <c r="FU36" s="3">
        <v>0.24</v>
      </c>
      <c r="FV36" s="3">
        <f t="shared" si="107"/>
        <v>0.24</v>
      </c>
      <c r="FW36" s="4">
        <f t="shared" ref="FW36:FW62" si="189">IF(AND(FV36 &lt;= FV$65, FV36 &gt;= FV$66), FV36, "")</f>
        <v>0.24</v>
      </c>
      <c r="FX36" s="3">
        <v>0.2</v>
      </c>
      <c r="FY36" s="3">
        <f t="shared" si="109"/>
        <v>0.2</v>
      </c>
      <c r="FZ36" s="21">
        <f t="shared" ref="FZ36:FZ62" si="190">IF(AND(FY36 &lt;= FY$65, FY36 &gt;= FY$66), FY36, "")</f>
        <v>0.2</v>
      </c>
      <c r="GB36" s="20" t="s">
        <v>297</v>
      </c>
      <c r="GC36" s="3">
        <v>0.73</v>
      </c>
      <c r="GD36" s="3">
        <f t="shared" si="111"/>
        <v>0.73</v>
      </c>
      <c r="GE36" s="4" t="str">
        <f t="shared" ref="GE36:GE62" si="191">IF(AND(GD36 &lt;= GD$65, GD36 &gt;= GD$66), GD36, "")</f>
        <v/>
      </c>
      <c r="GF36" s="3">
        <v>0.45</v>
      </c>
      <c r="GG36" s="3">
        <f t="shared" si="113"/>
        <v>0.45</v>
      </c>
      <c r="GH36" s="4">
        <f t="shared" ref="GH36:GH62" si="192">IF(AND(GG36 &lt;= GG$65, GG36 &gt;= GG$66), GG36, "")</f>
        <v>0.45</v>
      </c>
      <c r="GI36" s="3">
        <v>0.15</v>
      </c>
      <c r="GJ36" s="3">
        <f t="shared" si="115"/>
        <v>0.15</v>
      </c>
      <c r="GK36" s="4">
        <f t="shared" ref="GK36:GK62" si="193">IF(AND(GJ36 &lt;= GJ$65, GJ36 &gt;= GJ$66), GJ36, "")</f>
        <v>0.15</v>
      </c>
      <c r="GL36" s="3">
        <v>1.17</v>
      </c>
      <c r="GM36" s="3">
        <f t="shared" si="117"/>
        <v>1.17</v>
      </c>
      <c r="GN36" s="4">
        <f t="shared" ref="GN36:GN62" si="194">IF(AND(GM36 &lt;= GM$65, GM36 &gt;= GM$66), GM36, "")</f>
        <v>1.17</v>
      </c>
      <c r="GO36" s="3">
        <v>0.85</v>
      </c>
      <c r="GP36" s="3">
        <f t="shared" si="119"/>
        <v>0.85</v>
      </c>
      <c r="GQ36" s="4" t="str">
        <f t="shared" ref="GQ36:GQ62" si="195">IF(AND(GP36 &lt;= GP$65, GP36 &gt;= GP$66), GP36, "")</f>
        <v/>
      </c>
      <c r="GR36" s="3">
        <v>0.73</v>
      </c>
      <c r="GS36" s="3">
        <f t="shared" si="121"/>
        <v>0.73</v>
      </c>
      <c r="GT36" s="4">
        <f t="shared" ref="GT36:GT62" si="196">IF(AND(GS36 &lt;= GS$65, GS36 &gt;= GS$66), GS36, "")</f>
        <v>0.73</v>
      </c>
      <c r="GU36" s="3">
        <v>0.24</v>
      </c>
      <c r="GV36" s="3">
        <f t="shared" si="123"/>
        <v>0.24</v>
      </c>
      <c r="GW36" s="4" t="str">
        <f t="shared" ref="GW36:GW62" si="197">IF(AND(GV36 &lt;= GV$65, GV36 &gt;= GV$66), GV36, "")</f>
        <v/>
      </c>
      <c r="GX36" s="3">
        <v>1.89</v>
      </c>
      <c r="GY36" s="3">
        <f t="shared" si="125"/>
        <v>1.89</v>
      </c>
      <c r="GZ36" s="21">
        <f t="shared" ref="GZ36:GZ62" si="198">IF(AND(GY36 &lt;= GY$65, GY36 &gt;= GY$66), GY36, "")</f>
        <v>1.89</v>
      </c>
    </row>
    <row r="37" spans="2:208">
      <c r="B37" s="20" t="s">
        <v>298</v>
      </c>
      <c r="C37" s="3">
        <v>3.03</v>
      </c>
      <c r="D37" s="3">
        <f t="shared" si="128"/>
        <v>3.03</v>
      </c>
      <c r="E37" s="4">
        <f t="shared" si="129"/>
        <v>3.03</v>
      </c>
      <c r="F37" s="3">
        <v>4.38</v>
      </c>
      <c r="G37" s="3">
        <f t="shared" si="130"/>
        <v>4.38</v>
      </c>
      <c r="H37" s="4">
        <f t="shared" si="131"/>
        <v>4.38</v>
      </c>
      <c r="I37" s="3">
        <v>5.3</v>
      </c>
      <c r="J37" s="3">
        <f t="shared" si="132"/>
        <v>5.3</v>
      </c>
      <c r="K37" s="4">
        <f t="shared" si="133"/>
        <v>5.3</v>
      </c>
      <c r="L37" s="3">
        <v>4.3</v>
      </c>
      <c r="M37" s="3">
        <f t="shared" si="134"/>
        <v>4.3</v>
      </c>
      <c r="N37" s="4">
        <f t="shared" si="135"/>
        <v>4.3</v>
      </c>
      <c r="O37" s="3">
        <v>4.2699999999999996</v>
      </c>
      <c r="P37" s="3">
        <f t="shared" si="136"/>
        <v>4.2699999999999996</v>
      </c>
      <c r="Q37" s="4">
        <f t="shared" si="137"/>
        <v>4.2699999999999996</v>
      </c>
      <c r="R37" s="3">
        <v>4.8600000000000003</v>
      </c>
      <c r="S37" s="3">
        <f t="shared" si="138"/>
        <v>4.8600000000000003</v>
      </c>
      <c r="T37" s="4">
        <f t="shared" si="139"/>
        <v>4.8600000000000003</v>
      </c>
      <c r="U37" s="3">
        <v>1.74</v>
      </c>
      <c r="V37" s="3">
        <f t="shared" si="140"/>
        <v>1.74</v>
      </c>
      <c r="W37" s="4">
        <f t="shared" si="141"/>
        <v>1.74</v>
      </c>
      <c r="X37" s="3">
        <v>2.15</v>
      </c>
      <c r="Y37" s="3">
        <f t="shared" si="142"/>
        <v>2.15</v>
      </c>
      <c r="Z37" s="21">
        <f t="shared" si="143"/>
        <v>2.15</v>
      </c>
      <c r="AB37" s="20" t="s">
        <v>299</v>
      </c>
      <c r="AC37" s="3">
        <v>2.83</v>
      </c>
      <c r="AD37" s="3">
        <f t="shared" si="144"/>
        <v>2.83</v>
      </c>
      <c r="AE37" s="4">
        <f t="shared" si="145"/>
        <v>2.83</v>
      </c>
      <c r="AF37" s="3">
        <v>3.13</v>
      </c>
      <c r="AG37" s="3">
        <f t="shared" si="146"/>
        <v>3.13</v>
      </c>
      <c r="AH37" s="4" t="str">
        <f t="shared" si="147"/>
        <v/>
      </c>
      <c r="AI37" s="3">
        <v>5.17</v>
      </c>
      <c r="AJ37" s="3">
        <f t="shared" si="148"/>
        <v>5.17</v>
      </c>
      <c r="AK37" s="4">
        <f t="shared" si="149"/>
        <v>5.17</v>
      </c>
      <c r="AL37" s="3">
        <v>6.03</v>
      </c>
      <c r="AM37" s="3">
        <f t="shared" si="150"/>
        <v>6.03</v>
      </c>
      <c r="AN37" s="4">
        <f t="shared" si="151"/>
        <v>6.03</v>
      </c>
      <c r="AO37" s="3">
        <v>0</v>
      </c>
      <c r="AP37" s="3" t="str">
        <f t="shared" si="152"/>
        <v/>
      </c>
      <c r="AQ37" s="4" t="str">
        <f t="shared" si="153"/>
        <v/>
      </c>
      <c r="AR37" s="3">
        <v>3.76</v>
      </c>
      <c r="AS37" s="3">
        <f t="shared" si="154"/>
        <v>3.76</v>
      </c>
      <c r="AT37" s="4">
        <f t="shared" si="155"/>
        <v>3.76</v>
      </c>
      <c r="AU37" s="3">
        <v>3.08</v>
      </c>
      <c r="AV37" s="3">
        <f t="shared" si="156"/>
        <v>3.08</v>
      </c>
      <c r="AW37" s="4">
        <f t="shared" si="157"/>
        <v>3.08</v>
      </c>
      <c r="AX37" s="3">
        <v>0</v>
      </c>
      <c r="AY37" s="3" t="str">
        <f t="shared" si="158"/>
        <v/>
      </c>
      <c r="AZ37" s="21" t="str">
        <f t="shared" si="31"/>
        <v/>
      </c>
      <c r="BB37" s="20" t="s">
        <v>300</v>
      </c>
      <c r="BC37" s="3">
        <v>1.1599999999999999</v>
      </c>
      <c r="BD37" s="3">
        <f t="shared" si="32"/>
        <v>1.1599999999999999</v>
      </c>
      <c r="BE37" s="4" t="str">
        <f t="shared" si="33"/>
        <v/>
      </c>
      <c r="BF37" s="3">
        <v>2.0299999999999998</v>
      </c>
      <c r="BG37" s="3">
        <f t="shared" si="34"/>
        <v>2.0299999999999998</v>
      </c>
      <c r="BH37" s="4" t="str">
        <f t="shared" si="35"/>
        <v/>
      </c>
      <c r="BI37" s="3">
        <v>4.1399999999999997</v>
      </c>
      <c r="BJ37" s="3">
        <f t="shared" si="36"/>
        <v>4.1399999999999997</v>
      </c>
      <c r="BK37" s="4">
        <f t="shared" si="37"/>
        <v>4.1399999999999997</v>
      </c>
      <c r="BL37" s="3">
        <v>4.34</v>
      </c>
      <c r="BM37" s="3">
        <f t="shared" si="38"/>
        <v>4.34</v>
      </c>
      <c r="BN37" s="4">
        <f t="shared" si="39"/>
        <v>4.34</v>
      </c>
      <c r="BO37" s="3">
        <v>3.64</v>
      </c>
      <c r="BP37" s="3">
        <f t="shared" si="40"/>
        <v>3.64</v>
      </c>
      <c r="BQ37" s="4">
        <f t="shared" si="41"/>
        <v>3.64</v>
      </c>
      <c r="BR37" s="3">
        <v>3.12</v>
      </c>
      <c r="BS37" s="3">
        <f t="shared" si="42"/>
        <v>3.12</v>
      </c>
      <c r="BT37" s="4">
        <f t="shared" si="43"/>
        <v>3.12</v>
      </c>
      <c r="BU37" s="3">
        <v>1.65</v>
      </c>
      <c r="BV37" s="3">
        <f t="shared" si="44"/>
        <v>1.65</v>
      </c>
      <c r="BW37" s="4">
        <f t="shared" si="45"/>
        <v>1.65</v>
      </c>
      <c r="BX37" s="3">
        <v>1.27</v>
      </c>
      <c r="BY37" s="3">
        <f t="shared" si="46"/>
        <v>1.27</v>
      </c>
      <c r="BZ37" s="21">
        <f t="shared" si="47"/>
        <v>1.27</v>
      </c>
      <c r="CB37" s="20" t="s">
        <v>301</v>
      </c>
      <c r="CC37" s="3">
        <v>4.1500000000000004</v>
      </c>
      <c r="CD37" s="3">
        <f t="shared" si="48"/>
        <v>4.1500000000000004</v>
      </c>
      <c r="CE37" s="4">
        <f t="shared" si="159"/>
        <v>4.1500000000000004</v>
      </c>
      <c r="CF37" s="3">
        <v>6.1</v>
      </c>
      <c r="CG37" s="3">
        <f t="shared" si="50"/>
        <v>6.1</v>
      </c>
      <c r="CH37" s="4">
        <f t="shared" si="160"/>
        <v>6.1</v>
      </c>
      <c r="CI37" s="3">
        <v>3.79</v>
      </c>
      <c r="CJ37" s="3">
        <f t="shared" si="52"/>
        <v>3.79</v>
      </c>
      <c r="CK37" s="4">
        <f t="shared" si="161"/>
        <v>3.79</v>
      </c>
      <c r="CL37" s="3">
        <v>0.91</v>
      </c>
      <c r="CM37" s="3">
        <f t="shared" si="54"/>
        <v>0.91</v>
      </c>
      <c r="CN37" s="4" t="str">
        <f t="shared" si="162"/>
        <v/>
      </c>
      <c r="CO37" s="3">
        <v>5.44</v>
      </c>
      <c r="CP37" s="3">
        <f t="shared" si="56"/>
        <v>5.44</v>
      </c>
      <c r="CQ37" s="4">
        <f t="shared" si="163"/>
        <v>5.44</v>
      </c>
      <c r="CR37" s="3">
        <v>1.1499999999999999</v>
      </c>
      <c r="CS37" s="3">
        <f t="shared" si="58"/>
        <v>1.1499999999999999</v>
      </c>
      <c r="CT37" s="4" t="str">
        <f t="shared" si="164"/>
        <v/>
      </c>
      <c r="CU37" s="3">
        <v>3.75</v>
      </c>
      <c r="CV37" s="3">
        <f t="shared" si="60"/>
        <v>3.75</v>
      </c>
      <c r="CW37" s="4">
        <f t="shared" si="165"/>
        <v>3.75</v>
      </c>
      <c r="CX37" s="3">
        <v>7.0000000000000007E-2</v>
      </c>
      <c r="CY37" s="3">
        <f t="shared" si="62"/>
        <v>7.0000000000000007E-2</v>
      </c>
      <c r="CZ37" s="21" t="str">
        <f t="shared" si="166"/>
        <v/>
      </c>
      <c r="DB37" s="20" t="s">
        <v>302</v>
      </c>
      <c r="DC37" s="3">
        <v>2.21</v>
      </c>
      <c r="DD37" s="3">
        <f t="shared" si="64"/>
        <v>2.21</v>
      </c>
      <c r="DE37" s="4">
        <f t="shared" si="167"/>
        <v>2.21</v>
      </c>
      <c r="DF37" s="3">
        <v>3.56</v>
      </c>
      <c r="DG37" s="3">
        <f t="shared" si="66"/>
        <v>3.56</v>
      </c>
      <c r="DH37" s="4" t="str">
        <f t="shared" si="168"/>
        <v/>
      </c>
      <c r="DI37" s="3">
        <v>2.59</v>
      </c>
      <c r="DJ37" s="3">
        <f t="shared" si="68"/>
        <v>2.59</v>
      </c>
      <c r="DK37" s="4">
        <f t="shared" si="169"/>
        <v>2.59</v>
      </c>
      <c r="DL37" s="3">
        <v>3.56</v>
      </c>
      <c r="DM37" s="3">
        <f t="shared" si="127"/>
        <v>3.56</v>
      </c>
      <c r="DN37" s="4">
        <f t="shared" si="170"/>
        <v>3.56</v>
      </c>
      <c r="DO37" s="3">
        <v>1.37</v>
      </c>
      <c r="DP37" s="3">
        <f t="shared" si="71"/>
        <v>1.37</v>
      </c>
      <c r="DQ37" s="4">
        <f t="shared" si="171"/>
        <v>1.37</v>
      </c>
      <c r="DR37" s="3">
        <v>1.17</v>
      </c>
      <c r="DS37" s="3">
        <f t="shared" si="73"/>
        <v>1.17</v>
      </c>
      <c r="DT37" s="4">
        <f t="shared" si="172"/>
        <v>1.17</v>
      </c>
      <c r="DU37" s="3">
        <v>1.37</v>
      </c>
      <c r="DV37" s="3">
        <f t="shared" si="75"/>
        <v>1.37</v>
      </c>
      <c r="DW37" s="4">
        <f t="shared" si="173"/>
        <v>1.37</v>
      </c>
      <c r="DX37" s="3">
        <v>0</v>
      </c>
      <c r="DY37" s="3" t="str">
        <f t="shared" si="77"/>
        <v/>
      </c>
      <c r="DZ37" s="21" t="str">
        <f t="shared" si="174"/>
        <v/>
      </c>
      <c r="EB37" s="20" t="s">
        <v>303</v>
      </c>
      <c r="EC37" s="3">
        <v>0.62</v>
      </c>
      <c r="ED37" s="3">
        <f t="shared" si="79"/>
        <v>0.62</v>
      </c>
      <c r="EE37" s="4">
        <f t="shared" si="175"/>
        <v>0.62</v>
      </c>
      <c r="EF37" s="3">
        <v>3.56</v>
      </c>
      <c r="EG37" s="3">
        <f t="shared" si="81"/>
        <v>3.56</v>
      </c>
      <c r="EH37" s="4">
        <f t="shared" si="176"/>
        <v>3.56</v>
      </c>
      <c r="EI37" s="3">
        <v>0.39</v>
      </c>
      <c r="EJ37" s="3">
        <f t="shared" si="83"/>
        <v>0.39</v>
      </c>
      <c r="EK37" s="4">
        <f t="shared" si="177"/>
        <v>0.39</v>
      </c>
      <c r="EL37" s="3">
        <v>1.37</v>
      </c>
      <c r="EM37" s="3">
        <f t="shared" si="85"/>
        <v>1.37</v>
      </c>
      <c r="EN37" s="4">
        <f t="shared" si="178"/>
        <v>1.37</v>
      </c>
      <c r="EO37" s="3">
        <v>2.59</v>
      </c>
      <c r="EP37" s="3">
        <f t="shared" si="87"/>
        <v>2.59</v>
      </c>
      <c r="EQ37" s="4">
        <f t="shared" si="179"/>
        <v>2.59</v>
      </c>
      <c r="ER37" s="3">
        <v>7.88</v>
      </c>
      <c r="ES37" s="3">
        <f t="shared" si="89"/>
        <v>7.88</v>
      </c>
      <c r="ET37" s="4" t="str">
        <f t="shared" si="180"/>
        <v/>
      </c>
      <c r="EU37" s="3">
        <v>0.45</v>
      </c>
      <c r="EV37" s="3">
        <f t="shared" si="91"/>
        <v>0.45</v>
      </c>
      <c r="EW37" s="4" t="str">
        <f t="shared" si="181"/>
        <v/>
      </c>
      <c r="EX37" s="3">
        <v>1.17</v>
      </c>
      <c r="EY37" s="3">
        <f t="shared" si="93"/>
        <v>1.17</v>
      </c>
      <c r="EZ37" s="21">
        <f t="shared" si="182"/>
        <v>1.17</v>
      </c>
      <c r="FB37" s="20" t="s">
        <v>304</v>
      </c>
      <c r="FC37" s="3">
        <v>12.69</v>
      </c>
      <c r="FD37" s="3">
        <f t="shared" si="95"/>
        <v>12.69</v>
      </c>
      <c r="FE37" s="4">
        <f t="shared" si="183"/>
        <v>12.69</v>
      </c>
      <c r="FF37" s="3">
        <v>1.17</v>
      </c>
      <c r="FG37" s="3">
        <f t="shared" si="97"/>
        <v>1.17</v>
      </c>
      <c r="FH37" s="4">
        <f t="shared" si="184"/>
        <v>1.17</v>
      </c>
      <c r="FI37" s="3">
        <v>1.89</v>
      </c>
      <c r="FJ37" s="3">
        <f t="shared" si="99"/>
        <v>1.89</v>
      </c>
      <c r="FK37" s="4">
        <f t="shared" si="185"/>
        <v>1.89</v>
      </c>
      <c r="FL37" s="3">
        <v>3.04</v>
      </c>
      <c r="FM37" s="3">
        <f t="shared" si="101"/>
        <v>3.04</v>
      </c>
      <c r="FN37" s="4">
        <f t="shared" si="186"/>
        <v>3.04</v>
      </c>
      <c r="FO37" s="3">
        <v>2.21</v>
      </c>
      <c r="FP37" s="3">
        <f t="shared" si="103"/>
        <v>2.21</v>
      </c>
      <c r="FQ37" s="4" t="str">
        <f t="shared" si="187"/>
        <v/>
      </c>
      <c r="FR37" s="3">
        <v>2.59</v>
      </c>
      <c r="FS37" s="3">
        <f t="shared" si="105"/>
        <v>2.59</v>
      </c>
      <c r="FT37" s="4">
        <f t="shared" si="188"/>
        <v>2.59</v>
      </c>
      <c r="FU37" s="3">
        <v>0.24</v>
      </c>
      <c r="FV37" s="3">
        <f t="shared" si="107"/>
        <v>0.24</v>
      </c>
      <c r="FW37" s="4">
        <f t="shared" si="189"/>
        <v>0.24</v>
      </c>
      <c r="FX37" s="3">
        <v>0.2</v>
      </c>
      <c r="FY37" s="3">
        <f t="shared" si="109"/>
        <v>0.2</v>
      </c>
      <c r="FZ37" s="21">
        <f t="shared" si="190"/>
        <v>0.2</v>
      </c>
      <c r="GB37" s="20" t="s">
        <v>305</v>
      </c>
      <c r="GC37" s="3">
        <v>0.73</v>
      </c>
      <c r="GD37" s="3">
        <f t="shared" si="111"/>
        <v>0.73</v>
      </c>
      <c r="GE37" s="4" t="str">
        <f t="shared" si="191"/>
        <v/>
      </c>
      <c r="GF37" s="3">
        <v>0.45</v>
      </c>
      <c r="GG37" s="3">
        <f t="shared" si="113"/>
        <v>0.45</v>
      </c>
      <c r="GH37" s="4">
        <f t="shared" si="192"/>
        <v>0.45</v>
      </c>
      <c r="GI37" s="3">
        <v>0.17</v>
      </c>
      <c r="GJ37" s="3">
        <f t="shared" si="115"/>
        <v>0.17</v>
      </c>
      <c r="GK37" s="4">
        <f t="shared" si="193"/>
        <v>0.17</v>
      </c>
      <c r="GL37" s="3">
        <v>0</v>
      </c>
      <c r="GM37" s="3" t="str">
        <f t="shared" si="117"/>
        <v/>
      </c>
      <c r="GN37" s="4" t="str">
        <f t="shared" si="194"/>
        <v/>
      </c>
      <c r="GO37" s="3">
        <v>1.89</v>
      </c>
      <c r="GP37" s="3">
        <f t="shared" si="119"/>
        <v>1.89</v>
      </c>
      <c r="GQ37" s="4">
        <f t="shared" si="195"/>
        <v>1.89</v>
      </c>
      <c r="GR37" s="3">
        <v>0.53</v>
      </c>
      <c r="GS37" s="3">
        <f t="shared" si="121"/>
        <v>0.53</v>
      </c>
      <c r="GT37" s="4">
        <f t="shared" si="196"/>
        <v>0.53</v>
      </c>
      <c r="GU37" s="3">
        <v>0.28000000000000003</v>
      </c>
      <c r="GV37" s="3">
        <f t="shared" si="123"/>
        <v>0.28000000000000003</v>
      </c>
      <c r="GW37" s="4">
        <f t="shared" si="197"/>
        <v>0.28000000000000003</v>
      </c>
      <c r="GX37" s="3">
        <v>2.21</v>
      </c>
      <c r="GY37" s="3">
        <f t="shared" si="125"/>
        <v>2.21</v>
      </c>
      <c r="GZ37" s="21">
        <f t="shared" si="198"/>
        <v>2.21</v>
      </c>
    </row>
    <row r="38" spans="2:208">
      <c r="B38" s="20" t="s">
        <v>306</v>
      </c>
      <c r="C38" s="3">
        <v>3</v>
      </c>
      <c r="D38" s="3">
        <f t="shared" si="128"/>
        <v>3</v>
      </c>
      <c r="E38" s="4">
        <f t="shared" si="129"/>
        <v>3</v>
      </c>
      <c r="F38" s="3">
        <v>4.37</v>
      </c>
      <c r="G38" s="3">
        <f t="shared" si="130"/>
        <v>4.37</v>
      </c>
      <c r="H38" s="4">
        <f t="shared" si="131"/>
        <v>4.37</v>
      </c>
      <c r="I38" s="3">
        <v>5.35</v>
      </c>
      <c r="J38" s="3">
        <f t="shared" si="132"/>
        <v>5.35</v>
      </c>
      <c r="K38" s="4">
        <f t="shared" si="133"/>
        <v>5.35</v>
      </c>
      <c r="L38" s="3">
        <v>4.7300000000000004</v>
      </c>
      <c r="M38" s="3">
        <f t="shared" si="134"/>
        <v>4.7300000000000004</v>
      </c>
      <c r="N38" s="4">
        <f t="shared" si="135"/>
        <v>4.7300000000000004</v>
      </c>
      <c r="O38" s="3">
        <v>4.33</v>
      </c>
      <c r="P38" s="3">
        <f t="shared" si="136"/>
        <v>4.33</v>
      </c>
      <c r="Q38" s="4">
        <f t="shared" si="137"/>
        <v>4.33</v>
      </c>
      <c r="R38" s="3">
        <v>4.83</v>
      </c>
      <c r="S38" s="3">
        <f t="shared" si="138"/>
        <v>4.83</v>
      </c>
      <c r="T38" s="4">
        <f t="shared" si="139"/>
        <v>4.83</v>
      </c>
      <c r="U38" s="3">
        <v>1.74</v>
      </c>
      <c r="V38" s="3">
        <f t="shared" si="140"/>
        <v>1.74</v>
      </c>
      <c r="W38" s="4">
        <f t="shared" si="141"/>
        <v>1.74</v>
      </c>
      <c r="X38" s="3">
        <v>2.29</v>
      </c>
      <c r="Y38" s="3">
        <f t="shared" si="142"/>
        <v>2.29</v>
      </c>
      <c r="Z38" s="21">
        <f t="shared" si="143"/>
        <v>2.29</v>
      </c>
      <c r="AB38" s="20" t="s">
        <v>307</v>
      </c>
      <c r="AC38" s="3">
        <v>2.81</v>
      </c>
      <c r="AD38" s="3">
        <f t="shared" si="144"/>
        <v>2.81</v>
      </c>
      <c r="AE38" s="4">
        <f t="shared" si="145"/>
        <v>2.81</v>
      </c>
      <c r="AF38" s="3">
        <v>5.41</v>
      </c>
      <c r="AG38" s="3">
        <f t="shared" si="146"/>
        <v>5.41</v>
      </c>
      <c r="AH38" s="4">
        <f t="shared" si="147"/>
        <v>5.41</v>
      </c>
      <c r="AI38" s="3">
        <v>5.15</v>
      </c>
      <c r="AJ38" s="3">
        <f t="shared" si="148"/>
        <v>5.15</v>
      </c>
      <c r="AK38" s="4">
        <f t="shared" si="149"/>
        <v>5.15</v>
      </c>
      <c r="AL38" s="3">
        <v>6.08</v>
      </c>
      <c r="AM38" s="3">
        <f t="shared" si="150"/>
        <v>6.08</v>
      </c>
      <c r="AN38" s="4">
        <f t="shared" si="151"/>
        <v>6.08</v>
      </c>
      <c r="AO38" s="3">
        <v>0</v>
      </c>
      <c r="AP38" s="3" t="str">
        <f t="shared" si="152"/>
        <v/>
      </c>
      <c r="AQ38" s="4" t="str">
        <f t="shared" si="153"/>
        <v/>
      </c>
      <c r="AR38" s="3">
        <v>3.74</v>
      </c>
      <c r="AS38" s="3">
        <f t="shared" si="154"/>
        <v>3.74</v>
      </c>
      <c r="AT38" s="4">
        <f t="shared" si="155"/>
        <v>3.74</v>
      </c>
      <c r="AU38" s="3">
        <v>3.02</v>
      </c>
      <c r="AV38" s="3">
        <f t="shared" si="156"/>
        <v>3.02</v>
      </c>
      <c r="AW38" s="4">
        <f t="shared" si="157"/>
        <v>3.02</v>
      </c>
      <c r="AX38" s="3">
        <v>4.18</v>
      </c>
      <c r="AY38" s="3">
        <f t="shared" si="158"/>
        <v>4.18</v>
      </c>
      <c r="AZ38" s="21" t="str">
        <f t="shared" si="31"/>
        <v/>
      </c>
      <c r="BB38" s="20" t="s">
        <v>308</v>
      </c>
      <c r="BC38" s="3">
        <v>3.91</v>
      </c>
      <c r="BD38" s="3">
        <f t="shared" si="32"/>
        <v>3.91</v>
      </c>
      <c r="BE38" s="4">
        <f t="shared" si="33"/>
        <v>3.91</v>
      </c>
      <c r="BF38" s="3">
        <v>4.26</v>
      </c>
      <c r="BG38" s="3">
        <f t="shared" si="34"/>
        <v>4.26</v>
      </c>
      <c r="BH38" s="4">
        <f t="shared" si="35"/>
        <v>4.26</v>
      </c>
      <c r="BI38" s="3">
        <v>4.17</v>
      </c>
      <c r="BJ38" s="3">
        <f t="shared" si="36"/>
        <v>4.17</v>
      </c>
      <c r="BK38" s="4">
        <f t="shared" si="37"/>
        <v>4.17</v>
      </c>
      <c r="BL38" s="3">
        <v>4.26</v>
      </c>
      <c r="BM38" s="3">
        <f t="shared" si="38"/>
        <v>4.26</v>
      </c>
      <c r="BN38" s="4">
        <f t="shared" si="39"/>
        <v>4.26</v>
      </c>
      <c r="BO38" s="3">
        <v>3.63</v>
      </c>
      <c r="BP38" s="3">
        <f t="shared" si="40"/>
        <v>3.63</v>
      </c>
      <c r="BQ38" s="4">
        <f t="shared" si="41"/>
        <v>3.63</v>
      </c>
      <c r="BR38" s="3">
        <v>3.13</v>
      </c>
      <c r="BS38" s="3">
        <f t="shared" si="42"/>
        <v>3.13</v>
      </c>
      <c r="BT38" s="4">
        <f t="shared" si="43"/>
        <v>3.13</v>
      </c>
      <c r="BU38" s="3">
        <v>1.62</v>
      </c>
      <c r="BV38" s="3">
        <f t="shared" si="44"/>
        <v>1.62</v>
      </c>
      <c r="BW38" s="4">
        <f t="shared" si="45"/>
        <v>1.62</v>
      </c>
      <c r="BX38" s="3">
        <v>1.2</v>
      </c>
      <c r="BY38" s="3">
        <f t="shared" si="46"/>
        <v>1.2</v>
      </c>
      <c r="BZ38" s="21">
        <f t="shared" si="47"/>
        <v>1.2</v>
      </c>
      <c r="CB38" s="20" t="s">
        <v>309</v>
      </c>
      <c r="CC38" s="3">
        <v>3.5</v>
      </c>
      <c r="CD38" s="3">
        <f t="shared" si="48"/>
        <v>3.5</v>
      </c>
      <c r="CE38" s="4">
        <f t="shared" si="159"/>
        <v>3.5</v>
      </c>
      <c r="CF38" s="3">
        <v>6.1</v>
      </c>
      <c r="CG38" s="3">
        <f t="shared" si="50"/>
        <v>6.1</v>
      </c>
      <c r="CH38" s="4">
        <f t="shared" si="160"/>
        <v>6.1</v>
      </c>
      <c r="CI38" s="3">
        <v>3.74</v>
      </c>
      <c r="CJ38" s="3">
        <f t="shared" si="52"/>
        <v>3.74</v>
      </c>
      <c r="CK38" s="4">
        <f t="shared" si="161"/>
        <v>3.74</v>
      </c>
      <c r="CL38" s="3">
        <v>4.03</v>
      </c>
      <c r="CM38" s="3">
        <f t="shared" si="54"/>
        <v>4.03</v>
      </c>
      <c r="CN38" s="4">
        <f t="shared" si="162"/>
        <v>4.03</v>
      </c>
      <c r="CO38" s="3">
        <v>5.45</v>
      </c>
      <c r="CP38" s="3">
        <f t="shared" si="56"/>
        <v>5.45</v>
      </c>
      <c r="CQ38" s="4">
        <f t="shared" si="163"/>
        <v>5.45</v>
      </c>
      <c r="CR38" s="3">
        <v>1.84</v>
      </c>
      <c r="CS38" s="3">
        <f t="shared" si="58"/>
        <v>1.84</v>
      </c>
      <c r="CT38" s="4">
        <f t="shared" si="164"/>
        <v>1.84</v>
      </c>
      <c r="CU38" s="3">
        <v>3.73</v>
      </c>
      <c r="CV38" s="3">
        <f t="shared" si="60"/>
        <v>3.73</v>
      </c>
      <c r="CW38" s="4">
        <f t="shared" si="165"/>
        <v>3.73</v>
      </c>
      <c r="CX38" s="3">
        <v>3.98</v>
      </c>
      <c r="CY38" s="3">
        <f t="shared" si="62"/>
        <v>3.98</v>
      </c>
      <c r="CZ38" s="21" t="str">
        <f t="shared" si="166"/>
        <v/>
      </c>
      <c r="DB38" s="20" t="s">
        <v>310</v>
      </c>
      <c r="DC38" s="3">
        <v>0</v>
      </c>
      <c r="DD38" s="3" t="str">
        <f t="shared" si="64"/>
        <v/>
      </c>
      <c r="DE38" s="4" t="str">
        <f t="shared" si="167"/>
        <v/>
      </c>
      <c r="DF38" s="3">
        <v>1.17</v>
      </c>
      <c r="DG38" s="3">
        <f t="shared" si="66"/>
        <v>1.17</v>
      </c>
      <c r="DH38" s="4">
        <f t="shared" si="168"/>
        <v>1.17</v>
      </c>
      <c r="DI38" s="3">
        <v>2.59</v>
      </c>
      <c r="DJ38" s="3">
        <f t="shared" si="68"/>
        <v>2.59</v>
      </c>
      <c r="DK38" s="4">
        <f t="shared" si="169"/>
        <v>2.59</v>
      </c>
      <c r="DL38" s="3">
        <v>3.56</v>
      </c>
      <c r="DM38" s="3">
        <f t="shared" si="127"/>
        <v>3.56</v>
      </c>
      <c r="DN38" s="4">
        <f t="shared" si="170"/>
        <v>3.56</v>
      </c>
      <c r="DO38" s="3">
        <v>1.37</v>
      </c>
      <c r="DP38" s="3">
        <f t="shared" si="71"/>
        <v>1.37</v>
      </c>
      <c r="DQ38" s="4">
        <f t="shared" si="171"/>
        <v>1.37</v>
      </c>
      <c r="DR38" s="3">
        <v>1.17</v>
      </c>
      <c r="DS38" s="3">
        <f t="shared" si="73"/>
        <v>1.17</v>
      </c>
      <c r="DT38" s="4">
        <f t="shared" si="172"/>
        <v>1.17</v>
      </c>
      <c r="DU38" s="3">
        <v>0.33</v>
      </c>
      <c r="DV38" s="3">
        <f t="shared" si="75"/>
        <v>0.33</v>
      </c>
      <c r="DW38" s="4" t="str">
        <f t="shared" si="173"/>
        <v/>
      </c>
      <c r="DX38" s="3">
        <v>0</v>
      </c>
      <c r="DY38" s="3" t="str">
        <f t="shared" si="77"/>
        <v/>
      </c>
      <c r="DZ38" s="21" t="str">
        <f t="shared" si="174"/>
        <v/>
      </c>
      <c r="EB38" s="20" t="s">
        <v>311</v>
      </c>
      <c r="EC38" s="3">
        <v>0.53</v>
      </c>
      <c r="ED38" s="3">
        <f t="shared" si="79"/>
        <v>0.53</v>
      </c>
      <c r="EE38" s="4">
        <f t="shared" si="175"/>
        <v>0.53</v>
      </c>
      <c r="EF38" s="3">
        <v>3.56</v>
      </c>
      <c r="EG38" s="3">
        <f t="shared" si="81"/>
        <v>3.56</v>
      </c>
      <c r="EH38" s="4">
        <f t="shared" si="176"/>
        <v>3.56</v>
      </c>
      <c r="EI38" s="3">
        <v>0.33</v>
      </c>
      <c r="EJ38" s="3">
        <f t="shared" si="83"/>
        <v>0.33</v>
      </c>
      <c r="EK38" s="4">
        <f t="shared" si="177"/>
        <v>0.33</v>
      </c>
      <c r="EL38" s="3">
        <v>1.61</v>
      </c>
      <c r="EM38" s="3">
        <f t="shared" si="85"/>
        <v>1.61</v>
      </c>
      <c r="EN38" s="4">
        <f t="shared" si="178"/>
        <v>1.61</v>
      </c>
      <c r="EO38" s="3">
        <v>2.21</v>
      </c>
      <c r="EP38" s="3">
        <f t="shared" si="87"/>
        <v>2.21</v>
      </c>
      <c r="EQ38" s="4">
        <f t="shared" si="179"/>
        <v>2.21</v>
      </c>
      <c r="ER38" s="3">
        <v>1.89</v>
      </c>
      <c r="ES38" s="3">
        <f t="shared" si="89"/>
        <v>1.89</v>
      </c>
      <c r="ET38" s="4">
        <f t="shared" si="180"/>
        <v>1.89</v>
      </c>
      <c r="EU38" s="3">
        <v>0.62</v>
      </c>
      <c r="EV38" s="3">
        <f t="shared" si="91"/>
        <v>0.62</v>
      </c>
      <c r="EW38" s="4">
        <f t="shared" si="181"/>
        <v>0.62</v>
      </c>
      <c r="EX38" s="3">
        <v>1.17</v>
      </c>
      <c r="EY38" s="3">
        <f t="shared" si="93"/>
        <v>1.17</v>
      </c>
      <c r="EZ38" s="21">
        <f t="shared" si="182"/>
        <v>1.17</v>
      </c>
      <c r="FB38" s="20" t="s">
        <v>312</v>
      </c>
      <c r="FC38" s="3">
        <v>7.88</v>
      </c>
      <c r="FD38" s="3">
        <f t="shared" si="95"/>
        <v>7.88</v>
      </c>
      <c r="FE38" s="4" t="str">
        <f t="shared" si="183"/>
        <v/>
      </c>
      <c r="FF38" s="3">
        <v>1.37</v>
      </c>
      <c r="FG38" s="3">
        <f t="shared" si="97"/>
        <v>1.37</v>
      </c>
      <c r="FH38" s="4">
        <f t="shared" si="184"/>
        <v>1.37</v>
      </c>
      <c r="FI38" s="3">
        <v>1.61</v>
      </c>
      <c r="FJ38" s="3">
        <f t="shared" si="99"/>
        <v>1.61</v>
      </c>
      <c r="FK38" s="4">
        <f t="shared" si="185"/>
        <v>1.61</v>
      </c>
      <c r="FL38" s="3">
        <v>3.04</v>
      </c>
      <c r="FM38" s="3">
        <f t="shared" si="101"/>
        <v>3.04</v>
      </c>
      <c r="FN38" s="4">
        <f t="shared" si="186"/>
        <v>3.04</v>
      </c>
      <c r="FO38" s="3">
        <v>1.89</v>
      </c>
      <c r="FP38" s="3">
        <f t="shared" si="103"/>
        <v>1.89</v>
      </c>
      <c r="FQ38" s="4">
        <f t="shared" si="187"/>
        <v>1.89</v>
      </c>
      <c r="FR38" s="3">
        <v>2.21</v>
      </c>
      <c r="FS38" s="3">
        <f t="shared" si="105"/>
        <v>2.21</v>
      </c>
      <c r="FT38" s="4">
        <f t="shared" si="188"/>
        <v>2.21</v>
      </c>
      <c r="FU38" s="3">
        <v>0.24</v>
      </c>
      <c r="FV38" s="3">
        <f t="shared" si="107"/>
        <v>0.24</v>
      </c>
      <c r="FW38" s="4">
        <f t="shared" si="189"/>
        <v>0.24</v>
      </c>
      <c r="FX38" s="3">
        <v>0.2</v>
      </c>
      <c r="FY38" s="3">
        <f t="shared" si="109"/>
        <v>0.2</v>
      </c>
      <c r="FZ38" s="21">
        <f t="shared" si="190"/>
        <v>0.2</v>
      </c>
      <c r="GB38" s="20" t="s">
        <v>313</v>
      </c>
      <c r="GC38" s="3">
        <v>0.73</v>
      </c>
      <c r="GD38" s="3">
        <f t="shared" si="111"/>
        <v>0.73</v>
      </c>
      <c r="GE38" s="4" t="str">
        <f t="shared" si="191"/>
        <v/>
      </c>
      <c r="GF38" s="3">
        <v>0.53</v>
      </c>
      <c r="GG38" s="3">
        <f t="shared" si="113"/>
        <v>0.53</v>
      </c>
      <c r="GH38" s="4">
        <f t="shared" si="192"/>
        <v>0.53</v>
      </c>
      <c r="GI38" s="3">
        <v>0.15</v>
      </c>
      <c r="GJ38" s="3">
        <f t="shared" si="115"/>
        <v>0.15</v>
      </c>
      <c r="GK38" s="4">
        <f t="shared" si="193"/>
        <v>0.15</v>
      </c>
      <c r="GL38" s="3">
        <v>1.17</v>
      </c>
      <c r="GM38" s="3">
        <f t="shared" si="117"/>
        <v>1.17</v>
      </c>
      <c r="GN38" s="4">
        <f t="shared" si="194"/>
        <v>1.17</v>
      </c>
      <c r="GO38" s="3">
        <v>2.21</v>
      </c>
      <c r="GP38" s="3">
        <f t="shared" si="119"/>
        <v>2.21</v>
      </c>
      <c r="GQ38" s="4">
        <f t="shared" si="195"/>
        <v>2.21</v>
      </c>
      <c r="GR38" s="3">
        <v>0.73</v>
      </c>
      <c r="GS38" s="3">
        <f t="shared" si="121"/>
        <v>0.73</v>
      </c>
      <c r="GT38" s="4">
        <f t="shared" si="196"/>
        <v>0.73</v>
      </c>
      <c r="GU38" s="3">
        <v>0.39</v>
      </c>
      <c r="GV38" s="3">
        <f t="shared" si="123"/>
        <v>0.39</v>
      </c>
      <c r="GW38" s="4" t="str">
        <f t="shared" si="197"/>
        <v/>
      </c>
      <c r="GX38" s="3">
        <v>2.21</v>
      </c>
      <c r="GY38" s="3">
        <f t="shared" si="125"/>
        <v>2.21</v>
      </c>
      <c r="GZ38" s="21">
        <f t="shared" si="198"/>
        <v>2.21</v>
      </c>
    </row>
    <row r="39" spans="2:208">
      <c r="B39" s="20" t="s">
        <v>314</v>
      </c>
      <c r="C39" s="3">
        <v>2.96</v>
      </c>
      <c r="D39" s="3">
        <f t="shared" si="128"/>
        <v>2.96</v>
      </c>
      <c r="E39" s="4">
        <f t="shared" si="129"/>
        <v>2.96</v>
      </c>
      <c r="F39" s="3">
        <v>4.4000000000000004</v>
      </c>
      <c r="G39" s="3">
        <f t="shared" si="130"/>
        <v>4.4000000000000004</v>
      </c>
      <c r="H39" s="4">
        <f t="shared" si="131"/>
        <v>4.4000000000000004</v>
      </c>
      <c r="I39" s="3">
        <v>5.29</v>
      </c>
      <c r="J39" s="3">
        <f t="shared" si="132"/>
        <v>5.29</v>
      </c>
      <c r="K39" s="4">
        <f t="shared" si="133"/>
        <v>5.29</v>
      </c>
      <c r="L39" s="3">
        <v>5.68</v>
      </c>
      <c r="M39" s="3">
        <f t="shared" si="134"/>
        <v>5.68</v>
      </c>
      <c r="N39" s="4">
        <f t="shared" si="135"/>
        <v>5.68</v>
      </c>
      <c r="O39" s="3">
        <v>4.32</v>
      </c>
      <c r="P39" s="3">
        <f t="shared" si="136"/>
        <v>4.32</v>
      </c>
      <c r="Q39" s="4">
        <f t="shared" si="137"/>
        <v>4.32</v>
      </c>
      <c r="R39" s="3">
        <v>1.89</v>
      </c>
      <c r="S39" s="3">
        <f t="shared" si="138"/>
        <v>1.89</v>
      </c>
      <c r="T39" s="4" t="str">
        <f t="shared" si="139"/>
        <v/>
      </c>
      <c r="U39" s="3">
        <v>1.77</v>
      </c>
      <c r="V39" s="3">
        <f t="shared" si="140"/>
        <v>1.77</v>
      </c>
      <c r="W39" s="4">
        <f t="shared" si="141"/>
        <v>1.77</v>
      </c>
      <c r="X39" s="3">
        <v>3.27</v>
      </c>
      <c r="Y39" s="3">
        <f t="shared" si="142"/>
        <v>3.27</v>
      </c>
      <c r="Z39" s="21" t="str">
        <f t="shared" si="143"/>
        <v/>
      </c>
      <c r="AB39" s="20" t="s">
        <v>315</v>
      </c>
      <c r="AC39" s="3">
        <v>0.77</v>
      </c>
      <c r="AD39" s="3">
        <f t="shared" si="144"/>
        <v>0.77</v>
      </c>
      <c r="AE39" s="4" t="str">
        <f t="shared" si="145"/>
        <v/>
      </c>
      <c r="AF39" s="3">
        <v>2.16</v>
      </c>
      <c r="AG39" s="3">
        <f t="shared" si="146"/>
        <v>2.16</v>
      </c>
      <c r="AH39" s="4" t="str">
        <f t="shared" si="147"/>
        <v/>
      </c>
      <c r="AI39" s="3">
        <v>5.2</v>
      </c>
      <c r="AJ39" s="3">
        <f t="shared" si="148"/>
        <v>5.2</v>
      </c>
      <c r="AK39" s="4">
        <f t="shared" si="149"/>
        <v>5.2</v>
      </c>
      <c r="AL39" s="3">
        <v>6.06</v>
      </c>
      <c r="AM39" s="3">
        <f t="shared" si="150"/>
        <v>6.06</v>
      </c>
      <c r="AN39" s="4">
        <f t="shared" si="151"/>
        <v>6.06</v>
      </c>
      <c r="AO39" s="3">
        <v>0</v>
      </c>
      <c r="AP39" s="3" t="str">
        <f t="shared" si="152"/>
        <v/>
      </c>
      <c r="AQ39" s="4" t="str">
        <f t="shared" si="153"/>
        <v/>
      </c>
      <c r="AR39" s="3">
        <v>3.74</v>
      </c>
      <c r="AS39" s="3">
        <f t="shared" si="154"/>
        <v>3.74</v>
      </c>
      <c r="AT39" s="4">
        <f t="shared" si="155"/>
        <v>3.74</v>
      </c>
      <c r="AU39" s="3">
        <v>3.03</v>
      </c>
      <c r="AV39" s="3">
        <f t="shared" si="156"/>
        <v>3.03</v>
      </c>
      <c r="AW39" s="4">
        <f t="shared" si="157"/>
        <v>3.03</v>
      </c>
      <c r="AX39" s="3">
        <v>2.88</v>
      </c>
      <c r="AY39" s="3">
        <f t="shared" si="158"/>
        <v>2.88</v>
      </c>
      <c r="AZ39" s="21">
        <f t="shared" si="31"/>
        <v>2.88</v>
      </c>
      <c r="BB39" s="20" t="s">
        <v>316</v>
      </c>
      <c r="BC39" s="3">
        <v>3.92</v>
      </c>
      <c r="BD39" s="3">
        <f t="shared" si="32"/>
        <v>3.92</v>
      </c>
      <c r="BE39" s="4">
        <f t="shared" si="33"/>
        <v>3.92</v>
      </c>
      <c r="BF39" s="3">
        <v>4.26</v>
      </c>
      <c r="BG39" s="3">
        <f t="shared" si="34"/>
        <v>4.26</v>
      </c>
      <c r="BH39" s="4">
        <f t="shared" si="35"/>
        <v>4.26</v>
      </c>
      <c r="BI39" s="3">
        <v>4.16</v>
      </c>
      <c r="BJ39" s="3">
        <f t="shared" si="36"/>
        <v>4.16</v>
      </c>
      <c r="BK39" s="4">
        <f t="shared" si="37"/>
        <v>4.16</v>
      </c>
      <c r="BL39" s="3">
        <v>4.28</v>
      </c>
      <c r="BM39" s="3">
        <f t="shared" si="38"/>
        <v>4.28</v>
      </c>
      <c r="BN39" s="4">
        <f t="shared" si="39"/>
        <v>4.28</v>
      </c>
      <c r="BO39" s="3">
        <v>3.62</v>
      </c>
      <c r="BP39" s="3">
        <f t="shared" si="40"/>
        <v>3.62</v>
      </c>
      <c r="BQ39" s="4">
        <f t="shared" si="41"/>
        <v>3.62</v>
      </c>
      <c r="BR39" s="3">
        <v>3.13</v>
      </c>
      <c r="BS39" s="3">
        <f t="shared" si="42"/>
        <v>3.13</v>
      </c>
      <c r="BT39" s="4">
        <f t="shared" si="43"/>
        <v>3.13</v>
      </c>
      <c r="BU39" s="3">
        <v>1.64</v>
      </c>
      <c r="BV39" s="3">
        <f t="shared" si="44"/>
        <v>1.64</v>
      </c>
      <c r="BW39" s="4">
        <f t="shared" si="45"/>
        <v>1.64</v>
      </c>
      <c r="BX39" s="3">
        <v>1.19</v>
      </c>
      <c r="BY39" s="3">
        <f t="shared" si="46"/>
        <v>1.19</v>
      </c>
      <c r="BZ39" s="21">
        <f t="shared" si="47"/>
        <v>1.19</v>
      </c>
      <c r="CB39" s="20" t="s">
        <v>317</v>
      </c>
      <c r="CC39" s="3">
        <v>4.16</v>
      </c>
      <c r="CD39" s="3">
        <f t="shared" si="48"/>
        <v>4.16</v>
      </c>
      <c r="CE39" s="4">
        <f t="shared" si="159"/>
        <v>4.16</v>
      </c>
      <c r="CF39" s="3">
        <v>6.08</v>
      </c>
      <c r="CG39" s="3">
        <f t="shared" si="50"/>
        <v>6.08</v>
      </c>
      <c r="CH39" s="4">
        <f t="shared" si="160"/>
        <v>6.08</v>
      </c>
      <c r="CI39" s="3">
        <v>3.77</v>
      </c>
      <c r="CJ39" s="3">
        <f t="shared" si="52"/>
        <v>3.77</v>
      </c>
      <c r="CK39" s="4">
        <f t="shared" si="161"/>
        <v>3.77</v>
      </c>
      <c r="CL39" s="3">
        <v>5.13</v>
      </c>
      <c r="CM39" s="3">
        <f t="shared" si="54"/>
        <v>5.13</v>
      </c>
      <c r="CN39" s="4">
        <f t="shared" si="162"/>
        <v>5.13</v>
      </c>
      <c r="CO39" s="3">
        <v>5.46</v>
      </c>
      <c r="CP39" s="3">
        <f t="shared" si="56"/>
        <v>5.46</v>
      </c>
      <c r="CQ39" s="4">
        <f t="shared" si="163"/>
        <v>5.46</v>
      </c>
      <c r="CR39" s="3">
        <v>1.84</v>
      </c>
      <c r="CS39" s="3">
        <f t="shared" si="58"/>
        <v>1.84</v>
      </c>
      <c r="CT39" s="4">
        <f t="shared" si="164"/>
        <v>1.84</v>
      </c>
      <c r="CU39" s="3">
        <v>3.72</v>
      </c>
      <c r="CV39" s="3">
        <f t="shared" si="60"/>
        <v>3.72</v>
      </c>
      <c r="CW39" s="4">
        <f t="shared" si="165"/>
        <v>3.72</v>
      </c>
      <c r="CX39" s="3">
        <v>4</v>
      </c>
      <c r="CY39" s="3">
        <f t="shared" si="62"/>
        <v>4</v>
      </c>
      <c r="CZ39" s="21" t="str">
        <f t="shared" si="166"/>
        <v/>
      </c>
      <c r="DB39" s="20" t="s">
        <v>318</v>
      </c>
      <c r="DC39" s="3">
        <v>0</v>
      </c>
      <c r="DD39" s="3" t="str">
        <f t="shared" si="64"/>
        <v/>
      </c>
      <c r="DE39" s="4" t="str">
        <f t="shared" si="167"/>
        <v/>
      </c>
      <c r="DF39" s="3">
        <v>0.85</v>
      </c>
      <c r="DG39" s="3">
        <f t="shared" si="66"/>
        <v>0.85</v>
      </c>
      <c r="DH39" s="4">
        <f t="shared" si="168"/>
        <v>0.85</v>
      </c>
      <c r="DI39" s="3">
        <v>9.24</v>
      </c>
      <c r="DJ39" s="3">
        <f t="shared" si="68"/>
        <v>9.24</v>
      </c>
      <c r="DK39" s="4" t="str">
        <f t="shared" si="169"/>
        <v/>
      </c>
      <c r="DL39" s="3">
        <v>2.59</v>
      </c>
      <c r="DM39" s="3">
        <f t="shared" si="127"/>
        <v>2.59</v>
      </c>
      <c r="DN39" s="4">
        <f t="shared" si="170"/>
        <v>2.59</v>
      </c>
      <c r="DO39" s="3">
        <v>1.37</v>
      </c>
      <c r="DP39" s="3">
        <f t="shared" si="71"/>
        <v>1.37</v>
      </c>
      <c r="DQ39" s="4">
        <f t="shared" si="171"/>
        <v>1.37</v>
      </c>
      <c r="DR39" s="3">
        <v>62.1</v>
      </c>
      <c r="DS39" s="3">
        <f t="shared" si="73"/>
        <v>62.1</v>
      </c>
      <c r="DT39" s="4" t="str">
        <f t="shared" si="172"/>
        <v/>
      </c>
      <c r="DU39" s="3">
        <v>0.45</v>
      </c>
      <c r="DV39" s="3">
        <f t="shared" si="75"/>
        <v>0.45</v>
      </c>
      <c r="DW39" s="4" t="str">
        <f t="shared" si="173"/>
        <v/>
      </c>
      <c r="DX39" s="3">
        <v>3.04</v>
      </c>
      <c r="DY39" s="3">
        <f t="shared" si="77"/>
        <v>3.04</v>
      </c>
      <c r="DZ39" s="21">
        <f t="shared" si="174"/>
        <v>3.04</v>
      </c>
      <c r="EB39" s="20" t="s">
        <v>319</v>
      </c>
      <c r="EC39" s="3">
        <v>0.53</v>
      </c>
      <c r="ED39" s="3">
        <f t="shared" si="79"/>
        <v>0.53</v>
      </c>
      <c r="EE39" s="4">
        <f t="shared" si="175"/>
        <v>0.53</v>
      </c>
      <c r="EF39" s="3">
        <v>3.56</v>
      </c>
      <c r="EG39" s="3">
        <f t="shared" si="81"/>
        <v>3.56</v>
      </c>
      <c r="EH39" s="4">
        <f t="shared" si="176"/>
        <v>3.56</v>
      </c>
      <c r="EI39" s="3">
        <v>0.39</v>
      </c>
      <c r="EJ39" s="3">
        <f t="shared" si="83"/>
        <v>0.39</v>
      </c>
      <c r="EK39" s="4">
        <f t="shared" si="177"/>
        <v>0.39</v>
      </c>
      <c r="EL39" s="3">
        <v>1.61</v>
      </c>
      <c r="EM39" s="3">
        <f t="shared" si="85"/>
        <v>1.61</v>
      </c>
      <c r="EN39" s="4">
        <f t="shared" si="178"/>
        <v>1.61</v>
      </c>
      <c r="EO39" s="3">
        <v>2.21</v>
      </c>
      <c r="EP39" s="3">
        <f t="shared" si="87"/>
        <v>2.21</v>
      </c>
      <c r="EQ39" s="4">
        <f t="shared" si="179"/>
        <v>2.21</v>
      </c>
      <c r="ER39" s="3">
        <v>1.89</v>
      </c>
      <c r="ES39" s="3">
        <f t="shared" si="89"/>
        <v>1.89</v>
      </c>
      <c r="ET39" s="4">
        <f t="shared" si="180"/>
        <v>1.89</v>
      </c>
      <c r="EU39" s="3">
        <v>0.73</v>
      </c>
      <c r="EV39" s="3">
        <f t="shared" si="91"/>
        <v>0.73</v>
      </c>
      <c r="EW39" s="4">
        <f t="shared" si="181"/>
        <v>0.73</v>
      </c>
      <c r="EX39" s="3">
        <v>1.17</v>
      </c>
      <c r="EY39" s="3">
        <f t="shared" si="93"/>
        <v>1.17</v>
      </c>
      <c r="EZ39" s="21">
        <f t="shared" si="182"/>
        <v>1.17</v>
      </c>
      <c r="FB39" s="20" t="s">
        <v>320</v>
      </c>
      <c r="FC39" s="3">
        <v>12.69</v>
      </c>
      <c r="FD39" s="3">
        <f t="shared" si="95"/>
        <v>12.69</v>
      </c>
      <c r="FE39" s="4">
        <f t="shared" si="183"/>
        <v>12.69</v>
      </c>
      <c r="FF39" s="3">
        <v>1.37</v>
      </c>
      <c r="FG39" s="3">
        <f t="shared" si="97"/>
        <v>1.37</v>
      </c>
      <c r="FH39" s="4">
        <f t="shared" si="184"/>
        <v>1.37</v>
      </c>
      <c r="FI39" s="3">
        <v>1.61</v>
      </c>
      <c r="FJ39" s="3">
        <f t="shared" si="99"/>
        <v>1.61</v>
      </c>
      <c r="FK39" s="4">
        <f t="shared" si="185"/>
        <v>1.61</v>
      </c>
      <c r="FL39" s="3">
        <v>3.04</v>
      </c>
      <c r="FM39" s="3">
        <f t="shared" si="101"/>
        <v>3.04</v>
      </c>
      <c r="FN39" s="4">
        <f t="shared" si="186"/>
        <v>3.04</v>
      </c>
      <c r="FO39" s="3">
        <v>1.61</v>
      </c>
      <c r="FP39" s="3">
        <f t="shared" si="103"/>
        <v>1.61</v>
      </c>
      <c r="FQ39" s="4">
        <f t="shared" si="187"/>
        <v>1.61</v>
      </c>
      <c r="FR39" s="3">
        <v>3.56</v>
      </c>
      <c r="FS39" s="3">
        <f t="shared" si="105"/>
        <v>3.56</v>
      </c>
      <c r="FT39" s="4" t="str">
        <f t="shared" si="188"/>
        <v/>
      </c>
      <c r="FU39" s="3">
        <v>0.2</v>
      </c>
      <c r="FV39" s="3">
        <f t="shared" si="107"/>
        <v>0.2</v>
      </c>
      <c r="FW39" s="4">
        <f t="shared" si="189"/>
        <v>0.2</v>
      </c>
      <c r="FX39" s="3">
        <v>0.24</v>
      </c>
      <c r="FY39" s="3">
        <f t="shared" si="109"/>
        <v>0.24</v>
      </c>
      <c r="FZ39" s="21">
        <f t="shared" si="190"/>
        <v>0.24</v>
      </c>
      <c r="GB39" s="20" t="s">
        <v>321</v>
      </c>
      <c r="GC39" s="3">
        <v>0.85</v>
      </c>
      <c r="GD39" s="3">
        <f t="shared" si="111"/>
        <v>0.85</v>
      </c>
      <c r="GE39" s="4">
        <f t="shared" si="191"/>
        <v>0.85</v>
      </c>
      <c r="GF39" s="3">
        <v>0.45</v>
      </c>
      <c r="GG39" s="3">
        <f t="shared" si="113"/>
        <v>0.45</v>
      </c>
      <c r="GH39" s="4">
        <f t="shared" si="192"/>
        <v>0.45</v>
      </c>
      <c r="GI39" s="3">
        <v>0.15</v>
      </c>
      <c r="GJ39" s="3">
        <f t="shared" si="115"/>
        <v>0.15</v>
      </c>
      <c r="GK39" s="4">
        <f t="shared" si="193"/>
        <v>0.15</v>
      </c>
      <c r="GL39" s="3">
        <v>1.17</v>
      </c>
      <c r="GM39" s="3">
        <f t="shared" si="117"/>
        <v>1.17</v>
      </c>
      <c r="GN39" s="4">
        <f t="shared" si="194"/>
        <v>1.17</v>
      </c>
      <c r="GO39" s="3">
        <v>2.21</v>
      </c>
      <c r="GP39" s="3">
        <f t="shared" si="119"/>
        <v>2.21</v>
      </c>
      <c r="GQ39" s="4">
        <f t="shared" si="195"/>
        <v>2.21</v>
      </c>
      <c r="GR39" s="3">
        <v>0.73</v>
      </c>
      <c r="GS39" s="3">
        <f t="shared" si="121"/>
        <v>0.73</v>
      </c>
      <c r="GT39" s="4">
        <f t="shared" si="196"/>
        <v>0.73</v>
      </c>
      <c r="GU39" s="3">
        <v>0.45</v>
      </c>
      <c r="GV39" s="3">
        <f t="shared" si="123"/>
        <v>0.45</v>
      </c>
      <c r="GW39" s="4" t="str">
        <f t="shared" si="197"/>
        <v/>
      </c>
      <c r="GX39" s="3">
        <v>2.21</v>
      </c>
      <c r="GY39" s="3">
        <f t="shared" si="125"/>
        <v>2.21</v>
      </c>
      <c r="GZ39" s="21">
        <f t="shared" si="198"/>
        <v>2.21</v>
      </c>
    </row>
    <row r="40" spans="2:208">
      <c r="B40" s="20" t="s">
        <v>322</v>
      </c>
      <c r="C40" s="3">
        <v>3</v>
      </c>
      <c r="D40" s="3">
        <f t="shared" si="128"/>
        <v>3</v>
      </c>
      <c r="E40" s="4">
        <f t="shared" si="129"/>
        <v>3</v>
      </c>
      <c r="F40" s="3">
        <v>4.38</v>
      </c>
      <c r="G40" s="3">
        <f t="shared" si="130"/>
        <v>4.38</v>
      </c>
      <c r="H40" s="4">
        <f t="shared" si="131"/>
        <v>4.38</v>
      </c>
      <c r="I40" s="3">
        <v>2.44</v>
      </c>
      <c r="J40" s="3">
        <f t="shared" si="132"/>
        <v>2.44</v>
      </c>
      <c r="K40" s="4" t="str">
        <f t="shared" si="133"/>
        <v/>
      </c>
      <c r="L40" s="3">
        <v>4.38</v>
      </c>
      <c r="M40" s="3">
        <f t="shared" si="134"/>
        <v>4.38</v>
      </c>
      <c r="N40" s="4">
        <f t="shared" si="135"/>
        <v>4.38</v>
      </c>
      <c r="O40" s="3">
        <v>4.3099999999999996</v>
      </c>
      <c r="P40" s="3">
        <f t="shared" si="136"/>
        <v>4.3099999999999996</v>
      </c>
      <c r="Q40" s="4">
        <f t="shared" si="137"/>
        <v>4.3099999999999996</v>
      </c>
      <c r="R40" s="3">
        <v>4.82</v>
      </c>
      <c r="S40" s="3">
        <f t="shared" si="138"/>
        <v>4.82</v>
      </c>
      <c r="T40" s="4">
        <f t="shared" si="139"/>
        <v>4.82</v>
      </c>
      <c r="U40" s="3">
        <v>1.77</v>
      </c>
      <c r="V40" s="3">
        <f t="shared" si="140"/>
        <v>1.77</v>
      </c>
      <c r="W40" s="4">
        <f t="shared" si="141"/>
        <v>1.77</v>
      </c>
      <c r="X40" s="3">
        <v>2.2200000000000002</v>
      </c>
      <c r="Y40" s="3">
        <f t="shared" si="142"/>
        <v>2.2200000000000002</v>
      </c>
      <c r="Z40" s="21">
        <f t="shared" si="143"/>
        <v>2.2200000000000002</v>
      </c>
      <c r="AB40" s="20" t="s">
        <v>323</v>
      </c>
      <c r="AC40" s="3">
        <v>2.86</v>
      </c>
      <c r="AD40" s="3">
        <f t="shared" si="144"/>
        <v>2.86</v>
      </c>
      <c r="AE40" s="4">
        <f t="shared" si="145"/>
        <v>2.86</v>
      </c>
      <c r="AF40" s="3">
        <v>5.45</v>
      </c>
      <c r="AG40" s="3">
        <f t="shared" si="146"/>
        <v>5.45</v>
      </c>
      <c r="AH40" s="4">
        <f t="shared" si="147"/>
        <v>5.45</v>
      </c>
      <c r="AI40" s="3">
        <v>5.09</v>
      </c>
      <c r="AJ40" s="3">
        <f t="shared" si="148"/>
        <v>5.09</v>
      </c>
      <c r="AK40" s="4">
        <f t="shared" si="149"/>
        <v>5.09</v>
      </c>
      <c r="AL40" s="3">
        <v>6.06</v>
      </c>
      <c r="AM40" s="3">
        <f t="shared" si="150"/>
        <v>6.06</v>
      </c>
      <c r="AN40" s="4">
        <f t="shared" si="151"/>
        <v>6.06</v>
      </c>
      <c r="AO40" s="3">
        <v>0</v>
      </c>
      <c r="AP40" s="3" t="str">
        <f t="shared" si="152"/>
        <v/>
      </c>
      <c r="AQ40" s="4" t="str">
        <f t="shared" si="153"/>
        <v/>
      </c>
      <c r="AR40" s="3">
        <v>3.76</v>
      </c>
      <c r="AS40" s="3">
        <f t="shared" si="154"/>
        <v>3.76</v>
      </c>
      <c r="AT40" s="4">
        <f t="shared" si="155"/>
        <v>3.76</v>
      </c>
      <c r="AU40" s="3">
        <v>99.99</v>
      </c>
      <c r="AV40" s="3" t="str">
        <f t="shared" si="156"/>
        <v/>
      </c>
      <c r="AW40" s="4" t="str">
        <f t="shared" si="157"/>
        <v/>
      </c>
      <c r="AX40" s="3">
        <v>3.21</v>
      </c>
      <c r="AY40" s="3">
        <f t="shared" si="158"/>
        <v>3.21</v>
      </c>
      <c r="AZ40" s="21">
        <f t="shared" si="31"/>
        <v>3.21</v>
      </c>
      <c r="BB40" s="20" t="s">
        <v>324</v>
      </c>
      <c r="BC40" s="3">
        <v>3.9</v>
      </c>
      <c r="BD40" s="3">
        <f t="shared" si="32"/>
        <v>3.9</v>
      </c>
      <c r="BE40" s="4">
        <f t="shared" si="33"/>
        <v>3.9</v>
      </c>
      <c r="BF40" s="3">
        <v>4.26</v>
      </c>
      <c r="BG40" s="3">
        <f t="shared" si="34"/>
        <v>4.26</v>
      </c>
      <c r="BH40" s="4">
        <f t="shared" si="35"/>
        <v>4.26</v>
      </c>
      <c r="BI40" s="3">
        <v>4.2</v>
      </c>
      <c r="BJ40" s="3">
        <f t="shared" si="36"/>
        <v>4.2</v>
      </c>
      <c r="BK40" s="4">
        <f t="shared" si="37"/>
        <v>4.2</v>
      </c>
      <c r="BL40" s="3">
        <v>4.33</v>
      </c>
      <c r="BM40" s="3">
        <f t="shared" si="38"/>
        <v>4.33</v>
      </c>
      <c r="BN40" s="4">
        <f t="shared" si="39"/>
        <v>4.33</v>
      </c>
      <c r="BO40" s="3">
        <v>3.62</v>
      </c>
      <c r="BP40" s="3">
        <f t="shared" si="40"/>
        <v>3.62</v>
      </c>
      <c r="BQ40" s="4">
        <f t="shared" si="41"/>
        <v>3.62</v>
      </c>
      <c r="BR40" s="3">
        <v>3.14</v>
      </c>
      <c r="BS40" s="3">
        <f t="shared" si="42"/>
        <v>3.14</v>
      </c>
      <c r="BT40" s="4">
        <f t="shared" si="43"/>
        <v>3.14</v>
      </c>
      <c r="BU40" s="3">
        <v>1.1299999999999999</v>
      </c>
      <c r="BV40" s="3">
        <f t="shared" si="44"/>
        <v>1.1299999999999999</v>
      </c>
      <c r="BW40" s="4" t="str">
        <f t="shared" si="45"/>
        <v/>
      </c>
      <c r="BX40" s="3">
        <v>99.99</v>
      </c>
      <c r="BY40" s="3" t="str">
        <f t="shared" si="46"/>
        <v/>
      </c>
      <c r="BZ40" s="21" t="str">
        <f t="shared" si="47"/>
        <v/>
      </c>
      <c r="CB40" s="20" t="s">
        <v>325</v>
      </c>
      <c r="CC40" s="3">
        <v>4.1500000000000004</v>
      </c>
      <c r="CD40" s="3">
        <f t="shared" si="48"/>
        <v>4.1500000000000004</v>
      </c>
      <c r="CE40" s="4">
        <f t="shared" si="159"/>
        <v>4.1500000000000004</v>
      </c>
      <c r="CF40" s="3">
        <v>6.08</v>
      </c>
      <c r="CG40" s="3">
        <f t="shared" si="50"/>
        <v>6.08</v>
      </c>
      <c r="CH40" s="4">
        <f t="shared" si="160"/>
        <v>6.08</v>
      </c>
      <c r="CI40" s="3">
        <v>3.79</v>
      </c>
      <c r="CJ40" s="3">
        <f t="shared" si="52"/>
        <v>3.79</v>
      </c>
      <c r="CK40" s="4">
        <f t="shared" si="161"/>
        <v>3.79</v>
      </c>
      <c r="CL40" s="3">
        <v>5.21</v>
      </c>
      <c r="CM40" s="3">
        <f t="shared" si="54"/>
        <v>5.21</v>
      </c>
      <c r="CN40" s="4">
        <f t="shared" si="162"/>
        <v>5.21</v>
      </c>
      <c r="CO40" s="3">
        <v>5.48</v>
      </c>
      <c r="CP40" s="3">
        <f t="shared" si="56"/>
        <v>5.48</v>
      </c>
      <c r="CQ40" s="4">
        <f t="shared" si="163"/>
        <v>5.48</v>
      </c>
      <c r="CR40" s="3">
        <v>1.86</v>
      </c>
      <c r="CS40" s="3">
        <f t="shared" si="58"/>
        <v>1.86</v>
      </c>
      <c r="CT40" s="4">
        <f t="shared" si="164"/>
        <v>1.86</v>
      </c>
      <c r="CU40" s="3">
        <v>3.72</v>
      </c>
      <c r="CV40" s="3">
        <f t="shared" si="60"/>
        <v>3.72</v>
      </c>
      <c r="CW40" s="4">
        <f t="shared" si="165"/>
        <v>3.72</v>
      </c>
      <c r="CX40" s="3">
        <v>0</v>
      </c>
      <c r="CY40" s="3" t="str">
        <f t="shared" si="62"/>
        <v/>
      </c>
      <c r="CZ40" s="21" t="str">
        <f t="shared" si="166"/>
        <v/>
      </c>
      <c r="DB40" s="20" t="s">
        <v>326</v>
      </c>
      <c r="DC40" s="3">
        <v>2.59</v>
      </c>
      <c r="DD40" s="3">
        <f t="shared" si="64"/>
        <v>2.59</v>
      </c>
      <c r="DE40" s="4">
        <f t="shared" si="167"/>
        <v>2.59</v>
      </c>
      <c r="DF40" s="3">
        <v>0</v>
      </c>
      <c r="DG40" s="3" t="str">
        <f t="shared" si="66"/>
        <v/>
      </c>
      <c r="DH40" s="4" t="str">
        <f t="shared" si="168"/>
        <v/>
      </c>
      <c r="DI40" s="3">
        <v>2.21</v>
      </c>
      <c r="DJ40" s="3">
        <f t="shared" si="68"/>
        <v>2.21</v>
      </c>
      <c r="DK40" s="4">
        <f t="shared" si="169"/>
        <v>2.21</v>
      </c>
      <c r="DL40" s="3">
        <v>3.04</v>
      </c>
      <c r="DM40" s="3">
        <f t="shared" si="127"/>
        <v>3.04</v>
      </c>
      <c r="DN40" s="4">
        <f t="shared" si="170"/>
        <v>3.04</v>
      </c>
      <c r="DO40" s="3">
        <v>1.37</v>
      </c>
      <c r="DP40" s="3">
        <f t="shared" si="71"/>
        <v>1.37</v>
      </c>
      <c r="DQ40" s="4">
        <f t="shared" si="171"/>
        <v>1.37</v>
      </c>
      <c r="DR40" s="3">
        <v>1.37</v>
      </c>
      <c r="DS40" s="3">
        <f t="shared" si="73"/>
        <v>1.37</v>
      </c>
      <c r="DT40" s="4">
        <f t="shared" si="172"/>
        <v>1.37</v>
      </c>
      <c r="DU40" s="3">
        <v>1.17</v>
      </c>
      <c r="DV40" s="3">
        <f t="shared" si="75"/>
        <v>1.17</v>
      </c>
      <c r="DW40" s="4">
        <f t="shared" si="173"/>
        <v>1.17</v>
      </c>
      <c r="DX40" s="3">
        <v>3.04</v>
      </c>
      <c r="DY40" s="3">
        <f t="shared" si="77"/>
        <v>3.04</v>
      </c>
      <c r="DZ40" s="21">
        <f t="shared" si="174"/>
        <v>3.04</v>
      </c>
      <c r="EB40" s="20" t="s">
        <v>327</v>
      </c>
      <c r="EC40" s="3">
        <v>0.53</v>
      </c>
      <c r="ED40" s="3">
        <f t="shared" si="79"/>
        <v>0.53</v>
      </c>
      <c r="EE40" s="4">
        <f t="shared" si="175"/>
        <v>0.53</v>
      </c>
      <c r="EF40" s="3">
        <v>4.18</v>
      </c>
      <c r="EG40" s="3">
        <f t="shared" si="81"/>
        <v>4.18</v>
      </c>
      <c r="EH40" s="4">
        <f t="shared" si="176"/>
        <v>4.18</v>
      </c>
      <c r="EI40" s="3">
        <v>0.33</v>
      </c>
      <c r="EJ40" s="3">
        <f t="shared" si="83"/>
        <v>0.33</v>
      </c>
      <c r="EK40" s="4">
        <f t="shared" si="177"/>
        <v>0.33</v>
      </c>
      <c r="EL40" s="3">
        <v>1.61</v>
      </c>
      <c r="EM40" s="3">
        <f t="shared" si="85"/>
        <v>1.61</v>
      </c>
      <c r="EN40" s="4">
        <f t="shared" si="178"/>
        <v>1.61</v>
      </c>
      <c r="EO40" s="3">
        <v>2.21</v>
      </c>
      <c r="EP40" s="3">
        <f t="shared" si="87"/>
        <v>2.21</v>
      </c>
      <c r="EQ40" s="4">
        <f t="shared" si="179"/>
        <v>2.21</v>
      </c>
      <c r="ER40" s="3">
        <v>1.61</v>
      </c>
      <c r="ES40" s="3">
        <f t="shared" si="89"/>
        <v>1.61</v>
      </c>
      <c r="ET40" s="4">
        <f t="shared" si="180"/>
        <v>1.61</v>
      </c>
      <c r="EU40" s="3">
        <v>0.62</v>
      </c>
      <c r="EV40" s="3">
        <f t="shared" si="91"/>
        <v>0.62</v>
      </c>
      <c r="EW40" s="4">
        <f t="shared" si="181"/>
        <v>0.62</v>
      </c>
      <c r="EX40" s="3">
        <v>1.17</v>
      </c>
      <c r="EY40" s="3">
        <f t="shared" si="93"/>
        <v>1.17</v>
      </c>
      <c r="EZ40" s="21">
        <f t="shared" si="182"/>
        <v>1.17</v>
      </c>
      <c r="FB40" s="20" t="s">
        <v>328</v>
      </c>
      <c r="FC40" s="3">
        <v>14.87</v>
      </c>
      <c r="FD40" s="3">
        <f t="shared" si="95"/>
        <v>14.87</v>
      </c>
      <c r="FE40" s="4" t="str">
        <f t="shared" si="183"/>
        <v/>
      </c>
      <c r="FF40" s="3">
        <v>1.37</v>
      </c>
      <c r="FG40" s="3">
        <f t="shared" si="97"/>
        <v>1.37</v>
      </c>
      <c r="FH40" s="4">
        <f t="shared" si="184"/>
        <v>1.37</v>
      </c>
      <c r="FI40" s="3">
        <v>1.61</v>
      </c>
      <c r="FJ40" s="3">
        <f t="shared" si="99"/>
        <v>1.61</v>
      </c>
      <c r="FK40" s="4">
        <f t="shared" si="185"/>
        <v>1.61</v>
      </c>
      <c r="FL40" s="3">
        <v>3.56</v>
      </c>
      <c r="FM40" s="3">
        <f t="shared" si="101"/>
        <v>3.56</v>
      </c>
      <c r="FN40" s="4">
        <f t="shared" si="186"/>
        <v>3.56</v>
      </c>
      <c r="FO40" s="3">
        <v>1.89</v>
      </c>
      <c r="FP40" s="3">
        <f t="shared" si="103"/>
        <v>1.89</v>
      </c>
      <c r="FQ40" s="4">
        <f t="shared" si="187"/>
        <v>1.89</v>
      </c>
      <c r="FR40" s="3">
        <v>0.85</v>
      </c>
      <c r="FS40" s="3">
        <f t="shared" si="105"/>
        <v>0.85</v>
      </c>
      <c r="FT40" s="4" t="str">
        <f t="shared" si="188"/>
        <v/>
      </c>
      <c r="FU40" s="3">
        <v>0.2</v>
      </c>
      <c r="FV40" s="3">
        <f t="shared" si="107"/>
        <v>0.2</v>
      </c>
      <c r="FW40" s="4">
        <f t="shared" si="189"/>
        <v>0.2</v>
      </c>
      <c r="FX40" s="3">
        <v>0.2</v>
      </c>
      <c r="FY40" s="3">
        <f t="shared" si="109"/>
        <v>0.2</v>
      </c>
      <c r="FZ40" s="21">
        <f t="shared" si="190"/>
        <v>0.2</v>
      </c>
      <c r="GB40" s="20" t="s">
        <v>329</v>
      </c>
      <c r="GC40" s="3">
        <v>0.73</v>
      </c>
      <c r="GD40" s="3">
        <f t="shared" si="111"/>
        <v>0.73</v>
      </c>
      <c r="GE40" s="4" t="str">
        <f t="shared" si="191"/>
        <v/>
      </c>
      <c r="GF40" s="3">
        <v>1.17</v>
      </c>
      <c r="GG40" s="3">
        <f t="shared" si="113"/>
        <v>1.17</v>
      </c>
      <c r="GH40" s="4">
        <f t="shared" si="192"/>
        <v>1.17</v>
      </c>
      <c r="GI40" s="3">
        <v>0.15</v>
      </c>
      <c r="GJ40" s="3">
        <f t="shared" si="115"/>
        <v>0.15</v>
      </c>
      <c r="GK40" s="4">
        <f t="shared" si="193"/>
        <v>0.15</v>
      </c>
      <c r="GL40" s="3">
        <v>1.17</v>
      </c>
      <c r="GM40" s="3">
        <f t="shared" si="117"/>
        <v>1.17</v>
      </c>
      <c r="GN40" s="4">
        <f t="shared" si="194"/>
        <v>1.17</v>
      </c>
      <c r="GO40" s="3">
        <v>2.21</v>
      </c>
      <c r="GP40" s="3">
        <f t="shared" si="119"/>
        <v>2.21</v>
      </c>
      <c r="GQ40" s="4">
        <f t="shared" si="195"/>
        <v>2.21</v>
      </c>
      <c r="GR40" s="3">
        <v>0.73</v>
      </c>
      <c r="GS40" s="3">
        <f t="shared" si="121"/>
        <v>0.73</v>
      </c>
      <c r="GT40" s="4">
        <f t="shared" si="196"/>
        <v>0.73</v>
      </c>
      <c r="GU40" s="3">
        <v>0.33</v>
      </c>
      <c r="GV40" s="3">
        <f t="shared" si="123"/>
        <v>0.33</v>
      </c>
      <c r="GW40" s="4">
        <f t="shared" si="197"/>
        <v>0.33</v>
      </c>
      <c r="GX40" s="3">
        <v>1.89</v>
      </c>
      <c r="GY40" s="3">
        <f t="shared" si="125"/>
        <v>1.89</v>
      </c>
      <c r="GZ40" s="21">
        <f t="shared" si="198"/>
        <v>1.89</v>
      </c>
    </row>
    <row r="41" spans="2:208">
      <c r="B41" s="20" t="s">
        <v>330</v>
      </c>
      <c r="C41" s="3">
        <v>3.02</v>
      </c>
      <c r="D41" s="3">
        <f t="shared" si="128"/>
        <v>3.02</v>
      </c>
      <c r="E41" s="4">
        <f t="shared" si="129"/>
        <v>3.02</v>
      </c>
      <c r="F41" s="3">
        <v>4.43</v>
      </c>
      <c r="G41" s="3">
        <f t="shared" si="130"/>
        <v>4.43</v>
      </c>
      <c r="H41" s="4">
        <f t="shared" si="131"/>
        <v>4.43</v>
      </c>
      <c r="I41" s="3">
        <v>5.3</v>
      </c>
      <c r="J41" s="3">
        <f t="shared" si="132"/>
        <v>5.3</v>
      </c>
      <c r="K41" s="4">
        <f t="shared" si="133"/>
        <v>5.3</v>
      </c>
      <c r="L41" s="3">
        <v>5.63</v>
      </c>
      <c r="M41" s="3">
        <f t="shared" si="134"/>
        <v>5.63</v>
      </c>
      <c r="N41" s="4">
        <f t="shared" si="135"/>
        <v>5.63</v>
      </c>
      <c r="O41" s="3">
        <v>4.3499999999999996</v>
      </c>
      <c r="P41" s="3">
        <f t="shared" si="136"/>
        <v>4.3499999999999996</v>
      </c>
      <c r="Q41" s="4">
        <f t="shared" si="137"/>
        <v>4.3499999999999996</v>
      </c>
      <c r="R41" s="3">
        <v>4.8600000000000003</v>
      </c>
      <c r="S41" s="3">
        <f t="shared" si="138"/>
        <v>4.8600000000000003</v>
      </c>
      <c r="T41" s="4">
        <f t="shared" si="139"/>
        <v>4.8600000000000003</v>
      </c>
      <c r="U41" s="3">
        <v>1.8</v>
      </c>
      <c r="V41" s="3">
        <f t="shared" si="140"/>
        <v>1.8</v>
      </c>
      <c r="W41" s="4">
        <f t="shared" si="141"/>
        <v>1.8</v>
      </c>
      <c r="X41" s="3">
        <v>2.21</v>
      </c>
      <c r="Y41" s="3">
        <f t="shared" si="142"/>
        <v>2.21</v>
      </c>
      <c r="Z41" s="21">
        <f t="shared" si="143"/>
        <v>2.21</v>
      </c>
      <c r="AB41" s="20" t="s">
        <v>331</v>
      </c>
      <c r="AC41" s="3">
        <v>2.86</v>
      </c>
      <c r="AD41" s="3">
        <f t="shared" si="144"/>
        <v>2.86</v>
      </c>
      <c r="AE41" s="4">
        <f t="shared" si="145"/>
        <v>2.86</v>
      </c>
      <c r="AF41" s="3">
        <v>5.44</v>
      </c>
      <c r="AG41" s="3">
        <f t="shared" si="146"/>
        <v>5.44</v>
      </c>
      <c r="AH41" s="4">
        <f t="shared" si="147"/>
        <v>5.44</v>
      </c>
      <c r="AI41" s="3">
        <v>5.17</v>
      </c>
      <c r="AJ41" s="3">
        <f t="shared" si="148"/>
        <v>5.17</v>
      </c>
      <c r="AK41" s="4">
        <f t="shared" si="149"/>
        <v>5.17</v>
      </c>
      <c r="AL41" s="3">
        <v>6.09</v>
      </c>
      <c r="AM41" s="3">
        <f t="shared" si="150"/>
        <v>6.09</v>
      </c>
      <c r="AN41" s="4">
        <f t="shared" si="151"/>
        <v>6.09</v>
      </c>
      <c r="AO41" s="3">
        <v>0</v>
      </c>
      <c r="AP41" s="3" t="str">
        <f t="shared" si="152"/>
        <v/>
      </c>
      <c r="AQ41" s="4" t="str">
        <f t="shared" si="153"/>
        <v/>
      </c>
      <c r="AR41" s="3">
        <v>3.73</v>
      </c>
      <c r="AS41" s="3">
        <f t="shared" si="154"/>
        <v>3.73</v>
      </c>
      <c r="AT41" s="4">
        <f t="shared" si="155"/>
        <v>3.73</v>
      </c>
      <c r="AU41" s="3">
        <v>3.07</v>
      </c>
      <c r="AV41" s="3">
        <f t="shared" si="156"/>
        <v>3.07</v>
      </c>
      <c r="AW41" s="4">
        <f t="shared" si="157"/>
        <v>3.07</v>
      </c>
      <c r="AX41" s="3">
        <v>3.48</v>
      </c>
      <c r="AY41" s="3">
        <f t="shared" si="158"/>
        <v>3.48</v>
      </c>
      <c r="AZ41" s="21">
        <f t="shared" si="31"/>
        <v>3.48</v>
      </c>
      <c r="BB41" s="20" t="s">
        <v>332</v>
      </c>
      <c r="BC41" s="3">
        <v>3.52</v>
      </c>
      <c r="BD41" s="3">
        <f t="shared" si="32"/>
        <v>3.52</v>
      </c>
      <c r="BE41" s="4">
        <f t="shared" si="33"/>
        <v>3.52</v>
      </c>
      <c r="BF41" s="3">
        <v>4.2699999999999996</v>
      </c>
      <c r="BG41" s="3">
        <f t="shared" si="34"/>
        <v>4.2699999999999996</v>
      </c>
      <c r="BH41" s="4">
        <f t="shared" si="35"/>
        <v>4.2699999999999996</v>
      </c>
      <c r="BI41" s="3">
        <v>4.16</v>
      </c>
      <c r="BJ41" s="3">
        <f t="shared" si="36"/>
        <v>4.16</v>
      </c>
      <c r="BK41" s="4">
        <f t="shared" si="37"/>
        <v>4.16</v>
      </c>
      <c r="BL41" s="3">
        <v>4.34</v>
      </c>
      <c r="BM41" s="3">
        <f t="shared" si="38"/>
        <v>4.34</v>
      </c>
      <c r="BN41" s="4">
        <f t="shared" si="39"/>
        <v>4.34</v>
      </c>
      <c r="BO41" s="3">
        <v>3.57</v>
      </c>
      <c r="BP41" s="3">
        <f t="shared" si="40"/>
        <v>3.57</v>
      </c>
      <c r="BQ41" s="4">
        <f t="shared" si="41"/>
        <v>3.57</v>
      </c>
      <c r="BR41" s="3">
        <v>3.12</v>
      </c>
      <c r="BS41" s="3">
        <f t="shared" si="42"/>
        <v>3.12</v>
      </c>
      <c r="BT41" s="4">
        <f t="shared" si="43"/>
        <v>3.12</v>
      </c>
      <c r="BU41" s="3">
        <v>1.64</v>
      </c>
      <c r="BV41" s="3">
        <f t="shared" si="44"/>
        <v>1.64</v>
      </c>
      <c r="BW41" s="4">
        <f t="shared" si="45"/>
        <v>1.64</v>
      </c>
      <c r="BX41" s="3">
        <v>1.26</v>
      </c>
      <c r="BY41" s="3">
        <f t="shared" si="46"/>
        <v>1.26</v>
      </c>
      <c r="BZ41" s="21">
        <f t="shared" si="47"/>
        <v>1.26</v>
      </c>
      <c r="CB41" s="20" t="s">
        <v>333</v>
      </c>
      <c r="CC41" s="3">
        <v>4.1500000000000004</v>
      </c>
      <c r="CD41" s="3">
        <f t="shared" si="48"/>
        <v>4.1500000000000004</v>
      </c>
      <c r="CE41" s="4">
        <f t="shared" si="159"/>
        <v>4.1500000000000004</v>
      </c>
      <c r="CF41" s="3">
        <v>6.07</v>
      </c>
      <c r="CG41" s="3">
        <f t="shared" si="50"/>
        <v>6.07</v>
      </c>
      <c r="CH41" s="4">
        <f t="shared" si="160"/>
        <v>6.07</v>
      </c>
      <c r="CI41" s="3">
        <v>3.78</v>
      </c>
      <c r="CJ41" s="3">
        <f t="shared" si="52"/>
        <v>3.78</v>
      </c>
      <c r="CK41" s="4">
        <f t="shared" si="161"/>
        <v>3.78</v>
      </c>
      <c r="CL41" s="3">
        <v>5.0999999999999996</v>
      </c>
      <c r="CM41" s="3">
        <f t="shared" si="54"/>
        <v>5.0999999999999996</v>
      </c>
      <c r="CN41" s="4">
        <f t="shared" si="162"/>
        <v>5.0999999999999996</v>
      </c>
      <c r="CO41" s="3">
        <v>2.65</v>
      </c>
      <c r="CP41" s="3">
        <f t="shared" si="56"/>
        <v>2.65</v>
      </c>
      <c r="CQ41" s="4" t="str">
        <f t="shared" si="163"/>
        <v/>
      </c>
      <c r="CR41" s="3">
        <v>1.85</v>
      </c>
      <c r="CS41" s="3">
        <f t="shared" si="58"/>
        <v>1.85</v>
      </c>
      <c r="CT41" s="4">
        <f t="shared" si="164"/>
        <v>1.85</v>
      </c>
      <c r="CU41" s="3">
        <v>3.7</v>
      </c>
      <c r="CV41" s="3">
        <f t="shared" si="60"/>
        <v>3.7</v>
      </c>
      <c r="CW41" s="4">
        <f t="shared" si="165"/>
        <v>3.7</v>
      </c>
      <c r="CX41" s="3">
        <v>3.22</v>
      </c>
      <c r="CY41" s="3">
        <f t="shared" si="62"/>
        <v>3.22</v>
      </c>
      <c r="CZ41" s="21">
        <f t="shared" si="166"/>
        <v>3.22</v>
      </c>
      <c r="DB41" s="20" t="s">
        <v>334</v>
      </c>
      <c r="DC41" s="3">
        <v>2.21</v>
      </c>
      <c r="DD41" s="3">
        <f t="shared" si="64"/>
        <v>2.21</v>
      </c>
      <c r="DE41" s="4">
        <f t="shared" si="167"/>
        <v>2.21</v>
      </c>
      <c r="DF41" s="3">
        <v>1.17</v>
      </c>
      <c r="DG41" s="3">
        <f t="shared" si="66"/>
        <v>1.17</v>
      </c>
      <c r="DH41" s="4">
        <f t="shared" si="168"/>
        <v>1.17</v>
      </c>
      <c r="DI41" s="3">
        <v>0</v>
      </c>
      <c r="DJ41" s="3" t="str">
        <f t="shared" si="68"/>
        <v/>
      </c>
      <c r="DK41" s="4" t="str">
        <f t="shared" si="169"/>
        <v/>
      </c>
      <c r="DL41" s="3">
        <v>3.56</v>
      </c>
      <c r="DM41" s="3">
        <f t="shared" si="127"/>
        <v>3.56</v>
      </c>
      <c r="DN41" s="4">
        <f t="shared" si="170"/>
        <v>3.56</v>
      </c>
      <c r="DO41" s="3">
        <v>1.37</v>
      </c>
      <c r="DP41" s="3">
        <f t="shared" si="71"/>
        <v>1.37</v>
      </c>
      <c r="DQ41" s="4">
        <f t="shared" si="171"/>
        <v>1.37</v>
      </c>
      <c r="DR41" s="3">
        <v>1.17</v>
      </c>
      <c r="DS41" s="3">
        <f t="shared" si="73"/>
        <v>1.17</v>
      </c>
      <c r="DT41" s="4">
        <f t="shared" si="172"/>
        <v>1.17</v>
      </c>
      <c r="DU41" s="3">
        <v>0.39</v>
      </c>
      <c r="DV41" s="3">
        <f t="shared" si="75"/>
        <v>0.39</v>
      </c>
      <c r="DW41" s="4" t="str">
        <f t="shared" si="173"/>
        <v/>
      </c>
      <c r="DX41" s="3">
        <v>0</v>
      </c>
      <c r="DY41" s="3" t="str">
        <f t="shared" si="77"/>
        <v/>
      </c>
      <c r="DZ41" s="21" t="str">
        <f t="shared" si="174"/>
        <v/>
      </c>
      <c r="EB41" s="20" t="s">
        <v>335</v>
      </c>
      <c r="EC41" s="3">
        <v>0.53</v>
      </c>
      <c r="ED41" s="3">
        <f t="shared" si="79"/>
        <v>0.53</v>
      </c>
      <c r="EE41" s="4">
        <f t="shared" si="175"/>
        <v>0.53</v>
      </c>
      <c r="EF41" s="3">
        <v>3.56</v>
      </c>
      <c r="EG41" s="3">
        <f t="shared" si="81"/>
        <v>3.56</v>
      </c>
      <c r="EH41" s="4">
        <f t="shared" si="176"/>
        <v>3.56</v>
      </c>
      <c r="EI41" s="3">
        <v>0.39</v>
      </c>
      <c r="EJ41" s="3">
        <f t="shared" si="83"/>
        <v>0.39</v>
      </c>
      <c r="EK41" s="4">
        <f t="shared" si="177"/>
        <v>0.39</v>
      </c>
      <c r="EL41" s="3">
        <v>1.61</v>
      </c>
      <c r="EM41" s="3">
        <f t="shared" si="85"/>
        <v>1.61</v>
      </c>
      <c r="EN41" s="4">
        <f t="shared" si="178"/>
        <v>1.61</v>
      </c>
      <c r="EO41" s="3">
        <v>17.43</v>
      </c>
      <c r="EP41" s="3">
        <f t="shared" si="87"/>
        <v>17.43</v>
      </c>
      <c r="EQ41" s="4" t="str">
        <f t="shared" si="179"/>
        <v/>
      </c>
      <c r="ER41" s="3">
        <v>1.89</v>
      </c>
      <c r="ES41" s="3">
        <f t="shared" si="89"/>
        <v>1.89</v>
      </c>
      <c r="ET41" s="4">
        <f t="shared" si="180"/>
        <v>1.89</v>
      </c>
      <c r="EU41" s="3">
        <v>0.73</v>
      </c>
      <c r="EV41" s="3">
        <f t="shared" si="91"/>
        <v>0.73</v>
      </c>
      <c r="EW41" s="4">
        <f t="shared" si="181"/>
        <v>0.73</v>
      </c>
      <c r="EX41" s="3">
        <v>4.18</v>
      </c>
      <c r="EY41" s="3">
        <f t="shared" si="93"/>
        <v>4.18</v>
      </c>
      <c r="EZ41" s="21" t="str">
        <f t="shared" si="182"/>
        <v/>
      </c>
      <c r="FB41" s="20" t="s">
        <v>336</v>
      </c>
      <c r="FC41" s="3">
        <v>12.69</v>
      </c>
      <c r="FD41" s="3">
        <f t="shared" si="95"/>
        <v>12.69</v>
      </c>
      <c r="FE41" s="4">
        <f t="shared" si="183"/>
        <v>12.69</v>
      </c>
      <c r="FF41" s="3">
        <v>1.37</v>
      </c>
      <c r="FG41" s="3">
        <f t="shared" si="97"/>
        <v>1.37</v>
      </c>
      <c r="FH41" s="4">
        <f t="shared" si="184"/>
        <v>1.37</v>
      </c>
      <c r="FI41" s="3">
        <v>1.61</v>
      </c>
      <c r="FJ41" s="3">
        <f t="shared" si="99"/>
        <v>1.61</v>
      </c>
      <c r="FK41" s="4">
        <f t="shared" si="185"/>
        <v>1.61</v>
      </c>
      <c r="FL41" s="3">
        <v>0</v>
      </c>
      <c r="FM41" s="3" t="str">
        <f t="shared" si="101"/>
        <v/>
      </c>
      <c r="FN41" s="4" t="str">
        <f t="shared" si="186"/>
        <v/>
      </c>
      <c r="FO41" s="3">
        <v>1.61</v>
      </c>
      <c r="FP41" s="3">
        <f t="shared" si="103"/>
        <v>1.61</v>
      </c>
      <c r="FQ41" s="4">
        <f t="shared" si="187"/>
        <v>1.61</v>
      </c>
      <c r="FR41" s="3">
        <v>2.21</v>
      </c>
      <c r="FS41" s="3">
        <f t="shared" si="105"/>
        <v>2.21</v>
      </c>
      <c r="FT41" s="4">
        <f t="shared" si="188"/>
        <v>2.21</v>
      </c>
      <c r="FU41" s="3">
        <v>0.24</v>
      </c>
      <c r="FV41" s="3">
        <f t="shared" si="107"/>
        <v>0.24</v>
      </c>
      <c r="FW41" s="4">
        <f t="shared" si="189"/>
        <v>0.24</v>
      </c>
      <c r="FX41" s="3">
        <v>0.2</v>
      </c>
      <c r="FY41" s="3">
        <f t="shared" si="109"/>
        <v>0.2</v>
      </c>
      <c r="FZ41" s="21">
        <f t="shared" si="190"/>
        <v>0.2</v>
      </c>
      <c r="GB41" s="20" t="s">
        <v>337</v>
      </c>
      <c r="GC41" s="3">
        <v>0.73</v>
      </c>
      <c r="GD41" s="3">
        <f t="shared" si="111"/>
        <v>0.73</v>
      </c>
      <c r="GE41" s="4" t="str">
        <f t="shared" si="191"/>
        <v/>
      </c>
      <c r="GF41" s="3">
        <v>0.45</v>
      </c>
      <c r="GG41" s="3">
        <f t="shared" si="113"/>
        <v>0.45</v>
      </c>
      <c r="GH41" s="4">
        <f t="shared" si="192"/>
        <v>0.45</v>
      </c>
      <c r="GI41" s="3">
        <v>0.33</v>
      </c>
      <c r="GJ41" s="3">
        <f t="shared" si="115"/>
        <v>0.33</v>
      </c>
      <c r="GK41" s="4" t="str">
        <f t="shared" si="193"/>
        <v/>
      </c>
      <c r="GL41" s="3">
        <v>0</v>
      </c>
      <c r="GM41" s="3" t="str">
        <f t="shared" si="117"/>
        <v/>
      </c>
      <c r="GN41" s="4" t="str">
        <f t="shared" si="194"/>
        <v/>
      </c>
      <c r="GO41" s="3">
        <v>2.21</v>
      </c>
      <c r="GP41" s="3">
        <f t="shared" si="119"/>
        <v>2.21</v>
      </c>
      <c r="GQ41" s="4">
        <f t="shared" si="195"/>
        <v>2.21</v>
      </c>
      <c r="GR41" s="3">
        <v>0.62</v>
      </c>
      <c r="GS41" s="3">
        <f t="shared" si="121"/>
        <v>0.62</v>
      </c>
      <c r="GT41" s="4">
        <f t="shared" si="196"/>
        <v>0.62</v>
      </c>
      <c r="GU41" s="3">
        <v>0.33</v>
      </c>
      <c r="GV41" s="3">
        <f t="shared" si="123"/>
        <v>0.33</v>
      </c>
      <c r="GW41" s="4">
        <f t="shared" si="197"/>
        <v>0.33</v>
      </c>
      <c r="GX41" s="3">
        <v>3.56</v>
      </c>
      <c r="GY41" s="3">
        <f t="shared" si="125"/>
        <v>3.56</v>
      </c>
      <c r="GZ41" s="21" t="str">
        <f t="shared" si="198"/>
        <v/>
      </c>
    </row>
    <row r="42" spans="2:208">
      <c r="B42" s="20" t="s">
        <v>338</v>
      </c>
      <c r="C42" s="3">
        <v>3.02</v>
      </c>
      <c r="D42" s="3">
        <f t="shared" si="128"/>
        <v>3.02</v>
      </c>
      <c r="E42" s="4">
        <f t="shared" si="129"/>
        <v>3.02</v>
      </c>
      <c r="F42" s="3">
        <v>4.4000000000000004</v>
      </c>
      <c r="G42" s="3">
        <f t="shared" si="130"/>
        <v>4.4000000000000004</v>
      </c>
      <c r="H42" s="4">
        <f t="shared" si="131"/>
        <v>4.4000000000000004</v>
      </c>
      <c r="I42" s="3">
        <v>5.28</v>
      </c>
      <c r="J42" s="3">
        <f t="shared" si="132"/>
        <v>5.28</v>
      </c>
      <c r="K42" s="4">
        <f t="shared" si="133"/>
        <v>5.28</v>
      </c>
      <c r="L42" s="3">
        <v>5.68</v>
      </c>
      <c r="M42" s="3">
        <f t="shared" si="134"/>
        <v>5.68</v>
      </c>
      <c r="N42" s="4">
        <f t="shared" si="135"/>
        <v>5.68</v>
      </c>
      <c r="O42" s="3">
        <v>4.3600000000000003</v>
      </c>
      <c r="P42" s="3">
        <f t="shared" si="136"/>
        <v>4.3600000000000003</v>
      </c>
      <c r="Q42" s="4">
        <f t="shared" si="137"/>
        <v>4.3600000000000003</v>
      </c>
      <c r="R42" s="3">
        <v>4.82</v>
      </c>
      <c r="S42" s="3">
        <f t="shared" si="138"/>
        <v>4.82</v>
      </c>
      <c r="T42" s="4">
        <f t="shared" si="139"/>
        <v>4.82</v>
      </c>
      <c r="U42" s="3">
        <v>1.79</v>
      </c>
      <c r="V42" s="3">
        <f t="shared" si="140"/>
        <v>1.79</v>
      </c>
      <c r="W42" s="4">
        <f t="shared" si="141"/>
        <v>1.79</v>
      </c>
      <c r="X42" s="3">
        <v>2.2200000000000002</v>
      </c>
      <c r="Y42" s="3">
        <f t="shared" si="142"/>
        <v>2.2200000000000002</v>
      </c>
      <c r="Z42" s="21">
        <f t="shared" si="143"/>
        <v>2.2200000000000002</v>
      </c>
      <c r="AB42" s="20" t="s">
        <v>339</v>
      </c>
      <c r="AC42" s="3">
        <v>2.85</v>
      </c>
      <c r="AD42" s="3">
        <f t="shared" si="144"/>
        <v>2.85</v>
      </c>
      <c r="AE42" s="4">
        <f t="shared" si="145"/>
        <v>2.85</v>
      </c>
      <c r="AF42" s="3">
        <v>5.43</v>
      </c>
      <c r="AG42" s="3">
        <f t="shared" si="146"/>
        <v>5.43</v>
      </c>
      <c r="AH42" s="4">
        <f t="shared" si="147"/>
        <v>5.43</v>
      </c>
      <c r="AI42" s="3">
        <v>5.15</v>
      </c>
      <c r="AJ42" s="3">
        <f t="shared" si="148"/>
        <v>5.15</v>
      </c>
      <c r="AK42" s="4">
        <f t="shared" si="149"/>
        <v>5.15</v>
      </c>
      <c r="AL42" s="3">
        <v>6.09</v>
      </c>
      <c r="AM42" s="3">
        <f t="shared" si="150"/>
        <v>6.09</v>
      </c>
      <c r="AN42" s="4">
        <f t="shared" si="151"/>
        <v>6.09</v>
      </c>
      <c r="AO42" s="3">
        <v>0</v>
      </c>
      <c r="AP42" s="3" t="str">
        <f t="shared" si="152"/>
        <v/>
      </c>
      <c r="AQ42" s="4" t="str">
        <f t="shared" si="153"/>
        <v/>
      </c>
      <c r="AR42" s="3">
        <v>3.78</v>
      </c>
      <c r="AS42" s="3">
        <f t="shared" si="154"/>
        <v>3.78</v>
      </c>
      <c r="AT42" s="4">
        <f t="shared" si="155"/>
        <v>3.78</v>
      </c>
      <c r="AU42" s="3">
        <v>3.06</v>
      </c>
      <c r="AV42" s="3">
        <f t="shared" si="156"/>
        <v>3.06</v>
      </c>
      <c r="AW42" s="4">
        <f t="shared" si="157"/>
        <v>3.06</v>
      </c>
      <c r="AX42" s="3">
        <v>3.5</v>
      </c>
      <c r="AY42" s="3">
        <f t="shared" si="158"/>
        <v>3.5</v>
      </c>
      <c r="AZ42" s="21">
        <f t="shared" si="31"/>
        <v>3.5</v>
      </c>
      <c r="BB42" s="20" t="s">
        <v>340</v>
      </c>
      <c r="BC42" s="3">
        <v>3.92</v>
      </c>
      <c r="BD42" s="3">
        <f t="shared" si="32"/>
        <v>3.92</v>
      </c>
      <c r="BE42" s="4">
        <f t="shared" si="33"/>
        <v>3.92</v>
      </c>
      <c r="BF42" s="3">
        <v>4.2699999999999996</v>
      </c>
      <c r="BG42" s="3">
        <f t="shared" si="34"/>
        <v>4.2699999999999996</v>
      </c>
      <c r="BH42" s="4">
        <f t="shared" si="35"/>
        <v>4.2699999999999996</v>
      </c>
      <c r="BI42" s="3">
        <v>3.2</v>
      </c>
      <c r="BJ42" s="3">
        <f t="shared" si="36"/>
        <v>3.2</v>
      </c>
      <c r="BK42" s="4" t="str">
        <f t="shared" si="37"/>
        <v/>
      </c>
      <c r="BL42" s="3">
        <v>4.32</v>
      </c>
      <c r="BM42" s="3">
        <f t="shared" si="38"/>
        <v>4.32</v>
      </c>
      <c r="BN42" s="4">
        <f t="shared" si="39"/>
        <v>4.32</v>
      </c>
      <c r="BO42" s="3">
        <v>3.63</v>
      </c>
      <c r="BP42" s="3">
        <f t="shared" si="40"/>
        <v>3.63</v>
      </c>
      <c r="BQ42" s="4">
        <f t="shared" si="41"/>
        <v>3.63</v>
      </c>
      <c r="BR42" s="3">
        <v>3.13</v>
      </c>
      <c r="BS42" s="3">
        <f t="shared" si="42"/>
        <v>3.13</v>
      </c>
      <c r="BT42" s="4">
        <f t="shared" si="43"/>
        <v>3.13</v>
      </c>
      <c r="BU42" s="3">
        <v>1.65</v>
      </c>
      <c r="BV42" s="3">
        <f t="shared" si="44"/>
        <v>1.65</v>
      </c>
      <c r="BW42" s="4">
        <f t="shared" si="45"/>
        <v>1.65</v>
      </c>
      <c r="BX42" s="3">
        <v>1.21</v>
      </c>
      <c r="BY42" s="3">
        <f t="shared" si="46"/>
        <v>1.21</v>
      </c>
      <c r="BZ42" s="21">
        <f t="shared" si="47"/>
        <v>1.21</v>
      </c>
      <c r="CB42" s="20" t="s">
        <v>341</v>
      </c>
      <c r="CC42" s="3">
        <v>4.1399999999999997</v>
      </c>
      <c r="CD42" s="3">
        <f t="shared" si="48"/>
        <v>4.1399999999999997</v>
      </c>
      <c r="CE42" s="4">
        <f t="shared" si="159"/>
        <v>4.1399999999999997</v>
      </c>
      <c r="CF42" s="3">
        <v>6.11</v>
      </c>
      <c r="CG42" s="3">
        <f t="shared" si="50"/>
        <v>6.11</v>
      </c>
      <c r="CH42" s="4">
        <f t="shared" si="160"/>
        <v>6.11</v>
      </c>
      <c r="CI42" s="3">
        <v>3.6</v>
      </c>
      <c r="CJ42" s="3">
        <f t="shared" si="52"/>
        <v>3.6</v>
      </c>
      <c r="CK42" s="4">
        <f t="shared" si="161"/>
        <v>3.6</v>
      </c>
      <c r="CL42" s="3">
        <v>4.87</v>
      </c>
      <c r="CM42" s="3">
        <f t="shared" si="54"/>
        <v>4.87</v>
      </c>
      <c r="CN42" s="4">
        <f t="shared" si="162"/>
        <v>4.87</v>
      </c>
      <c r="CO42" s="3">
        <v>3.61</v>
      </c>
      <c r="CP42" s="3">
        <f t="shared" si="56"/>
        <v>3.61</v>
      </c>
      <c r="CQ42" s="4" t="str">
        <f t="shared" si="163"/>
        <v/>
      </c>
      <c r="CR42" s="3">
        <v>1.84</v>
      </c>
      <c r="CS42" s="3">
        <f t="shared" si="58"/>
        <v>1.84</v>
      </c>
      <c r="CT42" s="4">
        <f t="shared" si="164"/>
        <v>1.84</v>
      </c>
      <c r="CU42" s="3">
        <v>3.78</v>
      </c>
      <c r="CV42" s="3">
        <f t="shared" si="60"/>
        <v>3.78</v>
      </c>
      <c r="CW42" s="4">
        <f t="shared" si="165"/>
        <v>3.78</v>
      </c>
      <c r="CX42" s="3">
        <v>3.24</v>
      </c>
      <c r="CY42" s="3">
        <f t="shared" si="62"/>
        <v>3.24</v>
      </c>
      <c r="CZ42" s="21">
        <f t="shared" si="166"/>
        <v>3.24</v>
      </c>
      <c r="DB42" s="20" t="s">
        <v>342</v>
      </c>
      <c r="DC42" s="3">
        <v>2.21</v>
      </c>
      <c r="DD42" s="3">
        <f t="shared" si="64"/>
        <v>2.21</v>
      </c>
      <c r="DE42" s="4">
        <f t="shared" si="167"/>
        <v>2.21</v>
      </c>
      <c r="DF42" s="3">
        <v>0.85</v>
      </c>
      <c r="DG42" s="3">
        <f t="shared" si="66"/>
        <v>0.85</v>
      </c>
      <c r="DH42" s="4">
        <f t="shared" si="168"/>
        <v>0.85</v>
      </c>
      <c r="DI42" s="3">
        <v>2.59</v>
      </c>
      <c r="DJ42" s="3">
        <f t="shared" si="68"/>
        <v>2.59</v>
      </c>
      <c r="DK42" s="4">
        <f t="shared" si="169"/>
        <v>2.59</v>
      </c>
      <c r="DL42" s="3">
        <v>3.04</v>
      </c>
      <c r="DM42" s="3">
        <f t="shared" si="127"/>
        <v>3.04</v>
      </c>
      <c r="DN42" s="4">
        <f t="shared" si="170"/>
        <v>3.04</v>
      </c>
      <c r="DO42" s="3">
        <v>1.37</v>
      </c>
      <c r="DP42" s="3">
        <f t="shared" si="71"/>
        <v>1.37</v>
      </c>
      <c r="DQ42" s="4">
        <f t="shared" si="171"/>
        <v>1.37</v>
      </c>
      <c r="DR42" s="3">
        <v>1.17</v>
      </c>
      <c r="DS42" s="3">
        <f t="shared" si="73"/>
        <v>1.17</v>
      </c>
      <c r="DT42" s="4">
        <f t="shared" si="172"/>
        <v>1.17</v>
      </c>
      <c r="DU42" s="3">
        <v>1.37</v>
      </c>
      <c r="DV42" s="3">
        <f t="shared" si="75"/>
        <v>1.37</v>
      </c>
      <c r="DW42" s="4">
        <f t="shared" si="173"/>
        <v>1.37</v>
      </c>
      <c r="DX42" s="3">
        <v>0</v>
      </c>
      <c r="DY42" s="3" t="str">
        <f t="shared" si="77"/>
        <v/>
      </c>
      <c r="DZ42" s="21" t="str">
        <f t="shared" si="174"/>
        <v/>
      </c>
      <c r="EB42" s="20" t="s">
        <v>343</v>
      </c>
      <c r="EC42" s="3">
        <v>0.62</v>
      </c>
      <c r="ED42" s="3">
        <f t="shared" si="79"/>
        <v>0.62</v>
      </c>
      <c r="EE42" s="4">
        <f t="shared" si="175"/>
        <v>0.62</v>
      </c>
      <c r="EF42" s="3">
        <v>4.18</v>
      </c>
      <c r="EG42" s="3">
        <f t="shared" si="81"/>
        <v>4.18</v>
      </c>
      <c r="EH42" s="4">
        <f t="shared" si="176"/>
        <v>4.18</v>
      </c>
      <c r="EI42" s="3">
        <v>0.15</v>
      </c>
      <c r="EJ42" s="3">
        <f t="shared" si="83"/>
        <v>0.15</v>
      </c>
      <c r="EK42" s="4">
        <f t="shared" si="177"/>
        <v>0.15</v>
      </c>
      <c r="EL42" s="3">
        <v>1.61</v>
      </c>
      <c r="EM42" s="3">
        <f t="shared" si="85"/>
        <v>1.61</v>
      </c>
      <c r="EN42" s="4">
        <f t="shared" si="178"/>
        <v>1.61</v>
      </c>
      <c r="EO42" s="3">
        <v>2.21</v>
      </c>
      <c r="EP42" s="3">
        <f t="shared" si="87"/>
        <v>2.21</v>
      </c>
      <c r="EQ42" s="4">
        <f t="shared" si="179"/>
        <v>2.21</v>
      </c>
      <c r="ER42" s="3">
        <v>1.89</v>
      </c>
      <c r="ES42" s="3">
        <f t="shared" si="89"/>
        <v>1.89</v>
      </c>
      <c r="ET42" s="4">
        <f t="shared" si="180"/>
        <v>1.89</v>
      </c>
      <c r="EU42" s="3">
        <v>0.62</v>
      </c>
      <c r="EV42" s="3">
        <f t="shared" si="91"/>
        <v>0.62</v>
      </c>
      <c r="EW42" s="4">
        <f t="shared" si="181"/>
        <v>0.62</v>
      </c>
      <c r="EX42" s="3">
        <v>1.37</v>
      </c>
      <c r="EY42" s="3">
        <f t="shared" si="93"/>
        <v>1.37</v>
      </c>
      <c r="EZ42" s="21">
        <f t="shared" si="182"/>
        <v>1.37</v>
      </c>
      <c r="FB42" s="20" t="s">
        <v>344</v>
      </c>
      <c r="FC42" s="3">
        <v>14.87</v>
      </c>
      <c r="FD42" s="3">
        <f t="shared" si="95"/>
        <v>14.87</v>
      </c>
      <c r="FE42" s="4" t="str">
        <f t="shared" si="183"/>
        <v/>
      </c>
      <c r="FF42" s="3">
        <v>1.37</v>
      </c>
      <c r="FG42" s="3">
        <f t="shared" si="97"/>
        <v>1.37</v>
      </c>
      <c r="FH42" s="4">
        <f t="shared" si="184"/>
        <v>1.37</v>
      </c>
      <c r="FI42" s="3">
        <v>0.2</v>
      </c>
      <c r="FJ42" s="3">
        <f t="shared" si="99"/>
        <v>0.2</v>
      </c>
      <c r="FK42" s="4">
        <f t="shared" si="185"/>
        <v>0.2</v>
      </c>
      <c r="FL42" s="3">
        <v>3.56</v>
      </c>
      <c r="FM42" s="3">
        <f t="shared" si="101"/>
        <v>3.56</v>
      </c>
      <c r="FN42" s="4">
        <f t="shared" si="186"/>
        <v>3.56</v>
      </c>
      <c r="FO42" s="3">
        <v>1.89</v>
      </c>
      <c r="FP42" s="3">
        <f t="shared" si="103"/>
        <v>1.89</v>
      </c>
      <c r="FQ42" s="4">
        <f t="shared" si="187"/>
        <v>1.89</v>
      </c>
      <c r="FR42" s="3">
        <v>2.59</v>
      </c>
      <c r="FS42" s="3">
        <f t="shared" si="105"/>
        <v>2.59</v>
      </c>
      <c r="FT42" s="4">
        <f t="shared" si="188"/>
        <v>2.59</v>
      </c>
      <c r="FU42" s="3">
        <v>0.24</v>
      </c>
      <c r="FV42" s="3">
        <f t="shared" si="107"/>
        <v>0.24</v>
      </c>
      <c r="FW42" s="4">
        <f t="shared" si="189"/>
        <v>0.24</v>
      </c>
      <c r="FX42" s="3">
        <v>0.85</v>
      </c>
      <c r="FY42" s="3">
        <f t="shared" si="109"/>
        <v>0.85</v>
      </c>
      <c r="FZ42" s="21" t="str">
        <f t="shared" si="190"/>
        <v/>
      </c>
      <c r="GB42" s="20" t="s">
        <v>345</v>
      </c>
      <c r="GC42" s="3">
        <v>0</v>
      </c>
      <c r="GD42" s="3" t="str">
        <f t="shared" si="111"/>
        <v/>
      </c>
      <c r="GE42" s="4" t="str">
        <f t="shared" si="191"/>
        <v/>
      </c>
      <c r="GF42" s="3">
        <v>1.37</v>
      </c>
      <c r="GG42" s="3">
        <f t="shared" si="113"/>
        <v>1.37</v>
      </c>
      <c r="GH42" s="4">
        <f t="shared" si="192"/>
        <v>1.37</v>
      </c>
      <c r="GI42" s="3">
        <v>0.13</v>
      </c>
      <c r="GJ42" s="3">
        <f t="shared" si="115"/>
        <v>0.13</v>
      </c>
      <c r="GK42" s="4">
        <f t="shared" si="193"/>
        <v>0.13</v>
      </c>
      <c r="GL42" s="3">
        <v>2.21</v>
      </c>
      <c r="GM42" s="3">
        <f t="shared" si="117"/>
        <v>2.21</v>
      </c>
      <c r="GN42" s="4">
        <f t="shared" si="194"/>
        <v>2.21</v>
      </c>
      <c r="GO42" s="3">
        <v>0</v>
      </c>
      <c r="GP42" s="3" t="str">
        <f t="shared" si="119"/>
        <v/>
      </c>
      <c r="GQ42" s="4" t="str">
        <f t="shared" si="195"/>
        <v/>
      </c>
      <c r="GR42" s="3">
        <v>0.33</v>
      </c>
      <c r="GS42" s="3">
        <f t="shared" si="121"/>
        <v>0.33</v>
      </c>
      <c r="GT42" s="4" t="str">
        <f t="shared" si="196"/>
        <v/>
      </c>
      <c r="GU42" s="3">
        <v>0.33</v>
      </c>
      <c r="GV42" s="3">
        <f t="shared" si="123"/>
        <v>0.33</v>
      </c>
      <c r="GW42" s="4">
        <f t="shared" si="197"/>
        <v>0.33</v>
      </c>
      <c r="GX42" s="3">
        <v>3.56</v>
      </c>
      <c r="GY42" s="3">
        <f t="shared" si="125"/>
        <v>3.56</v>
      </c>
      <c r="GZ42" s="21" t="str">
        <f t="shared" si="198"/>
        <v/>
      </c>
    </row>
    <row r="43" spans="2:208">
      <c r="B43" s="20" t="s">
        <v>346</v>
      </c>
      <c r="C43" s="3">
        <v>3.01</v>
      </c>
      <c r="D43" s="3">
        <f t="shared" si="128"/>
        <v>3.01</v>
      </c>
      <c r="E43" s="4">
        <f t="shared" si="129"/>
        <v>3.01</v>
      </c>
      <c r="F43" s="3">
        <v>4.4000000000000004</v>
      </c>
      <c r="G43" s="3">
        <f t="shared" si="130"/>
        <v>4.4000000000000004</v>
      </c>
      <c r="H43" s="4">
        <f t="shared" si="131"/>
        <v>4.4000000000000004</v>
      </c>
      <c r="I43" s="3">
        <v>5.28</v>
      </c>
      <c r="J43" s="3">
        <f t="shared" si="132"/>
        <v>5.28</v>
      </c>
      <c r="K43" s="4">
        <f t="shared" si="133"/>
        <v>5.28</v>
      </c>
      <c r="L43" s="3">
        <v>5.62</v>
      </c>
      <c r="M43" s="3">
        <f t="shared" si="134"/>
        <v>5.62</v>
      </c>
      <c r="N43" s="4">
        <f t="shared" si="135"/>
        <v>5.62</v>
      </c>
      <c r="O43" s="3">
        <v>4.3099999999999996</v>
      </c>
      <c r="P43" s="3">
        <f t="shared" si="136"/>
        <v>4.3099999999999996</v>
      </c>
      <c r="Q43" s="4">
        <f t="shared" si="137"/>
        <v>4.3099999999999996</v>
      </c>
      <c r="R43" s="3">
        <v>4.84</v>
      </c>
      <c r="S43" s="3">
        <f t="shared" si="138"/>
        <v>4.84</v>
      </c>
      <c r="T43" s="4">
        <f t="shared" si="139"/>
        <v>4.84</v>
      </c>
      <c r="U43" s="3">
        <v>1.73</v>
      </c>
      <c r="V43" s="3">
        <f t="shared" si="140"/>
        <v>1.73</v>
      </c>
      <c r="W43" s="4">
        <f t="shared" si="141"/>
        <v>1.73</v>
      </c>
      <c r="X43" s="3">
        <v>2.2599999999999998</v>
      </c>
      <c r="Y43" s="3">
        <f t="shared" si="142"/>
        <v>2.2599999999999998</v>
      </c>
      <c r="Z43" s="21">
        <f t="shared" si="143"/>
        <v>2.2599999999999998</v>
      </c>
      <c r="AB43" s="20" t="s">
        <v>347</v>
      </c>
      <c r="AC43" s="3">
        <v>2.85</v>
      </c>
      <c r="AD43" s="3">
        <f t="shared" si="144"/>
        <v>2.85</v>
      </c>
      <c r="AE43" s="4">
        <f t="shared" si="145"/>
        <v>2.85</v>
      </c>
      <c r="AF43" s="3">
        <v>5.43</v>
      </c>
      <c r="AG43" s="3">
        <f t="shared" si="146"/>
        <v>5.43</v>
      </c>
      <c r="AH43" s="4">
        <f t="shared" si="147"/>
        <v>5.43</v>
      </c>
      <c r="AI43" s="3">
        <v>5.16</v>
      </c>
      <c r="AJ43" s="3">
        <f t="shared" si="148"/>
        <v>5.16</v>
      </c>
      <c r="AK43" s="4">
        <f t="shared" si="149"/>
        <v>5.16</v>
      </c>
      <c r="AL43" s="3">
        <v>6.05</v>
      </c>
      <c r="AM43" s="3">
        <f t="shared" si="150"/>
        <v>6.05</v>
      </c>
      <c r="AN43" s="4">
        <f t="shared" si="151"/>
        <v>6.05</v>
      </c>
      <c r="AO43" s="3">
        <v>0</v>
      </c>
      <c r="AP43" s="3" t="str">
        <f t="shared" si="152"/>
        <v/>
      </c>
      <c r="AQ43" s="4" t="str">
        <f t="shared" si="153"/>
        <v/>
      </c>
      <c r="AR43" s="3">
        <v>3.76</v>
      </c>
      <c r="AS43" s="3">
        <f t="shared" si="154"/>
        <v>3.76</v>
      </c>
      <c r="AT43" s="4">
        <f t="shared" si="155"/>
        <v>3.76</v>
      </c>
      <c r="AU43" s="3">
        <v>3.05</v>
      </c>
      <c r="AV43" s="3">
        <f t="shared" si="156"/>
        <v>3.05</v>
      </c>
      <c r="AW43" s="4">
        <f t="shared" si="157"/>
        <v>3.05</v>
      </c>
      <c r="AX43" s="3">
        <v>3.47</v>
      </c>
      <c r="AY43" s="3">
        <f t="shared" si="158"/>
        <v>3.47</v>
      </c>
      <c r="AZ43" s="21">
        <f t="shared" si="31"/>
        <v>3.47</v>
      </c>
      <c r="BB43" s="20" t="s">
        <v>348</v>
      </c>
      <c r="BC43" s="3">
        <v>3.93</v>
      </c>
      <c r="BD43" s="3">
        <f t="shared" si="32"/>
        <v>3.93</v>
      </c>
      <c r="BE43" s="4">
        <f t="shared" si="33"/>
        <v>3.93</v>
      </c>
      <c r="BF43" s="3">
        <v>4.28</v>
      </c>
      <c r="BG43" s="3">
        <f t="shared" si="34"/>
        <v>4.28</v>
      </c>
      <c r="BH43" s="4">
        <f t="shared" si="35"/>
        <v>4.28</v>
      </c>
      <c r="BI43" s="3">
        <v>4.17</v>
      </c>
      <c r="BJ43" s="3">
        <f t="shared" si="36"/>
        <v>4.17</v>
      </c>
      <c r="BK43" s="4">
        <f t="shared" si="37"/>
        <v>4.17</v>
      </c>
      <c r="BL43" s="3">
        <v>4.26</v>
      </c>
      <c r="BM43" s="3">
        <f t="shared" si="38"/>
        <v>4.26</v>
      </c>
      <c r="BN43" s="4">
        <f t="shared" si="39"/>
        <v>4.26</v>
      </c>
      <c r="BO43" s="3">
        <v>3.61</v>
      </c>
      <c r="BP43" s="3">
        <f t="shared" si="40"/>
        <v>3.61</v>
      </c>
      <c r="BQ43" s="4">
        <f t="shared" si="41"/>
        <v>3.61</v>
      </c>
      <c r="BR43" s="3">
        <v>3.14</v>
      </c>
      <c r="BS43" s="3">
        <f t="shared" si="42"/>
        <v>3.14</v>
      </c>
      <c r="BT43" s="4">
        <f t="shared" si="43"/>
        <v>3.14</v>
      </c>
      <c r="BU43" s="3">
        <v>1.63</v>
      </c>
      <c r="BV43" s="3">
        <f t="shared" si="44"/>
        <v>1.63</v>
      </c>
      <c r="BW43" s="4">
        <f t="shared" si="45"/>
        <v>1.63</v>
      </c>
      <c r="BX43" s="3">
        <v>1.25</v>
      </c>
      <c r="BY43" s="3">
        <f t="shared" si="46"/>
        <v>1.25</v>
      </c>
      <c r="BZ43" s="21">
        <f t="shared" si="47"/>
        <v>1.25</v>
      </c>
      <c r="CB43" s="20" t="s">
        <v>349</v>
      </c>
      <c r="CC43" s="3">
        <v>4.16</v>
      </c>
      <c r="CD43" s="3">
        <f t="shared" si="48"/>
        <v>4.16</v>
      </c>
      <c r="CE43" s="4">
        <f t="shared" si="159"/>
        <v>4.16</v>
      </c>
      <c r="CF43" s="3">
        <v>6.1</v>
      </c>
      <c r="CG43" s="3">
        <f t="shared" si="50"/>
        <v>6.1</v>
      </c>
      <c r="CH43" s="4">
        <f t="shared" si="160"/>
        <v>6.1</v>
      </c>
      <c r="CI43" s="3">
        <v>3.79</v>
      </c>
      <c r="CJ43" s="3">
        <f t="shared" si="52"/>
        <v>3.79</v>
      </c>
      <c r="CK43" s="4">
        <f t="shared" si="161"/>
        <v>3.79</v>
      </c>
      <c r="CL43" s="3">
        <v>5.17</v>
      </c>
      <c r="CM43" s="3">
        <f t="shared" si="54"/>
        <v>5.17</v>
      </c>
      <c r="CN43" s="4">
        <f t="shared" si="162"/>
        <v>5.17</v>
      </c>
      <c r="CO43" s="3">
        <v>5.43</v>
      </c>
      <c r="CP43" s="3">
        <f t="shared" si="56"/>
        <v>5.43</v>
      </c>
      <c r="CQ43" s="4">
        <f t="shared" si="163"/>
        <v>5.43</v>
      </c>
      <c r="CR43" s="3">
        <v>1.85</v>
      </c>
      <c r="CS43" s="3">
        <f t="shared" si="58"/>
        <v>1.85</v>
      </c>
      <c r="CT43" s="4">
        <f t="shared" si="164"/>
        <v>1.85</v>
      </c>
      <c r="CU43" s="3">
        <v>3.73</v>
      </c>
      <c r="CV43" s="3">
        <f t="shared" si="60"/>
        <v>3.73</v>
      </c>
      <c r="CW43" s="4">
        <f t="shared" si="165"/>
        <v>3.73</v>
      </c>
      <c r="CX43" s="3">
        <v>3.22</v>
      </c>
      <c r="CY43" s="3">
        <f t="shared" si="62"/>
        <v>3.22</v>
      </c>
      <c r="CZ43" s="21">
        <f t="shared" si="166"/>
        <v>3.22</v>
      </c>
      <c r="DB43" s="20" t="s">
        <v>350</v>
      </c>
      <c r="DC43" s="3">
        <v>0.85</v>
      </c>
      <c r="DD43" s="3">
        <f t="shared" si="64"/>
        <v>0.85</v>
      </c>
      <c r="DE43" s="4">
        <f t="shared" si="167"/>
        <v>0.85</v>
      </c>
      <c r="DF43" s="3">
        <v>1.17</v>
      </c>
      <c r="DG43" s="3">
        <f t="shared" si="66"/>
        <v>1.17</v>
      </c>
      <c r="DH43" s="4">
        <f t="shared" si="168"/>
        <v>1.17</v>
      </c>
      <c r="DI43" s="3">
        <v>2.59</v>
      </c>
      <c r="DJ43" s="3">
        <f t="shared" si="68"/>
        <v>2.59</v>
      </c>
      <c r="DK43" s="4">
        <f t="shared" si="169"/>
        <v>2.59</v>
      </c>
      <c r="DL43" s="3">
        <v>3.04</v>
      </c>
      <c r="DM43" s="3">
        <f t="shared" si="127"/>
        <v>3.04</v>
      </c>
      <c r="DN43" s="4">
        <f t="shared" si="170"/>
        <v>3.04</v>
      </c>
      <c r="DO43" s="3">
        <v>1.37</v>
      </c>
      <c r="DP43" s="3">
        <f t="shared" si="71"/>
        <v>1.37</v>
      </c>
      <c r="DQ43" s="4">
        <f t="shared" si="171"/>
        <v>1.37</v>
      </c>
      <c r="DR43" s="3">
        <v>99.99</v>
      </c>
      <c r="DS43" s="3" t="str">
        <f t="shared" si="73"/>
        <v/>
      </c>
      <c r="DT43" s="4" t="str">
        <f t="shared" si="172"/>
        <v/>
      </c>
      <c r="DU43" s="3">
        <v>1.17</v>
      </c>
      <c r="DV43" s="3">
        <f t="shared" si="75"/>
        <v>1.17</v>
      </c>
      <c r="DW43" s="4">
        <f t="shared" si="173"/>
        <v>1.17</v>
      </c>
      <c r="DX43" s="3">
        <v>0</v>
      </c>
      <c r="DY43" s="3" t="str">
        <f t="shared" si="77"/>
        <v/>
      </c>
      <c r="DZ43" s="21" t="str">
        <f t="shared" si="174"/>
        <v/>
      </c>
      <c r="EB43" s="20" t="s">
        <v>351</v>
      </c>
      <c r="EC43" s="3">
        <v>0.53</v>
      </c>
      <c r="ED43" s="3">
        <f t="shared" si="79"/>
        <v>0.53</v>
      </c>
      <c r="EE43" s="4">
        <f t="shared" si="175"/>
        <v>0.53</v>
      </c>
      <c r="EF43" s="3">
        <v>4.18</v>
      </c>
      <c r="EG43" s="3">
        <f t="shared" si="81"/>
        <v>4.18</v>
      </c>
      <c r="EH43" s="4">
        <f t="shared" si="176"/>
        <v>4.18</v>
      </c>
      <c r="EI43" s="3">
        <v>0.39</v>
      </c>
      <c r="EJ43" s="3">
        <f t="shared" si="83"/>
        <v>0.39</v>
      </c>
      <c r="EK43" s="4">
        <f t="shared" si="177"/>
        <v>0.39</v>
      </c>
      <c r="EL43" s="3">
        <v>1.61</v>
      </c>
      <c r="EM43" s="3">
        <f t="shared" si="85"/>
        <v>1.61</v>
      </c>
      <c r="EN43" s="4">
        <f t="shared" si="178"/>
        <v>1.61</v>
      </c>
      <c r="EO43" s="3">
        <v>2.59</v>
      </c>
      <c r="EP43" s="3">
        <f t="shared" si="87"/>
        <v>2.59</v>
      </c>
      <c r="EQ43" s="4">
        <f t="shared" si="179"/>
        <v>2.59</v>
      </c>
      <c r="ER43" s="3">
        <v>1.89</v>
      </c>
      <c r="ES43" s="3">
        <f t="shared" si="89"/>
        <v>1.89</v>
      </c>
      <c r="ET43" s="4">
        <f t="shared" si="180"/>
        <v>1.89</v>
      </c>
      <c r="EU43" s="3">
        <v>0.73</v>
      </c>
      <c r="EV43" s="3">
        <f t="shared" si="91"/>
        <v>0.73</v>
      </c>
      <c r="EW43" s="4">
        <f t="shared" si="181"/>
        <v>0.73</v>
      </c>
      <c r="EX43" s="3">
        <v>1.17</v>
      </c>
      <c r="EY43" s="3">
        <f t="shared" si="93"/>
        <v>1.17</v>
      </c>
      <c r="EZ43" s="21">
        <f t="shared" si="182"/>
        <v>1.17</v>
      </c>
      <c r="FB43" s="20" t="s">
        <v>352</v>
      </c>
      <c r="FC43" s="3">
        <v>9.24</v>
      </c>
      <c r="FD43" s="3">
        <f t="shared" si="95"/>
        <v>9.24</v>
      </c>
      <c r="FE43" s="4" t="str">
        <f t="shared" si="183"/>
        <v/>
      </c>
      <c r="FF43" s="3">
        <v>0.85</v>
      </c>
      <c r="FG43" s="3">
        <f t="shared" si="97"/>
        <v>0.85</v>
      </c>
      <c r="FH43" s="4" t="str">
        <f t="shared" si="184"/>
        <v/>
      </c>
      <c r="FI43" s="3">
        <v>0.2</v>
      </c>
      <c r="FJ43" s="3">
        <f t="shared" si="99"/>
        <v>0.2</v>
      </c>
      <c r="FK43" s="4">
        <f t="shared" si="185"/>
        <v>0.2</v>
      </c>
      <c r="FL43" s="3">
        <v>2.21</v>
      </c>
      <c r="FM43" s="3">
        <f t="shared" si="101"/>
        <v>2.21</v>
      </c>
      <c r="FN43" s="4" t="str">
        <f t="shared" si="186"/>
        <v/>
      </c>
      <c r="FO43" s="3">
        <v>1.61</v>
      </c>
      <c r="FP43" s="3">
        <f t="shared" si="103"/>
        <v>1.61</v>
      </c>
      <c r="FQ43" s="4">
        <f t="shared" si="187"/>
        <v>1.61</v>
      </c>
      <c r="FR43" s="3">
        <v>3.56</v>
      </c>
      <c r="FS43" s="3">
        <f t="shared" si="105"/>
        <v>3.56</v>
      </c>
      <c r="FT43" s="4" t="str">
        <f t="shared" si="188"/>
        <v/>
      </c>
      <c r="FU43" s="3">
        <v>0.17</v>
      </c>
      <c r="FV43" s="3">
        <f t="shared" si="107"/>
        <v>0.17</v>
      </c>
      <c r="FW43" s="4">
        <f t="shared" si="189"/>
        <v>0.17</v>
      </c>
      <c r="FX43" s="3">
        <v>0.62</v>
      </c>
      <c r="FY43" s="3">
        <f t="shared" si="109"/>
        <v>0.62</v>
      </c>
      <c r="FZ43" s="21" t="str">
        <f t="shared" si="190"/>
        <v/>
      </c>
      <c r="GB43" s="20" t="s">
        <v>353</v>
      </c>
      <c r="GC43" s="3">
        <v>0</v>
      </c>
      <c r="GD43" s="3" t="str">
        <f t="shared" si="111"/>
        <v/>
      </c>
      <c r="GE43" s="4" t="str">
        <f t="shared" si="191"/>
        <v/>
      </c>
      <c r="GF43" s="3">
        <v>6.72</v>
      </c>
      <c r="GG43" s="3">
        <f t="shared" si="113"/>
        <v>6.72</v>
      </c>
      <c r="GH43" s="4" t="str">
        <f t="shared" si="192"/>
        <v/>
      </c>
      <c r="GI43" s="3">
        <v>0.17</v>
      </c>
      <c r="GJ43" s="3">
        <f t="shared" si="115"/>
        <v>0.17</v>
      </c>
      <c r="GK43" s="4">
        <f t="shared" si="193"/>
        <v>0.17</v>
      </c>
      <c r="GL43" s="3">
        <v>2.21</v>
      </c>
      <c r="GM43" s="3">
        <f t="shared" si="117"/>
        <v>2.21</v>
      </c>
      <c r="GN43" s="4">
        <f t="shared" si="194"/>
        <v>2.21</v>
      </c>
      <c r="GO43" s="3">
        <v>0.85</v>
      </c>
      <c r="GP43" s="3">
        <f t="shared" si="119"/>
        <v>0.85</v>
      </c>
      <c r="GQ43" s="4" t="str">
        <f t="shared" si="195"/>
        <v/>
      </c>
      <c r="GR43" s="3">
        <v>0.39</v>
      </c>
      <c r="GS43" s="3">
        <f t="shared" si="121"/>
        <v>0.39</v>
      </c>
      <c r="GT43" s="4" t="str">
        <f t="shared" si="196"/>
        <v/>
      </c>
      <c r="GU43" s="3">
        <v>0.39</v>
      </c>
      <c r="GV43" s="3">
        <f t="shared" si="123"/>
        <v>0.39</v>
      </c>
      <c r="GW43" s="4" t="str">
        <f t="shared" si="197"/>
        <v/>
      </c>
      <c r="GX43" s="3">
        <v>3.56</v>
      </c>
      <c r="GY43" s="3">
        <f t="shared" si="125"/>
        <v>3.56</v>
      </c>
      <c r="GZ43" s="21" t="str">
        <f t="shared" si="198"/>
        <v/>
      </c>
    </row>
    <row r="44" spans="2:208">
      <c r="B44" s="20" t="s">
        <v>354</v>
      </c>
      <c r="C44" s="3">
        <v>2.95</v>
      </c>
      <c r="D44" s="3">
        <f t="shared" si="128"/>
        <v>2.95</v>
      </c>
      <c r="E44" s="4">
        <f t="shared" si="129"/>
        <v>2.95</v>
      </c>
      <c r="F44" s="3">
        <v>4.38</v>
      </c>
      <c r="G44" s="3">
        <f t="shared" si="130"/>
        <v>4.38</v>
      </c>
      <c r="H44" s="4">
        <f t="shared" si="131"/>
        <v>4.38</v>
      </c>
      <c r="I44" s="3">
        <v>5.3</v>
      </c>
      <c r="J44" s="3">
        <f t="shared" si="132"/>
        <v>5.3</v>
      </c>
      <c r="K44" s="4">
        <f t="shared" si="133"/>
        <v>5.3</v>
      </c>
      <c r="L44" s="3">
        <v>2.17</v>
      </c>
      <c r="M44" s="3">
        <f t="shared" si="134"/>
        <v>2.17</v>
      </c>
      <c r="N44" s="4" t="str">
        <f t="shared" si="135"/>
        <v/>
      </c>
      <c r="O44" s="3">
        <v>4.32</v>
      </c>
      <c r="P44" s="3">
        <f t="shared" si="136"/>
        <v>4.32</v>
      </c>
      <c r="Q44" s="4">
        <f t="shared" si="137"/>
        <v>4.32</v>
      </c>
      <c r="R44" s="3">
        <v>4.84</v>
      </c>
      <c r="S44" s="3">
        <f t="shared" si="138"/>
        <v>4.84</v>
      </c>
      <c r="T44" s="4">
        <f t="shared" si="139"/>
        <v>4.84</v>
      </c>
      <c r="U44" s="3">
        <v>1.79</v>
      </c>
      <c r="V44" s="3">
        <f t="shared" si="140"/>
        <v>1.79</v>
      </c>
      <c r="W44" s="4">
        <f t="shared" si="141"/>
        <v>1.79</v>
      </c>
      <c r="X44" s="3">
        <v>2.29</v>
      </c>
      <c r="Y44" s="3">
        <f t="shared" si="142"/>
        <v>2.29</v>
      </c>
      <c r="Z44" s="21">
        <f t="shared" si="143"/>
        <v>2.29</v>
      </c>
      <c r="AB44" s="20" t="s">
        <v>355</v>
      </c>
      <c r="AC44" s="3">
        <v>2.84</v>
      </c>
      <c r="AD44" s="3">
        <f t="shared" si="144"/>
        <v>2.84</v>
      </c>
      <c r="AE44" s="4">
        <f t="shared" si="145"/>
        <v>2.84</v>
      </c>
      <c r="AF44" s="3">
        <v>5.45</v>
      </c>
      <c r="AG44" s="3">
        <f t="shared" si="146"/>
        <v>5.45</v>
      </c>
      <c r="AH44" s="4">
        <f t="shared" si="147"/>
        <v>5.45</v>
      </c>
      <c r="AI44" s="3">
        <v>5.22</v>
      </c>
      <c r="AJ44" s="3">
        <f t="shared" si="148"/>
        <v>5.22</v>
      </c>
      <c r="AK44" s="4">
        <f t="shared" si="149"/>
        <v>5.22</v>
      </c>
      <c r="AL44" s="3">
        <v>6.08</v>
      </c>
      <c r="AM44" s="3">
        <f t="shared" si="150"/>
        <v>6.08</v>
      </c>
      <c r="AN44" s="4">
        <f t="shared" si="151"/>
        <v>6.08</v>
      </c>
      <c r="AO44" s="3">
        <v>0</v>
      </c>
      <c r="AP44" s="3" t="str">
        <f t="shared" si="152"/>
        <v/>
      </c>
      <c r="AQ44" s="4" t="str">
        <f t="shared" si="153"/>
        <v/>
      </c>
      <c r="AR44" s="3">
        <v>3.73</v>
      </c>
      <c r="AS44" s="3">
        <f t="shared" si="154"/>
        <v>3.73</v>
      </c>
      <c r="AT44" s="4">
        <f t="shared" si="155"/>
        <v>3.73</v>
      </c>
      <c r="AU44" s="3">
        <v>3.07</v>
      </c>
      <c r="AV44" s="3">
        <f t="shared" si="156"/>
        <v>3.07</v>
      </c>
      <c r="AW44" s="4">
        <f t="shared" si="157"/>
        <v>3.07</v>
      </c>
      <c r="AX44" s="3">
        <v>3.45</v>
      </c>
      <c r="AY44" s="3">
        <f t="shared" si="158"/>
        <v>3.45</v>
      </c>
      <c r="AZ44" s="21">
        <f t="shared" si="31"/>
        <v>3.45</v>
      </c>
      <c r="BB44" s="20" t="s">
        <v>356</v>
      </c>
      <c r="BC44" s="3">
        <v>3.92</v>
      </c>
      <c r="BD44" s="3">
        <f t="shared" si="32"/>
        <v>3.92</v>
      </c>
      <c r="BE44" s="4">
        <f t="shared" si="33"/>
        <v>3.92</v>
      </c>
      <c r="BF44" s="3">
        <v>4.25</v>
      </c>
      <c r="BG44" s="3">
        <f t="shared" si="34"/>
        <v>4.25</v>
      </c>
      <c r="BH44" s="4">
        <f t="shared" si="35"/>
        <v>4.25</v>
      </c>
      <c r="BI44" s="3">
        <v>1.99</v>
      </c>
      <c r="BJ44" s="3">
        <f t="shared" si="36"/>
        <v>1.99</v>
      </c>
      <c r="BK44" s="4" t="str">
        <f t="shared" si="37"/>
        <v/>
      </c>
      <c r="BL44" s="3">
        <v>4.3</v>
      </c>
      <c r="BM44" s="3">
        <f t="shared" si="38"/>
        <v>4.3</v>
      </c>
      <c r="BN44" s="4">
        <f t="shared" si="39"/>
        <v>4.3</v>
      </c>
      <c r="BO44" s="3">
        <v>3.64</v>
      </c>
      <c r="BP44" s="3">
        <f t="shared" si="40"/>
        <v>3.64</v>
      </c>
      <c r="BQ44" s="4">
        <f t="shared" si="41"/>
        <v>3.64</v>
      </c>
      <c r="BR44" s="3">
        <v>3.12</v>
      </c>
      <c r="BS44" s="3">
        <f t="shared" si="42"/>
        <v>3.12</v>
      </c>
      <c r="BT44" s="4">
        <f t="shared" si="43"/>
        <v>3.12</v>
      </c>
      <c r="BU44" s="3">
        <v>1.61</v>
      </c>
      <c r="BV44" s="3">
        <f t="shared" si="44"/>
        <v>1.61</v>
      </c>
      <c r="BW44" s="4">
        <f t="shared" si="45"/>
        <v>1.61</v>
      </c>
      <c r="BX44" s="3">
        <v>1.26</v>
      </c>
      <c r="BY44" s="3">
        <f t="shared" si="46"/>
        <v>1.26</v>
      </c>
      <c r="BZ44" s="21">
        <f t="shared" si="47"/>
        <v>1.26</v>
      </c>
      <c r="CB44" s="20" t="s">
        <v>357</v>
      </c>
      <c r="CC44" s="3">
        <v>4.1500000000000004</v>
      </c>
      <c r="CD44" s="3">
        <f t="shared" si="48"/>
        <v>4.1500000000000004</v>
      </c>
      <c r="CE44" s="4">
        <f t="shared" si="159"/>
        <v>4.1500000000000004</v>
      </c>
      <c r="CF44" s="3">
        <v>6.09</v>
      </c>
      <c r="CG44" s="3">
        <f t="shared" si="50"/>
        <v>6.09</v>
      </c>
      <c r="CH44" s="4">
        <f t="shared" si="160"/>
        <v>6.09</v>
      </c>
      <c r="CI44" s="3">
        <v>2.7</v>
      </c>
      <c r="CJ44" s="3">
        <f t="shared" si="52"/>
        <v>2.7</v>
      </c>
      <c r="CK44" s="4" t="str">
        <f t="shared" si="161"/>
        <v/>
      </c>
      <c r="CL44" s="3">
        <v>5.15</v>
      </c>
      <c r="CM44" s="3">
        <f t="shared" si="54"/>
        <v>5.15</v>
      </c>
      <c r="CN44" s="4">
        <f t="shared" si="162"/>
        <v>5.15</v>
      </c>
      <c r="CO44" s="3">
        <v>5.45</v>
      </c>
      <c r="CP44" s="3">
        <f t="shared" si="56"/>
        <v>5.45</v>
      </c>
      <c r="CQ44" s="4">
        <f t="shared" si="163"/>
        <v>5.45</v>
      </c>
      <c r="CR44" s="3">
        <v>1.85</v>
      </c>
      <c r="CS44" s="3">
        <f t="shared" si="58"/>
        <v>1.85</v>
      </c>
      <c r="CT44" s="4">
        <f t="shared" si="164"/>
        <v>1.85</v>
      </c>
      <c r="CU44" s="3">
        <v>3.28</v>
      </c>
      <c r="CV44" s="3">
        <f t="shared" si="60"/>
        <v>3.28</v>
      </c>
      <c r="CW44" s="4">
        <f t="shared" si="165"/>
        <v>3.28</v>
      </c>
      <c r="CX44" s="3">
        <v>99.99</v>
      </c>
      <c r="CY44" s="3" t="str">
        <f t="shared" si="62"/>
        <v/>
      </c>
      <c r="CZ44" s="21" t="str">
        <f t="shared" si="166"/>
        <v/>
      </c>
      <c r="DB44" s="20" t="s">
        <v>358</v>
      </c>
      <c r="DC44" s="3">
        <v>2.21</v>
      </c>
      <c r="DD44" s="3">
        <f t="shared" si="64"/>
        <v>2.21</v>
      </c>
      <c r="DE44" s="4">
        <f t="shared" si="167"/>
        <v>2.21</v>
      </c>
      <c r="DF44" s="3">
        <v>1.17</v>
      </c>
      <c r="DG44" s="3">
        <f t="shared" si="66"/>
        <v>1.17</v>
      </c>
      <c r="DH44" s="4">
        <f t="shared" si="168"/>
        <v>1.17</v>
      </c>
      <c r="DI44" s="3">
        <v>2.59</v>
      </c>
      <c r="DJ44" s="3">
        <f t="shared" si="68"/>
        <v>2.59</v>
      </c>
      <c r="DK44" s="4">
        <f t="shared" si="169"/>
        <v>2.59</v>
      </c>
      <c r="DL44" s="3">
        <v>3.04</v>
      </c>
      <c r="DM44" s="3">
        <f t="shared" si="127"/>
        <v>3.04</v>
      </c>
      <c r="DN44" s="4">
        <f t="shared" si="170"/>
        <v>3.04</v>
      </c>
      <c r="DO44" s="3">
        <v>1.37</v>
      </c>
      <c r="DP44" s="3">
        <f t="shared" si="71"/>
        <v>1.37</v>
      </c>
      <c r="DQ44" s="4">
        <f t="shared" si="171"/>
        <v>1.37</v>
      </c>
      <c r="DR44" s="3">
        <v>1.17</v>
      </c>
      <c r="DS44" s="3">
        <f t="shared" si="73"/>
        <v>1.17</v>
      </c>
      <c r="DT44" s="4">
        <f t="shared" si="172"/>
        <v>1.17</v>
      </c>
      <c r="DU44" s="3">
        <v>1.17</v>
      </c>
      <c r="DV44" s="3">
        <f t="shared" si="75"/>
        <v>1.17</v>
      </c>
      <c r="DW44" s="4">
        <f t="shared" si="173"/>
        <v>1.17</v>
      </c>
      <c r="DX44" s="3">
        <v>2.59</v>
      </c>
      <c r="DY44" s="3">
        <f t="shared" si="77"/>
        <v>2.59</v>
      </c>
      <c r="DZ44" s="21">
        <f t="shared" si="174"/>
        <v>2.59</v>
      </c>
      <c r="EB44" s="20" t="s">
        <v>359</v>
      </c>
      <c r="EC44" s="3">
        <v>0.53</v>
      </c>
      <c r="ED44" s="3">
        <f t="shared" si="79"/>
        <v>0.53</v>
      </c>
      <c r="EE44" s="4">
        <f t="shared" si="175"/>
        <v>0.53</v>
      </c>
      <c r="EF44" s="3">
        <v>3.56</v>
      </c>
      <c r="EG44" s="3">
        <f t="shared" si="81"/>
        <v>3.56</v>
      </c>
      <c r="EH44" s="4">
        <f t="shared" si="176"/>
        <v>3.56</v>
      </c>
      <c r="EI44" s="3">
        <v>0.39</v>
      </c>
      <c r="EJ44" s="3">
        <f t="shared" si="83"/>
        <v>0.39</v>
      </c>
      <c r="EK44" s="4">
        <f t="shared" si="177"/>
        <v>0.39</v>
      </c>
      <c r="EL44" s="3">
        <v>1.61</v>
      </c>
      <c r="EM44" s="3">
        <f t="shared" si="85"/>
        <v>1.61</v>
      </c>
      <c r="EN44" s="4">
        <f t="shared" si="178"/>
        <v>1.61</v>
      </c>
      <c r="EO44" s="3">
        <v>2.59</v>
      </c>
      <c r="EP44" s="3">
        <f t="shared" si="87"/>
        <v>2.59</v>
      </c>
      <c r="EQ44" s="4">
        <f t="shared" si="179"/>
        <v>2.59</v>
      </c>
      <c r="ER44" s="3">
        <v>1.61</v>
      </c>
      <c r="ES44" s="3">
        <f t="shared" si="89"/>
        <v>1.61</v>
      </c>
      <c r="ET44" s="4">
        <f t="shared" si="180"/>
        <v>1.61</v>
      </c>
      <c r="EU44" s="3">
        <v>0.62</v>
      </c>
      <c r="EV44" s="3">
        <f t="shared" si="91"/>
        <v>0.62</v>
      </c>
      <c r="EW44" s="4">
        <f t="shared" si="181"/>
        <v>0.62</v>
      </c>
      <c r="EX44" s="3">
        <v>1.17</v>
      </c>
      <c r="EY44" s="3">
        <f t="shared" si="93"/>
        <v>1.17</v>
      </c>
      <c r="EZ44" s="21">
        <f t="shared" si="182"/>
        <v>1.17</v>
      </c>
      <c r="FB44" s="20" t="s">
        <v>360</v>
      </c>
      <c r="FC44" s="3">
        <v>12.69</v>
      </c>
      <c r="FD44" s="3">
        <f t="shared" si="95"/>
        <v>12.69</v>
      </c>
      <c r="FE44" s="4">
        <f t="shared" si="183"/>
        <v>12.69</v>
      </c>
      <c r="FF44" s="3">
        <v>1.37</v>
      </c>
      <c r="FG44" s="3">
        <f t="shared" si="97"/>
        <v>1.37</v>
      </c>
      <c r="FH44" s="4">
        <f t="shared" si="184"/>
        <v>1.37</v>
      </c>
      <c r="FI44" s="3">
        <v>0.2</v>
      </c>
      <c r="FJ44" s="3">
        <f t="shared" si="99"/>
        <v>0.2</v>
      </c>
      <c r="FK44" s="4">
        <f t="shared" si="185"/>
        <v>0.2</v>
      </c>
      <c r="FL44" s="3">
        <v>1.89</v>
      </c>
      <c r="FM44" s="3">
        <f t="shared" si="101"/>
        <v>1.89</v>
      </c>
      <c r="FN44" s="4" t="str">
        <f t="shared" si="186"/>
        <v/>
      </c>
      <c r="FO44" s="3">
        <v>2.21</v>
      </c>
      <c r="FP44" s="3">
        <f t="shared" si="103"/>
        <v>2.21</v>
      </c>
      <c r="FQ44" s="4" t="str">
        <f t="shared" si="187"/>
        <v/>
      </c>
      <c r="FR44" s="3">
        <v>2.21</v>
      </c>
      <c r="FS44" s="3">
        <f t="shared" si="105"/>
        <v>2.21</v>
      </c>
      <c r="FT44" s="4">
        <f t="shared" si="188"/>
        <v>2.21</v>
      </c>
      <c r="FU44" s="3">
        <v>0.24</v>
      </c>
      <c r="FV44" s="3">
        <f t="shared" si="107"/>
        <v>0.24</v>
      </c>
      <c r="FW44" s="4">
        <f t="shared" si="189"/>
        <v>0.24</v>
      </c>
      <c r="FX44" s="3">
        <v>0.2</v>
      </c>
      <c r="FY44" s="3">
        <f t="shared" si="109"/>
        <v>0.2</v>
      </c>
      <c r="FZ44" s="21">
        <f t="shared" si="190"/>
        <v>0.2</v>
      </c>
      <c r="GB44" s="20" t="s">
        <v>361</v>
      </c>
      <c r="GC44" s="3">
        <v>0.85</v>
      </c>
      <c r="GD44" s="3">
        <f t="shared" si="111"/>
        <v>0.85</v>
      </c>
      <c r="GE44" s="4">
        <f t="shared" si="191"/>
        <v>0.85</v>
      </c>
      <c r="GF44" s="3">
        <v>0.45</v>
      </c>
      <c r="GG44" s="3">
        <f t="shared" si="113"/>
        <v>0.45</v>
      </c>
      <c r="GH44" s="4">
        <f t="shared" si="192"/>
        <v>0.45</v>
      </c>
      <c r="GI44" s="3">
        <v>0.15</v>
      </c>
      <c r="GJ44" s="3">
        <f t="shared" si="115"/>
        <v>0.15</v>
      </c>
      <c r="GK44" s="4">
        <f t="shared" si="193"/>
        <v>0.15</v>
      </c>
      <c r="GL44" s="3">
        <v>2.21</v>
      </c>
      <c r="GM44" s="3">
        <f t="shared" si="117"/>
        <v>2.21</v>
      </c>
      <c r="GN44" s="4">
        <f t="shared" si="194"/>
        <v>2.21</v>
      </c>
      <c r="GO44" s="3">
        <v>0.85</v>
      </c>
      <c r="GP44" s="3">
        <f t="shared" si="119"/>
        <v>0.85</v>
      </c>
      <c r="GQ44" s="4" t="str">
        <f t="shared" si="195"/>
        <v/>
      </c>
      <c r="GR44" s="3">
        <v>0.33</v>
      </c>
      <c r="GS44" s="3">
        <f t="shared" si="121"/>
        <v>0.33</v>
      </c>
      <c r="GT44" s="4" t="str">
        <f t="shared" si="196"/>
        <v/>
      </c>
      <c r="GU44" s="3">
        <v>0.28000000000000003</v>
      </c>
      <c r="GV44" s="3">
        <f t="shared" si="123"/>
        <v>0.28000000000000003</v>
      </c>
      <c r="GW44" s="4">
        <f t="shared" si="197"/>
        <v>0.28000000000000003</v>
      </c>
      <c r="GX44" s="3">
        <v>1.89</v>
      </c>
      <c r="GY44" s="3">
        <f t="shared" si="125"/>
        <v>1.89</v>
      </c>
      <c r="GZ44" s="21">
        <f t="shared" si="198"/>
        <v>1.89</v>
      </c>
    </row>
    <row r="45" spans="2:208">
      <c r="B45" s="20" t="s">
        <v>362</v>
      </c>
      <c r="C45" s="3">
        <v>2.98</v>
      </c>
      <c r="D45" s="3">
        <f t="shared" si="128"/>
        <v>2.98</v>
      </c>
      <c r="E45" s="4">
        <f t="shared" si="129"/>
        <v>2.98</v>
      </c>
      <c r="F45" s="3">
        <v>4.4000000000000004</v>
      </c>
      <c r="G45" s="3">
        <f t="shared" si="130"/>
        <v>4.4000000000000004</v>
      </c>
      <c r="H45" s="4">
        <f t="shared" si="131"/>
        <v>4.4000000000000004</v>
      </c>
      <c r="I45" s="3">
        <v>3.26</v>
      </c>
      <c r="J45" s="3">
        <f t="shared" si="132"/>
        <v>3.26</v>
      </c>
      <c r="K45" s="4" t="str">
        <f t="shared" si="133"/>
        <v/>
      </c>
      <c r="L45" s="3">
        <v>5.25</v>
      </c>
      <c r="M45" s="3">
        <f t="shared" si="134"/>
        <v>5.25</v>
      </c>
      <c r="N45" s="4">
        <f t="shared" si="135"/>
        <v>5.25</v>
      </c>
      <c r="O45" s="3">
        <v>4.32</v>
      </c>
      <c r="P45" s="3">
        <f t="shared" si="136"/>
        <v>4.32</v>
      </c>
      <c r="Q45" s="4">
        <f t="shared" si="137"/>
        <v>4.32</v>
      </c>
      <c r="R45" s="3">
        <v>4.87</v>
      </c>
      <c r="S45" s="3">
        <f t="shared" si="138"/>
        <v>4.87</v>
      </c>
      <c r="T45" s="4">
        <f t="shared" si="139"/>
        <v>4.87</v>
      </c>
      <c r="U45" s="3">
        <v>1.73</v>
      </c>
      <c r="V45" s="3">
        <f t="shared" si="140"/>
        <v>1.73</v>
      </c>
      <c r="W45" s="4">
        <f t="shared" si="141"/>
        <v>1.73</v>
      </c>
      <c r="X45" s="3">
        <v>2.21</v>
      </c>
      <c r="Y45" s="3">
        <f t="shared" si="142"/>
        <v>2.21</v>
      </c>
      <c r="Z45" s="21">
        <f t="shared" si="143"/>
        <v>2.21</v>
      </c>
      <c r="AB45" s="20" t="s">
        <v>363</v>
      </c>
      <c r="AC45" s="3">
        <v>2.86</v>
      </c>
      <c r="AD45" s="3">
        <f t="shared" si="144"/>
        <v>2.86</v>
      </c>
      <c r="AE45" s="4">
        <f t="shared" si="145"/>
        <v>2.86</v>
      </c>
      <c r="AF45" s="3">
        <v>5.4</v>
      </c>
      <c r="AG45" s="3">
        <f t="shared" si="146"/>
        <v>5.4</v>
      </c>
      <c r="AH45" s="4">
        <f t="shared" si="147"/>
        <v>5.4</v>
      </c>
      <c r="AI45" s="3">
        <v>5.17</v>
      </c>
      <c r="AJ45" s="3">
        <f t="shared" si="148"/>
        <v>5.17</v>
      </c>
      <c r="AK45" s="4">
        <f t="shared" si="149"/>
        <v>5.17</v>
      </c>
      <c r="AL45" s="3">
        <v>6.07</v>
      </c>
      <c r="AM45" s="3">
        <f t="shared" si="150"/>
        <v>6.07</v>
      </c>
      <c r="AN45" s="4">
        <f t="shared" si="151"/>
        <v>6.07</v>
      </c>
      <c r="AO45" s="3">
        <v>0</v>
      </c>
      <c r="AP45" s="3" t="str">
        <f t="shared" si="152"/>
        <v/>
      </c>
      <c r="AQ45" s="4" t="str">
        <f t="shared" si="153"/>
        <v/>
      </c>
      <c r="AR45" s="3">
        <v>3.73</v>
      </c>
      <c r="AS45" s="3">
        <f t="shared" si="154"/>
        <v>3.73</v>
      </c>
      <c r="AT45" s="4">
        <f t="shared" si="155"/>
        <v>3.73</v>
      </c>
      <c r="AU45" s="3">
        <v>3.06</v>
      </c>
      <c r="AV45" s="3">
        <f t="shared" si="156"/>
        <v>3.06</v>
      </c>
      <c r="AW45" s="4">
        <f t="shared" si="157"/>
        <v>3.06</v>
      </c>
      <c r="AX45" s="3">
        <v>3.51</v>
      </c>
      <c r="AY45" s="3">
        <f t="shared" si="158"/>
        <v>3.51</v>
      </c>
      <c r="AZ45" s="21">
        <f t="shared" si="31"/>
        <v>3.51</v>
      </c>
      <c r="BB45" s="20" t="s">
        <v>364</v>
      </c>
      <c r="BC45" s="3">
        <v>3.9</v>
      </c>
      <c r="BD45" s="3">
        <f t="shared" si="32"/>
        <v>3.9</v>
      </c>
      <c r="BE45" s="4">
        <f t="shared" si="33"/>
        <v>3.9</v>
      </c>
      <c r="BF45" s="3">
        <v>4.25</v>
      </c>
      <c r="BG45" s="3">
        <f t="shared" si="34"/>
        <v>4.25</v>
      </c>
      <c r="BH45" s="4">
        <f t="shared" si="35"/>
        <v>4.25</v>
      </c>
      <c r="BI45" s="3">
        <v>4.16</v>
      </c>
      <c r="BJ45" s="3">
        <f t="shared" si="36"/>
        <v>4.16</v>
      </c>
      <c r="BK45" s="4">
        <f t="shared" si="37"/>
        <v>4.16</v>
      </c>
      <c r="BL45" s="3">
        <v>4.28</v>
      </c>
      <c r="BM45" s="3">
        <f t="shared" si="38"/>
        <v>4.28</v>
      </c>
      <c r="BN45" s="4">
        <f t="shared" si="39"/>
        <v>4.28</v>
      </c>
      <c r="BO45" s="3">
        <v>3.61</v>
      </c>
      <c r="BP45" s="3">
        <f t="shared" si="40"/>
        <v>3.61</v>
      </c>
      <c r="BQ45" s="4">
        <f t="shared" si="41"/>
        <v>3.61</v>
      </c>
      <c r="BR45" s="3">
        <v>3.11</v>
      </c>
      <c r="BS45" s="3">
        <f t="shared" si="42"/>
        <v>3.11</v>
      </c>
      <c r="BT45" s="4">
        <f t="shared" si="43"/>
        <v>3.11</v>
      </c>
      <c r="BU45" s="3">
        <v>1.64</v>
      </c>
      <c r="BV45" s="3">
        <f t="shared" si="44"/>
        <v>1.64</v>
      </c>
      <c r="BW45" s="4">
        <f t="shared" si="45"/>
        <v>1.64</v>
      </c>
      <c r="BX45" s="3">
        <v>1.28</v>
      </c>
      <c r="BY45" s="3">
        <f t="shared" si="46"/>
        <v>1.28</v>
      </c>
      <c r="BZ45" s="21">
        <f t="shared" si="47"/>
        <v>1.28</v>
      </c>
      <c r="CB45" s="20" t="s">
        <v>365</v>
      </c>
      <c r="CC45" s="3">
        <v>4.1500000000000004</v>
      </c>
      <c r="CD45" s="3">
        <f t="shared" si="48"/>
        <v>4.1500000000000004</v>
      </c>
      <c r="CE45" s="4">
        <f t="shared" si="159"/>
        <v>4.1500000000000004</v>
      </c>
      <c r="CF45" s="3">
        <v>6.08</v>
      </c>
      <c r="CG45" s="3">
        <f t="shared" si="50"/>
        <v>6.08</v>
      </c>
      <c r="CH45" s="4">
        <f t="shared" si="160"/>
        <v>6.08</v>
      </c>
      <c r="CI45" s="3">
        <v>3.79</v>
      </c>
      <c r="CJ45" s="3">
        <f t="shared" si="52"/>
        <v>3.79</v>
      </c>
      <c r="CK45" s="4">
        <f t="shared" si="161"/>
        <v>3.79</v>
      </c>
      <c r="CL45" s="3">
        <v>5.08</v>
      </c>
      <c r="CM45" s="3">
        <f t="shared" si="54"/>
        <v>5.08</v>
      </c>
      <c r="CN45" s="4">
        <f t="shared" si="162"/>
        <v>5.08</v>
      </c>
      <c r="CO45" s="3">
        <v>5.45</v>
      </c>
      <c r="CP45" s="3">
        <f t="shared" si="56"/>
        <v>5.45</v>
      </c>
      <c r="CQ45" s="4">
        <f t="shared" si="163"/>
        <v>5.45</v>
      </c>
      <c r="CR45" s="3">
        <v>1.86</v>
      </c>
      <c r="CS45" s="3">
        <f t="shared" si="58"/>
        <v>1.86</v>
      </c>
      <c r="CT45" s="4">
        <f t="shared" si="164"/>
        <v>1.86</v>
      </c>
      <c r="CU45" s="3">
        <v>3.76</v>
      </c>
      <c r="CV45" s="3">
        <f t="shared" si="60"/>
        <v>3.76</v>
      </c>
      <c r="CW45" s="4">
        <f t="shared" si="165"/>
        <v>3.76</v>
      </c>
      <c r="CX45" s="3">
        <v>3.18</v>
      </c>
      <c r="CY45" s="3">
        <f t="shared" si="62"/>
        <v>3.18</v>
      </c>
      <c r="CZ45" s="21">
        <f t="shared" si="166"/>
        <v>3.18</v>
      </c>
      <c r="DB45" s="20" t="s">
        <v>366</v>
      </c>
      <c r="DC45" s="3">
        <v>2.59</v>
      </c>
      <c r="DD45" s="3">
        <f t="shared" si="64"/>
        <v>2.59</v>
      </c>
      <c r="DE45" s="4">
        <f t="shared" si="167"/>
        <v>2.59</v>
      </c>
      <c r="DF45" s="3">
        <v>1.61</v>
      </c>
      <c r="DG45" s="3">
        <f t="shared" si="66"/>
        <v>1.61</v>
      </c>
      <c r="DH45" s="4">
        <f t="shared" si="168"/>
        <v>1.61</v>
      </c>
      <c r="DI45" s="3">
        <v>2.59</v>
      </c>
      <c r="DJ45" s="3">
        <f t="shared" si="68"/>
        <v>2.59</v>
      </c>
      <c r="DK45" s="4">
        <f t="shared" si="169"/>
        <v>2.59</v>
      </c>
      <c r="DL45" s="3">
        <v>3.04</v>
      </c>
      <c r="DM45" s="3">
        <f t="shared" si="127"/>
        <v>3.04</v>
      </c>
      <c r="DN45" s="4">
        <f t="shared" si="170"/>
        <v>3.04</v>
      </c>
      <c r="DO45" s="3">
        <v>1.37</v>
      </c>
      <c r="DP45" s="3">
        <f t="shared" si="71"/>
        <v>1.37</v>
      </c>
      <c r="DQ45" s="4">
        <f t="shared" si="171"/>
        <v>1.37</v>
      </c>
      <c r="DR45" s="3">
        <v>1.17</v>
      </c>
      <c r="DS45" s="3">
        <f t="shared" si="73"/>
        <v>1.17</v>
      </c>
      <c r="DT45" s="4">
        <f t="shared" si="172"/>
        <v>1.17</v>
      </c>
      <c r="DU45" s="3">
        <v>1.17</v>
      </c>
      <c r="DV45" s="3">
        <f t="shared" si="75"/>
        <v>1.17</v>
      </c>
      <c r="DW45" s="4">
        <f t="shared" si="173"/>
        <v>1.17</v>
      </c>
      <c r="DX45" s="3">
        <v>0.85</v>
      </c>
      <c r="DY45" s="3">
        <f t="shared" si="77"/>
        <v>0.85</v>
      </c>
      <c r="DZ45" s="21" t="str">
        <f t="shared" si="174"/>
        <v/>
      </c>
      <c r="EB45" s="20" t="s">
        <v>367</v>
      </c>
      <c r="EC45" s="3">
        <v>0.53</v>
      </c>
      <c r="ED45" s="3">
        <f t="shared" si="79"/>
        <v>0.53</v>
      </c>
      <c r="EE45" s="4">
        <f t="shared" si="175"/>
        <v>0.53</v>
      </c>
      <c r="EF45" s="3">
        <v>4.8899999999999997</v>
      </c>
      <c r="EG45" s="3">
        <f t="shared" si="81"/>
        <v>4.8899999999999997</v>
      </c>
      <c r="EH45" s="4" t="str">
        <f t="shared" si="176"/>
        <v/>
      </c>
      <c r="EI45" s="3">
        <v>0.15</v>
      </c>
      <c r="EJ45" s="3">
        <f t="shared" si="83"/>
        <v>0.15</v>
      </c>
      <c r="EK45" s="4">
        <f t="shared" si="177"/>
        <v>0.15</v>
      </c>
      <c r="EL45" s="3">
        <v>4.18</v>
      </c>
      <c r="EM45" s="3">
        <f t="shared" si="85"/>
        <v>4.18</v>
      </c>
      <c r="EN45" s="4" t="str">
        <f t="shared" si="178"/>
        <v/>
      </c>
      <c r="EO45" s="3">
        <v>17.43</v>
      </c>
      <c r="EP45" s="3">
        <f t="shared" si="87"/>
        <v>17.43</v>
      </c>
      <c r="EQ45" s="4" t="str">
        <f t="shared" si="179"/>
        <v/>
      </c>
      <c r="ER45" s="3">
        <v>1.61</v>
      </c>
      <c r="ES45" s="3">
        <f t="shared" si="89"/>
        <v>1.61</v>
      </c>
      <c r="ET45" s="4">
        <f t="shared" si="180"/>
        <v>1.61</v>
      </c>
      <c r="EU45" s="3">
        <v>0.73</v>
      </c>
      <c r="EV45" s="3">
        <f t="shared" si="91"/>
        <v>0.73</v>
      </c>
      <c r="EW45" s="4">
        <f t="shared" si="181"/>
        <v>0.73</v>
      </c>
      <c r="EX45" s="3">
        <v>4.8899999999999997</v>
      </c>
      <c r="EY45" s="3">
        <f t="shared" si="93"/>
        <v>4.8899999999999997</v>
      </c>
      <c r="EZ45" s="21" t="str">
        <f t="shared" si="182"/>
        <v/>
      </c>
      <c r="FB45" s="20" t="s">
        <v>368</v>
      </c>
      <c r="FC45" s="3">
        <v>12.69</v>
      </c>
      <c r="FD45" s="3">
        <f t="shared" si="95"/>
        <v>12.69</v>
      </c>
      <c r="FE45" s="4">
        <f t="shared" si="183"/>
        <v>12.69</v>
      </c>
      <c r="FF45" s="3">
        <v>1.37</v>
      </c>
      <c r="FG45" s="3">
        <f t="shared" si="97"/>
        <v>1.37</v>
      </c>
      <c r="FH45" s="4">
        <f t="shared" si="184"/>
        <v>1.37</v>
      </c>
      <c r="FI45" s="3">
        <v>1.89</v>
      </c>
      <c r="FJ45" s="3">
        <f t="shared" si="99"/>
        <v>1.89</v>
      </c>
      <c r="FK45" s="4">
        <f t="shared" si="185"/>
        <v>1.89</v>
      </c>
      <c r="FL45" s="3">
        <v>3.56</v>
      </c>
      <c r="FM45" s="3">
        <f t="shared" si="101"/>
        <v>3.56</v>
      </c>
      <c r="FN45" s="4">
        <f t="shared" si="186"/>
        <v>3.56</v>
      </c>
      <c r="FO45" s="3">
        <v>1.89</v>
      </c>
      <c r="FP45" s="3">
        <f t="shared" si="103"/>
        <v>1.89</v>
      </c>
      <c r="FQ45" s="4">
        <f t="shared" si="187"/>
        <v>1.89</v>
      </c>
      <c r="FR45" s="3">
        <v>2.21</v>
      </c>
      <c r="FS45" s="3">
        <f t="shared" si="105"/>
        <v>2.21</v>
      </c>
      <c r="FT45" s="4">
        <f t="shared" si="188"/>
        <v>2.21</v>
      </c>
      <c r="FU45" s="3">
        <v>0.2</v>
      </c>
      <c r="FV45" s="3">
        <f t="shared" si="107"/>
        <v>0.2</v>
      </c>
      <c r="FW45" s="4">
        <f t="shared" si="189"/>
        <v>0.2</v>
      </c>
      <c r="FX45" s="3">
        <v>0.24</v>
      </c>
      <c r="FY45" s="3">
        <f t="shared" si="109"/>
        <v>0.24</v>
      </c>
      <c r="FZ45" s="21">
        <f t="shared" si="190"/>
        <v>0.24</v>
      </c>
      <c r="GB45" s="20" t="s">
        <v>369</v>
      </c>
      <c r="GC45" s="3">
        <v>0.85</v>
      </c>
      <c r="GD45" s="3">
        <f t="shared" si="111"/>
        <v>0.85</v>
      </c>
      <c r="GE45" s="4">
        <f t="shared" si="191"/>
        <v>0.85</v>
      </c>
      <c r="GF45" s="3">
        <v>0.45</v>
      </c>
      <c r="GG45" s="3">
        <f t="shared" si="113"/>
        <v>0.45</v>
      </c>
      <c r="GH45" s="4">
        <f t="shared" si="192"/>
        <v>0.45</v>
      </c>
      <c r="GI45" s="3">
        <v>0.13</v>
      </c>
      <c r="GJ45" s="3">
        <f t="shared" si="115"/>
        <v>0.13</v>
      </c>
      <c r="GK45" s="4">
        <f t="shared" si="193"/>
        <v>0.13</v>
      </c>
      <c r="GL45" s="3">
        <v>2.21</v>
      </c>
      <c r="GM45" s="3">
        <f t="shared" si="117"/>
        <v>2.21</v>
      </c>
      <c r="GN45" s="4">
        <f t="shared" si="194"/>
        <v>2.21</v>
      </c>
      <c r="GO45" s="3">
        <v>1.89</v>
      </c>
      <c r="GP45" s="3">
        <f t="shared" si="119"/>
        <v>1.89</v>
      </c>
      <c r="GQ45" s="4">
        <f t="shared" si="195"/>
        <v>1.89</v>
      </c>
      <c r="GR45" s="3">
        <v>0.62</v>
      </c>
      <c r="GS45" s="3">
        <f t="shared" si="121"/>
        <v>0.62</v>
      </c>
      <c r="GT45" s="4">
        <f t="shared" si="196"/>
        <v>0.62</v>
      </c>
      <c r="GU45" s="3">
        <v>0.24</v>
      </c>
      <c r="GV45" s="3">
        <f t="shared" si="123"/>
        <v>0.24</v>
      </c>
      <c r="GW45" s="4" t="str">
        <f t="shared" si="197"/>
        <v/>
      </c>
      <c r="GX45" s="3">
        <v>1.89</v>
      </c>
      <c r="GY45" s="3">
        <f t="shared" si="125"/>
        <v>1.89</v>
      </c>
      <c r="GZ45" s="21">
        <f t="shared" si="198"/>
        <v>1.89</v>
      </c>
    </row>
    <row r="46" spans="2:208">
      <c r="B46" s="20" t="s">
        <v>370</v>
      </c>
      <c r="C46" s="3">
        <v>3.02</v>
      </c>
      <c r="D46" s="3">
        <f t="shared" si="128"/>
        <v>3.02</v>
      </c>
      <c r="E46" s="4">
        <f t="shared" si="129"/>
        <v>3.02</v>
      </c>
      <c r="F46" s="3">
        <v>4.3899999999999997</v>
      </c>
      <c r="G46" s="3">
        <f t="shared" si="130"/>
        <v>4.3899999999999997</v>
      </c>
      <c r="H46" s="4">
        <f t="shared" si="131"/>
        <v>4.3899999999999997</v>
      </c>
      <c r="I46" s="3">
        <v>5.29</v>
      </c>
      <c r="J46" s="3">
        <f t="shared" si="132"/>
        <v>5.29</v>
      </c>
      <c r="K46" s="4">
        <f t="shared" si="133"/>
        <v>5.29</v>
      </c>
      <c r="L46" s="3">
        <v>5.61</v>
      </c>
      <c r="M46" s="3">
        <f t="shared" si="134"/>
        <v>5.61</v>
      </c>
      <c r="N46" s="4">
        <f t="shared" si="135"/>
        <v>5.61</v>
      </c>
      <c r="O46" s="3">
        <v>4.32</v>
      </c>
      <c r="P46" s="3">
        <f t="shared" si="136"/>
        <v>4.32</v>
      </c>
      <c r="Q46" s="4">
        <f t="shared" si="137"/>
        <v>4.32</v>
      </c>
      <c r="R46" s="3">
        <v>4.84</v>
      </c>
      <c r="S46" s="3">
        <f t="shared" si="138"/>
        <v>4.84</v>
      </c>
      <c r="T46" s="4">
        <f t="shared" si="139"/>
        <v>4.84</v>
      </c>
      <c r="U46" s="3">
        <v>1.77</v>
      </c>
      <c r="V46" s="3">
        <f t="shared" si="140"/>
        <v>1.77</v>
      </c>
      <c r="W46" s="4">
        <f t="shared" si="141"/>
        <v>1.77</v>
      </c>
      <c r="X46" s="3">
        <v>2.63</v>
      </c>
      <c r="Y46" s="3">
        <f t="shared" si="142"/>
        <v>2.63</v>
      </c>
      <c r="Z46" s="21">
        <f t="shared" si="143"/>
        <v>2.63</v>
      </c>
      <c r="AB46" s="20" t="s">
        <v>371</v>
      </c>
      <c r="AC46" s="3">
        <v>2.82</v>
      </c>
      <c r="AD46" s="3">
        <f t="shared" si="144"/>
        <v>2.82</v>
      </c>
      <c r="AE46" s="4">
        <f t="shared" si="145"/>
        <v>2.82</v>
      </c>
      <c r="AF46" s="3">
        <v>5.47</v>
      </c>
      <c r="AG46" s="3">
        <f t="shared" si="146"/>
        <v>5.47</v>
      </c>
      <c r="AH46" s="4">
        <f t="shared" si="147"/>
        <v>5.47</v>
      </c>
      <c r="AI46" s="3">
        <v>5.12</v>
      </c>
      <c r="AJ46" s="3">
        <f t="shared" si="148"/>
        <v>5.12</v>
      </c>
      <c r="AK46" s="4">
        <f t="shared" si="149"/>
        <v>5.12</v>
      </c>
      <c r="AL46" s="3">
        <v>6.05</v>
      </c>
      <c r="AM46" s="3">
        <f t="shared" si="150"/>
        <v>6.05</v>
      </c>
      <c r="AN46" s="4">
        <f t="shared" si="151"/>
        <v>6.05</v>
      </c>
      <c r="AO46" s="3">
        <v>5.1100000000000003</v>
      </c>
      <c r="AP46" s="3">
        <f t="shared" si="152"/>
        <v>5.1100000000000003</v>
      </c>
      <c r="AQ46" s="4">
        <f t="shared" si="153"/>
        <v>5.1100000000000003</v>
      </c>
      <c r="AR46" s="3">
        <v>3.73</v>
      </c>
      <c r="AS46" s="3">
        <f t="shared" si="154"/>
        <v>3.73</v>
      </c>
      <c r="AT46" s="4">
        <f t="shared" si="155"/>
        <v>3.73</v>
      </c>
      <c r="AU46" s="3">
        <v>3.06</v>
      </c>
      <c r="AV46" s="3">
        <f t="shared" si="156"/>
        <v>3.06</v>
      </c>
      <c r="AW46" s="4">
        <f t="shared" si="157"/>
        <v>3.06</v>
      </c>
      <c r="AX46" s="3">
        <v>3.44</v>
      </c>
      <c r="AY46" s="3">
        <f t="shared" si="158"/>
        <v>3.44</v>
      </c>
      <c r="AZ46" s="21">
        <f t="shared" si="31"/>
        <v>3.44</v>
      </c>
      <c r="BB46" s="20" t="s">
        <v>372</v>
      </c>
      <c r="BC46" s="3">
        <v>3.9</v>
      </c>
      <c r="BD46" s="3">
        <f t="shared" si="32"/>
        <v>3.9</v>
      </c>
      <c r="BE46" s="4">
        <f t="shared" si="33"/>
        <v>3.9</v>
      </c>
      <c r="BF46" s="3">
        <v>4.26</v>
      </c>
      <c r="BG46" s="3">
        <f t="shared" si="34"/>
        <v>4.26</v>
      </c>
      <c r="BH46" s="4">
        <f t="shared" si="35"/>
        <v>4.26</v>
      </c>
      <c r="BI46" s="3">
        <v>4.1900000000000004</v>
      </c>
      <c r="BJ46" s="3">
        <f t="shared" si="36"/>
        <v>4.1900000000000004</v>
      </c>
      <c r="BK46" s="4">
        <f t="shared" si="37"/>
        <v>4.1900000000000004</v>
      </c>
      <c r="BL46" s="3">
        <v>4.3099999999999996</v>
      </c>
      <c r="BM46" s="3">
        <f t="shared" si="38"/>
        <v>4.3099999999999996</v>
      </c>
      <c r="BN46" s="4">
        <f t="shared" si="39"/>
        <v>4.3099999999999996</v>
      </c>
      <c r="BO46" s="3">
        <v>3.6</v>
      </c>
      <c r="BP46" s="3">
        <f t="shared" si="40"/>
        <v>3.6</v>
      </c>
      <c r="BQ46" s="4">
        <f t="shared" si="41"/>
        <v>3.6</v>
      </c>
      <c r="BR46" s="3">
        <v>3.12</v>
      </c>
      <c r="BS46" s="3">
        <f t="shared" si="42"/>
        <v>3.12</v>
      </c>
      <c r="BT46" s="4">
        <f t="shared" si="43"/>
        <v>3.12</v>
      </c>
      <c r="BU46" s="3">
        <v>1.66</v>
      </c>
      <c r="BV46" s="3">
        <f t="shared" si="44"/>
        <v>1.66</v>
      </c>
      <c r="BW46" s="4">
        <f t="shared" si="45"/>
        <v>1.66</v>
      </c>
      <c r="BX46" s="3">
        <v>1.21</v>
      </c>
      <c r="BY46" s="3">
        <f t="shared" si="46"/>
        <v>1.21</v>
      </c>
      <c r="BZ46" s="21">
        <f t="shared" si="47"/>
        <v>1.21</v>
      </c>
      <c r="CB46" s="20" t="s">
        <v>373</v>
      </c>
      <c r="CC46" s="3">
        <v>4.1399999999999997</v>
      </c>
      <c r="CD46" s="3">
        <f t="shared" si="48"/>
        <v>4.1399999999999997</v>
      </c>
      <c r="CE46" s="4">
        <f t="shared" si="159"/>
        <v>4.1399999999999997</v>
      </c>
      <c r="CF46" s="3">
        <v>6.07</v>
      </c>
      <c r="CG46" s="3">
        <f t="shared" si="50"/>
        <v>6.07</v>
      </c>
      <c r="CH46" s="4">
        <f t="shared" si="160"/>
        <v>6.07</v>
      </c>
      <c r="CI46" s="3">
        <v>3.76</v>
      </c>
      <c r="CJ46" s="3">
        <f t="shared" si="52"/>
        <v>3.76</v>
      </c>
      <c r="CK46" s="4">
        <f t="shared" si="161"/>
        <v>3.76</v>
      </c>
      <c r="CL46" s="3">
        <v>5.14</v>
      </c>
      <c r="CM46" s="3">
        <f t="shared" si="54"/>
        <v>5.14</v>
      </c>
      <c r="CN46" s="4">
        <f t="shared" si="162"/>
        <v>5.14</v>
      </c>
      <c r="CO46" s="3">
        <v>5.48</v>
      </c>
      <c r="CP46" s="3">
        <f t="shared" si="56"/>
        <v>5.48</v>
      </c>
      <c r="CQ46" s="4">
        <f t="shared" si="163"/>
        <v>5.48</v>
      </c>
      <c r="CR46" s="3">
        <v>1.85</v>
      </c>
      <c r="CS46" s="3">
        <f t="shared" si="58"/>
        <v>1.85</v>
      </c>
      <c r="CT46" s="4">
        <f t="shared" si="164"/>
        <v>1.85</v>
      </c>
      <c r="CU46" s="3">
        <v>3.76</v>
      </c>
      <c r="CV46" s="3">
        <f t="shared" si="60"/>
        <v>3.76</v>
      </c>
      <c r="CW46" s="4">
        <f t="shared" si="165"/>
        <v>3.76</v>
      </c>
      <c r="CX46" s="3">
        <v>3.17</v>
      </c>
      <c r="CY46" s="3">
        <f t="shared" si="62"/>
        <v>3.17</v>
      </c>
      <c r="CZ46" s="21">
        <f t="shared" si="166"/>
        <v>3.17</v>
      </c>
      <c r="DB46" s="20" t="s">
        <v>374</v>
      </c>
      <c r="DC46" s="3">
        <v>0.85</v>
      </c>
      <c r="DD46" s="3">
        <f t="shared" si="64"/>
        <v>0.85</v>
      </c>
      <c r="DE46" s="4">
        <f t="shared" si="167"/>
        <v>0.85</v>
      </c>
      <c r="DF46" s="3">
        <v>1.17</v>
      </c>
      <c r="DG46" s="3">
        <f t="shared" si="66"/>
        <v>1.17</v>
      </c>
      <c r="DH46" s="4">
        <f t="shared" si="168"/>
        <v>1.17</v>
      </c>
      <c r="DI46" s="3">
        <v>2.59</v>
      </c>
      <c r="DJ46" s="3">
        <f t="shared" si="68"/>
        <v>2.59</v>
      </c>
      <c r="DK46" s="4">
        <f t="shared" si="169"/>
        <v>2.59</v>
      </c>
      <c r="DL46" s="3">
        <v>3.56</v>
      </c>
      <c r="DM46" s="3">
        <f t="shared" si="127"/>
        <v>3.56</v>
      </c>
      <c r="DN46" s="4">
        <f t="shared" si="170"/>
        <v>3.56</v>
      </c>
      <c r="DO46" s="3">
        <v>1.37</v>
      </c>
      <c r="DP46" s="3">
        <f t="shared" si="71"/>
        <v>1.37</v>
      </c>
      <c r="DQ46" s="4">
        <f t="shared" si="171"/>
        <v>1.37</v>
      </c>
      <c r="DR46" s="3">
        <v>85.32</v>
      </c>
      <c r="DS46" s="3">
        <f t="shared" si="73"/>
        <v>85.32</v>
      </c>
      <c r="DT46" s="4" t="str">
        <f t="shared" si="172"/>
        <v/>
      </c>
      <c r="DU46" s="3">
        <v>1.37</v>
      </c>
      <c r="DV46" s="3">
        <f t="shared" si="75"/>
        <v>1.37</v>
      </c>
      <c r="DW46" s="4">
        <f t="shared" si="173"/>
        <v>1.37</v>
      </c>
      <c r="DX46" s="3">
        <v>0.85</v>
      </c>
      <c r="DY46" s="3">
        <f t="shared" si="77"/>
        <v>0.85</v>
      </c>
      <c r="DZ46" s="21" t="str">
        <f t="shared" si="174"/>
        <v/>
      </c>
      <c r="EB46" s="20" t="s">
        <v>375</v>
      </c>
      <c r="EC46" s="3">
        <v>0.45</v>
      </c>
      <c r="ED46" s="3">
        <f t="shared" si="79"/>
        <v>0.45</v>
      </c>
      <c r="EE46" s="4">
        <f t="shared" si="175"/>
        <v>0.45</v>
      </c>
      <c r="EF46" s="3">
        <v>0.39</v>
      </c>
      <c r="EG46" s="3">
        <f t="shared" si="81"/>
        <v>0.39</v>
      </c>
      <c r="EH46" s="4" t="str">
        <f t="shared" si="176"/>
        <v/>
      </c>
      <c r="EI46" s="3">
        <v>0.15</v>
      </c>
      <c r="EJ46" s="3">
        <f t="shared" si="83"/>
        <v>0.15</v>
      </c>
      <c r="EK46" s="4">
        <f t="shared" si="177"/>
        <v>0.15</v>
      </c>
      <c r="EL46" s="3">
        <v>1.61</v>
      </c>
      <c r="EM46" s="3">
        <f t="shared" si="85"/>
        <v>1.61</v>
      </c>
      <c r="EN46" s="4">
        <f t="shared" si="178"/>
        <v>1.61</v>
      </c>
      <c r="EO46" s="3">
        <v>2.21</v>
      </c>
      <c r="EP46" s="3">
        <f t="shared" si="87"/>
        <v>2.21</v>
      </c>
      <c r="EQ46" s="4">
        <f t="shared" si="179"/>
        <v>2.21</v>
      </c>
      <c r="ER46" s="3">
        <v>1.89</v>
      </c>
      <c r="ES46" s="3">
        <f t="shared" si="89"/>
        <v>1.89</v>
      </c>
      <c r="ET46" s="4">
        <f t="shared" si="180"/>
        <v>1.89</v>
      </c>
      <c r="EU46" s="3">
        <v>0.62</v>
      </c>
      <c r="EV46" s="3">
        <f t="shared" si="91"/>
        <v>0.62</v>
      </c>
      <c r="EW46" s="4">
        <f t="shared" si="181"/>
        <v>0.62</v>
      </c>
      <c r="EX46" s="3">
        <v>1.37</v>
      </c>
      <c r="EY46" s="3">
        <f t="shared" si="93"/>
        <v>1.37</v>
      </c>
      <c r="EZ46" s="21">
        <f t="shared" si="182"/>
        <v>1.37</v>
      </c>
      <c r="FB46" s="20" t="s">
        <v>376</v>
      </c>
      <c r="FC46" s="3">
        <v>14.87</v>
      </c>
      <c r="FD46" s="3">
        <f t="shared" si="95"/>
        <v>14.87</v>
      </c>
      <c r="FE46" s="4" t="str">
        <f t="shared" si="183"/>
        <v/>
      </c>
      <c r="FF46" s="3">
        <v>1.37</v>
      </c>
      <c r="FG46" s="3">
        <f t="shared" si="97"/>
        <v>1.37</v>
      </c>
      <c r="FH46" s="4">
        <f t="shared" si="184"/>
        <v>1.37</v>
      </c>
      <c r="FI46" s="3">
        <v>1.61</v>
      </c>
      <c r="FJ46" s="3">
        <f t="shared" si="99"/>
        <v>1.61</v>
      </c>
      <c r="FK46" s="4">
        <f t="shared" si="185"/>
        <v>1.61</v>
      </c>
      <c r="FL46" s="3">
        <v>3.56</v>
      </c>
      <c r="FM46" s="3">
        <f t="shared" si="101"/>
        <v>3.56</v>
      </c>
      <c r="FN46" s="4">
        <f t="shared" si="186"/>
        <v>3.56</v>
      </c>
      <c r="FO46" s="3">
        <v>1.61</v>
      </c>
      <c r="FP46" s="3">
        <f t="shared" si="103"/>
        <v>1.61</v>
      </c>
      <c r="FQ46" s="4">
        <f t="shared" si="187"/>
        <v>1.61</v>
      </c>
      <c r="FR46" s="3">
        <v>2.59</v>
      </c>
      <c r="FS46" s="3">
        <f t="shared" si="105"/>
        <v>2.59</v>
      </c>
      <c r="FT46" s="4">
        <f t="shared" si="188"/>
        <v>2.59</v>
      </c>
      <c r="FU46" s="3">
        <v>0.2</v>
      </c>
      <c r="FV46" s="3">
        <f t="shared" si="107"/>
        <v>0.2</v>
      </c>
      <c r="FW46" s="4">
        <f t="shared" si="189"/>
        <v>0.2</v>
      </c>
      <c r="FX46" s="3">
        <v>0.2</v>
      </c>
      <c r="FY46" s="3">
        <f t="shared" si="109"/>
        <v>0.2</v>
      </c>
      <c r="FZ46" s="21">
        <f t="shared" si="190"/>
        <v>0.2</v>
      </c>
      <c r="GB46" s="20" t="s">
        <v>377</v>
      </c>
      <c r="GC46" s="3">
        <v>0.85</v>
      </c>
      <c r="GD46" s="3">
        <f t="shared" si="111"/>
        <v>0.85</v>
      </c>
      <c r="GE46" s="4">
        <f t="shared" si="191"/>
        <v>0.85</v>
      </c>
      <c r="GF46" s="3">
        <v>0.45</v>
      </c>
      <c r="GG46" s="3">
        <f t="shared" si="113"/>
        <v>0.45</v>
      </c>
      <c r="GH46" s="4">
        <f t="shared" si="192"/>
        <v>0.45</v>
      </c>
      <c r="GI46" s="3">
        <v>0.15</v>
      </c>
      <c r="GJ46" s="3">
        <f t="shared" si="115"/>
        <v>0.15</v>
      </c>
      <c r="GK46" s="4">
        <f t="shared" si="193"/>
        <v>0.15</v>
      </c>
      <c r="GL46" s="3">
        <v>1.17</v>
      </c>
      <c r="GM46" s="3">
        <f t="shared" si="117"/>
        <v>1.17</v>
      </c>
      <c r="GN46" s="4">
        <f t="shared" si="194"/>
        <v>1.17</v>
      </c>
      <c r="GO46" s="3">
        <v>1.89</v>
      </c>
      <c r="GP46" s="3">
        <f t="shared" si="119"/>
        <v>1.89</v>
      </c>
      <c r="GQ46" s="4">
        <f t="shared" si="195"/>
        <v>1.89</v>
      </c>
      <c r="GR46" s="3">
        <v>0.62</v>
      </c>
      <c r="GS46" s="3">
        <f t="shared" si="121"/>
        <v>0.62</v>
      </c>
      <c r="GT46" s="4">
        <f t="shared" si="196"/>
        <v>0.62</v>
      </c>
      <c r="GU46" s="3">
        <v>0.28000000000000003</v>
      </c>
      <c r="GV46" s="3">
        <f t="shared" si="123"/>
        <v>0.28000000000000003</v>
      </c>
      <c r="GW46" s="4">
        <f t="shared" si="197"/>
        <v>0.28000000000000003</v>
      </c>
      <c r="GX46" s="3">
        <v>2.21</v>
      </c>
      <c r="GY46" s="3">
        <f t="shared" si="125"/>
        <v>2.21</v>
      </c>
      <c r="GZ46" s="21">
        <f t="shared" si="198"/>
        <v>2.21</v>
      </c>
    </row>
    <row r="47" spans="2:208">
      <c r="B47" s="20" t="s">
        <v>378</v>
      </c>
      <c r="C47" s="3">
        <v>2.98</v>
      </c>
      <c r="D47" s="3">
        <f t="shared" si="128"/>
        <v>2.98</v>
      </c>
      <c r="E47" s="4">
        <f t="shared" si="129"/>
        <v>2.98</v>
      </c>
      <c r="F47" s="3">
        <v>4.38</v>
      </c>
      <c r="G47" s="3">
        <f t="shared" si="130"/>
        <v>4.38</v>
      </c>
      <c r="H47" s="4">
        <f t="shared" si="131"/>
        <v>4.38</v>
      </c>
      <c r="I47" s="3">
        <v>5.34</v>
      </c>
      <c r="J47" s="3">
        <f t="shared" si="132"/>
        <v>5.34</v>
      </c>
      <c r="K47" s="4">
        <f t="shared" si="133"/>
        <v>5.34</v>
      </c>
      <c r="L47" s="3">
        <v>4.63</v>
      </c>
      <c r="M47" s="3">
        <f t="shared" si="134"/>
        <v>4.63</v>
      </c>
      <c r="N47" s="4">
        <f t="shared" si="135"/>
        <v>4.63</v>
      </c>
      <c r="O47" s="3">
        <v>4.29</v>
      </c>
      <c r="P47" s="3">
        <f t="shared" si="136"/>
        <v>4.29</v>
      </c>
      <c r="Q47" s="4">
        <f t="shared" si="137"/>
        <v>4.29</v>
      </c>
      <c r="R47" s="3">
        <v>4.8499999999999996</v>
      </c>
      <c r="S47" s="3">
        <f t="shared" si="138"/>
        <v>4.8499999999999996</v>
      </c>
      <c r="T47" s="4">
        <f t="shared" si="139"/>
        <v>4.8499999999999996</v>
      </c>
      <c r="U47" s="3">
        <v>1.76</v>
      </c>
      <c r="V47" s="3">
        <f t="shared" si="140"/>
        <v>1.76</v>
      </c>
      <c r="W47" s="4">
        <f t="shared" si="141"/>
        <v>1.76</v>
      </c>
      <c r="X47" s="3">
        <v>2.68</v>
      </c>
      <c r="Y47" s="3">
        <f t="shared" si="142"/>
        <v>2.68</v>
      </c>
      <c r="Z47" s="21">
        <f t="shared" si="143"/>
        <v>2.68</v>
      </c>
      <c r="AB47" s="20" t="s">
        <v>379</v>
      </c>
      <c r="AC47" s="3">
        <v>2.84</v>
      </c>
      <c r="AD47" s="3">
        <f t="shared" si="144"/>
        <v>2.84</v>
      </c>
      <c r="AE47" s="4">
        <f t="shared" si="145"/>
        <v>2.84</v>
      </c>
      <c r="AF47" s="3">
        <v>5.45</v>
      </c>
      <c r="AG47" s="3">
        <f t="shared" si="146"/>
        <v>5.45</v>
      </c>
      <c r="AH47" s="4">
        <f t="shared" si="147"/>
        <v>5.45</v>
      </c>
      <c r="AI47" s="3">
        <v>5.17</v>
      </c>
      <c r="AJ47" s="3">
        <f t="shared" si="148"/>
        <v>5.17</v>
      </c>
      <c r="AK47" s="4">
        <f t="shared" si="149"/>
        <v>5.17</v>
      </c>
      <c r="AL47" s="3">
        <v>3.8</v>
      </c>
      <c r="AM47" s="3">
        <f t="shared" si="150"/>
        <v>3.8</v>
      </c>
      <c r="AN47" s="4" t="str">
        <f t="shared" si="151"/>
        <v/>
      </c>
      <c r="AO47" s="3">
        <v>0</v>
      </c>
      <c r="AP47" s="3" t="str">
        <f t="shared" si="152"/>
        <v/>
      </c>
      <c r="AQ47" s="4" t="str">
        <f t="shared" si="153"/>
        <v/>
      </c>
      <c r="AR47" s="3">
        <v>2.13</v>
      </c>
      <c r="AS47" s="3">
        <f t="shared" si="154"/>
        <v>2.13</v>
      </c>
      <c r="AT47" s="4" t="str">
        <f t="shared" si="155"/>
        <v/>
      </c>
      <c r="AU47" s="3">
        <v>3.03</v>
      </c>
      <c r="AV47" s="3">
        <f t="shared" si="156"/>
        <v>3.03</v>
      </c>
      <c r="AW47" s="4">
        <f t="shared" si="157"/>
        <v>3.03</v>
      </c>
      <c r="AX47" s="3">
        <v>3.44</v>
      </c>
      <c r="AY47" s="3">
        <f t="shared" si="158"/>
        <v>3.44</v>
      </c>
      <c r="AZ47" s="21">
        <f t="shared" si="31"/>
        <v>3.44</v>
      </c>
      <c r="BB47" s="20" t="s">
        <v>380</v>
      </c>
      <c r="BC47" s="3">
        <v>3.92</v>
      </c>
      <c r="BD47" s="3">
        <f t="shared" si="32"/>
        <v>3.92</v>
      </c>
      <c r="BE47" s="4">
        <f t="shared" si="33"/>
        <v>3.92</v>
      </c>
      <c r="BF47" s="3">
        <v>3.99</v>
      </c>
      <c r="BG47" s="3">
        <f t="shared" si="34"/>
        <v>3.99</v>
      </c>
      <c r="BH47" s="4">
        <f t="shared" si="35"/>
        <v>3.99</v>
      </c>
      <c r="BI47" s="3">
        <v>4.1500000000000004</v>
      </c>
      <c r="BJ47" s="3">
        <f t="shared" si="36"/>
        <v>4.1500000000000004</v>
      </c>
      <c r="BK47" s="4">
        <f t="shared" si="37"/>
        <v>4.1500000000000004</v>
      </c>
      <c r="BL47" s="3">
        <v>4.28</v>
      </c>
      <c r="BM47" s="3">
        <f t="shared" si="38"/>
        <v>4.28</v>
      </c>
      <c r="BN47" s="4">
        <f t="shared" si="39"/>
        <v>4.28</v>
      </c>
      <c r="BO47" s="3">
        <v>3.63</v>
      </c>
      <c r="BP47" s="3">
        <f t="shared" si="40"/>
        <v>3.63</v>
      </c>
      <c r="BQ47" s="4">
        <f t="shared" si="41"/>
        <v>3.63</v>
      </c>
      <c r="BR47" s="3">
        <v>3.13</v>
      </c>
      <c r="BS47" s="3">
        <f t="shared" si="42"/>
        <v>3.13</v>
      </c>
      <c r="BT47" s="4">
        <f t="shared" si="43"/>
        <v>3.13</v>
      </c>
      <c r="BU47" s="3">
        <v>1.61</v>
      </c>
      <c r="BV47" s="3">
        <f t="shared" si="44"/>
        <v>1.61</v>
      </c>
      <c r="BW47" s="4">
        <f t="shared" si="45"/>
        <v>1.61</v>
      </c>
      <c r="BX47" s="3">
        <v>1.23</v>
      </c>
      <c r="BY47" s="3">
        <f t="shared" si="46"/>
        <v>1.23</v>
      </c>
      <c r="BZ47" s="21">
        <f t="shared" si="47"/>
        <v>1.23</v>
      </c>
      <c r="CB47" s="20" t="s">
        <v>381</v>
      </c>
      <c r="CC47" s="3">
        <v>4.16</v>
      </c>
      <c r="CD47" s="3">
        <f t="shared" si="48"/>
        <v>4.16</v>
      </c>
      <c r="CE47" s="4">
        <f t="shared" si="159"/>
        <v>4.16</v>
      </c>
      <c r="CF47" s="3">
        <v>6.1</v>
      </c>
      <c r="CG47" s="3">
        <f t="shared" si="50"/>
        <v>6.1</v>
      </c>
      <c r="CH47" s="4">
        <f t="shared" si="160"/>
        <v>6.1</v>
      </c>
      <c r="CI47" s="3">
        <v>3.75</v>
      </c>
      <c r="CJ47" s="3">
        <f t="shared" si="52"/>
        <v>3.75</v>
      </c>
      <c r="CK47" s="4">
        <f t="shared" si="161"/>
        <v>3.75</v>
      </c>
      <c r="CL47" s="3">
        <v>5.17</v>
      </c>
      <c r="CM47" s="3">
        <f t="shared" si="54"/>
        <v>5.17</v>
      </c>
      <c r="CN47" s="4">
        <f t="shared" si="162"/>
        <v>5.17</v>
      </c>
      <c r="CO47" s="3">
        <v>5.46</v>
      </c>
      <c r="CP47" s="3">
        <f t="shared" si="56"/>
        <v>5.46</v>
      </c>
      <c r="CQ47" s="4">
        <f t="shared" si="163"/>
        <v>5.46</v>
      </c>
      <c r="CR47" s="3">
        <v>1.85</v>
      </c>
      <c r="CS47" s="3">
        <f t="shared" si="58"/>
        <v>1.85</v>
      </c>
      <c r="CT47" s="4">
        <f t="shared" si="164"/>
        <v>1.85</v>
      </c>
      <c r="CU47" s="3">
        <v>3.73</v>
      </c>
      <c r="CV47" s="3">
        <f t="shared" si="60"/>
        <v>3.73</v>
      </c>
      <c r="CW47" s="4">
        <f t="shared" si="165"/>
        <v>3.73</v>
      </c>
      <c r="CX47" s="3">
        <v>0</v>
      </c>
      <c r="CY47" s="3" t="str">
        <f t="shared" si="62"/>
        <v/>
      </c>
      <c r="CZ47" s="21" t="str">
        <f t="shared" si="166"/>
        <v/>
      </c>
      <c r="DB47" s="20" t="s">
        <v>382</v>
      </c>
      <c r="DC47" s="3">
        <v>2.21</v>
      </c>
      <c r="DD47" s="3">
        <f t="shared" si="64"/>
        <v>2.21</v>
      </c>
      <c r="DE47" s="4">
        <f t="shared" si="167"/>
        <v>2.21</v>
      </c>
      <c r="DF47" s="3">
        <v>1.17</v>
      </c>
      <c r="DG47" s="3">
        <f t="shared" si="66"/>
        <v>1.17</v>
      </c>
      <c r="DH47" s="4">
        <f t="shared" si="168"/>
        <v>1.17</v>
      </c>
      <c r="DI47" s="3">
        <v>2.59</v>
      </c>
      <c r="DJ47" s="3">
        <f t="shared" si="68"/>
        <v>2.59</v>
      </c>
      <c r="DK47" s="4">
        <f t="shared" si="169"/>
        <v>2.59</v>
      </c>
      <c r="DL47" s="3">
        <v>3.56</v>
      </c>
      <c r="DM47" s="3">
        <f t="shared" si="127"/>
        <v>3.56</v>
      </c>
      <c r="DN47" s="4">
        <f t="shared" si="170"/>
        <v>3.56</v>
      </c>
      <c r="DO47" s="3">
        <v>1.37</v>
      </c>
      <c r="DP47" s="3">
        <f t="shared" si="71"/>
        <v>1.37</v>
      </c>
      <c r="DQ47" s="4">
        <f t="shared" si="171"/>
        <v>1.37</v>
      </c>
      <c r="DR47" s="3">
        <v>1.17</v>
      </c>
      <c r="DS47" s="3">
        <f t="shared" si="73"/>
        <v>1.17</v>
      </c>
      <c r="DT47" s="4">
        <f t="shared" si="172"/>
        <v>1.17</v>
      </c>
      <c r="DU47" s="3">
        <v>1.17</v>
      </c>
      <c r="DV47" s="3">
        <f t="shared" si="75"/>
        <v>1.17</v>
      </c>
      <c r="DW47" s="4">
        <f t="shared" si="173"/>
        <v>1.17</v>
      </c>
      <c r="DX47" s="3">
        <v>0</v>
      </c>
      <c r="DY47" s="3" t="str">
        <f t="shared" si="77"/>
        <v/>
      </c>
      <c r="DZ47" s="21" t="str">
        <f t="shared" si="174"/>
        <v/>
      </c>
      <c r="EB47" s="20" t="s">
        <v>383</v>
      </c>
      <c r="EC47" s="3">
        <v>0.53</v>
      </c>
      <c r="ED47" s="3">
        <f t="shared" si="79"/>
        <v>0.53</v>
      </c>
      <c r="EE47" s="4">
        <f t="shared" si="175"/>
        <v>0.53</v>
      </c>
      <c r="EF47" s="3">
        <v>0.73</v>
      </c>
      <c r="EG47" s="3">
        <f t="shared" si="81"/>
        <v>0.73</v>
      </c>
      <c r="EH47" s="4" t="str">
        <f t="shared" si="176"/>
        <v/>
      </c>
      <c r="EI47" s="3">
        <v>0.39</v>
      </c>
      <c r="EJ47" s="3">
        <f t="shared" si="83"/>
        <v>0.39</v>
      </c>
      <c r="EK47" s="4">
        <f t="shared" si="177"/>
        <v>0.39</v>
      </c>
      <c r="EL47" s="3">
        <v>1.61</v>
      </c>
      <c r="EM47" s="3">
        <f t="shared" si="85"/>
        <v>1.61</v>
      </c>
      <c r="EN47" s="4">
        <f t="shared" si="178"/>
        <v>1.61</v>
      </c>
      <c r="EO47" s="3">
        <v>2.21</v>
      </c>
      <c r="EP47" s="3">
        <f t="shared" si="87"/>
        <v>2.21</v>
      </c>
      <c r="EQ47" s="4">
        <f t="shared" si="179"/>
        <v>2.21</v>
      </c>
      <c r="ER47" s="3">
        <v>1.89</v>
      </c>
      <c r="ES47" s="3">
        <f t="shared" si="89"/>
        <v>1.89</v>
      </c>
      <c r="ET47" s="4">
        <f t="shared" si="180"/>
        <v>1.89</v>
      </c>
      <c r="EU47" s="3">
        <v>0.62</v>
      </c>
      <c r="EV47" s="3">
        <f t="shared" si="91"/>
        <v>0.62</v>
      </c>
      <c r="EW47" s="4">
        <f t="shared" si="181"/>
        <v>0.62</v>
      </c>
      <c r="EX47" s="3">
        <v>1.17</v>
      </c>
      <c r="EY47" s="3">
        <f t="shared" si="93"/>
        <v>1.17</v>
      </c>
      <c r="EZ47" s="21">
        <f t="shared" si="182"/>
        <v>1.17</v>
      </c>
      <c r="FB47" s="20" t="s">
        <v>384</v>
      </c>
      <c r="FC47" s="3">
        <v>14.87</v>
      </c>
      <c r="FD47" s="3">
        <f t="shared" si="95"/>
        <v>14.87</v>
      </c>
      <c r="FE47" s="4" t="str">
        <f t="shared" si="183"/>
        <v/>
      </c>
      <c r="FF47" s="3">
        <v>1.37</v>
      </c>
      <c r="FG47" s="3">
        <f t="shared" si="97"/>
        <v>1.37</v>
      </c>
      <c r="FH47" s="4">
        <f t="shared" si="184"/>
        <v>1.37</v>
      </c>
      <c r="FI47" s="3">
        <v>1.61</v>
      </c>
      <c r="FJ47" s="3">
        <f t="shared" si="99"/>
        <v>1.61</v>
      </c>
      <c r="FK47" s="4">
        <f t="shared" si="185"/>
        <v>1.61</v>
      </c>
      <c r="FL47" s="3">
        <v>0.85</v>
      </c>
      <c r="FM47" s="3">
        <f t="shared" si="101"/>
        <v>0.85</v>
      </c>
      <c r="FN47" s="4" t="str">
        <f t="shared" si="186"/>
        <v/>
      </c>
      <c r="FO47" s="3">
        <v>1.89</v>
      </c>
      <c r="FP47" s="3">
        <f t="shared" si="103"/>
        <v>1.89</v>
      </c>
      <c r="FQ47" s="4">
        <f t="shared" si="187"/>
        <v>1.89</v>
      </c>
      <c r="FR47" s="3">
        <v>3.04</v>
      </c>
      <c r="FS47" s="3">
        <f t="shared" si="105"/>
        <v>3.04</v>
      </c>
      <c r="FT47" s="4">
        <f t="shared" si="188"/>
        <v>3.04</v>
      </c>
      <c r="FU47" s="3">
        <v>1.17</v>
      </c>
      <c r="FV47" s="3">
        <f t="shared" si="107"/>
        <v>1.17</v>
      </c>
      <c r="FW47" s="4" t="str">
        <f t="shared" si="189"/>
        <v/>
      </c>
      <c r="FX47" s="3">
        <v>0.2</v>
      </c>
      <c r="FY47" s="3">
        <f t="shared" si="109"/>
        <v>0.2</v>
      </c>
      <c r="FZ47" s="21">
        <f t="shared" si="190"/>
        <v>0.2</v>
      </c>
      <c r="GB47" s="20" t="s">
        <v>385</v>
      </c>
      <c r="GC47" s="3">
        <v>0.85</v>
      </c>
      <c r="GD47" s="3">
        <f t="shared" si="111"/>
        <v>0.85</v>
      </c>
      <c r="GE47" s="4">
        <f t="shared" si="191"/>
        <v>0.85</v>
      </c>
      <c r="GF47" s="3">
        <v>0.45</v>
      </c>
      <c r="GG47" s="3">
        <f t="shared" si="113"/>
        <v>0.45</v>
      </c>
      <c r="GH47" s="4">
        <f t="shared" si="192"/>
        <v>0.45</v>
      </c>
      <c r="GI47" s="3">
        <v>0.15</v>
      </c>
      <c r="GJ47" s="3">
        <f t="shared" si="115"/>
        <v>0.15</v>
      </c>
      <c r="GK47" s="4">
        <f t="shared" si="193"/>
        <v>0.15</v>
      </c>
      <c r="GL47" s="3">
        <v>1.17</v>
      </c>
      <c r="GM47" s="3">
        <f t="shared" si="117"/>
        <v>1.17</v>
      </c>
      <c r="GN47" s="4">
        <f t="shared" si="194"/>
        <v>1.17</v>
      </c>
      <c r="GO47" s="3">
        <v>1.89</v>
      </c>
      <c r="GP47" s="3">
        <f t="shared" si="119"/>
        <v>1.89</v>
      </c>
      <c r="GQ47" s="4">
        <f t="shared" si="195"/>
        <v>1.89</v>
      </c>
      <c r="GR47" s="3">
        <v>0.73</v>
      </c>
      <c r="GS47" s="3">
        <f t="shared" si="121"/>
        <v>0.73</v>
      </c>
      <c r="GT47" s="4">
        <f t="shared" si="196"/>
        <v>0.73</v>
      </c>
      <c r="GU47" s="3">
        <v>0.33</v>
      </c>
      <c r="GV47" s="3">
        <f t="shared" si="123"/>
        <v>0.33</v>
      </c>
      <c r="GW47" s="4">
        <f t="shared" si="197"/>
        <v>0.33</v>
      </c>
      <c r="GX47" s="3">
        <v>1.89</v>
      </c>
      <c r="GY47" s="3">
        <f t="shared" si="125"/>
        <v>1.89</v>
      </c>
      <c r="GZ47" s="21">
        <f t="shared" si="198"/>
        <v>1.89</v>
      </c>
    </row>
    <row r="48" spans="2:208">
      <c r="B48" s="20" t="s">
        <v>386</v>
      </c>
      <c r="C48" s="3">
        <v>2.99</v>
      </c>
      <c r="D48" s="3">
        <f t="shared" si="128"/>
        <v>2.99</v>
      </c>
      <c r="E48" s="4">
        <f t="shared" si="129"/>
        <v>2.99</v>
      </c>
      <c r="F48" s="3">
        <v>4.3899999999999997</v>
      </c>
      <c r="G48" s="3">
        <f t="shared" si="130"/>
        <v>4.3899999999999997</v>
      </c>
      <c r="H48" s="4">
        <f t="shared" si="131"/>
        <v>4.3899999999999997</v>
      </c>
      <c r="I48" s="3">
        <v>3.8</v>
      </c>
      <c r="J48" s="3">
        <f t="shared" si="132"/>
        <v>3.8</v>
      </c>
      <c r="K48" s="4" t="str">
        <f t="shared" si="133"/>
        <v/>
      </c>
      <c r="L48" s="3">
        <v>0.08</v>
      </c>
      <c r="M48" s="3">
        <f t="shared" si="134"/>
        <v>0.08</v>
      </c>
      <c r="N48" s="4" t="str">
        <f t="shared" si="135"/>
        <v/>
      </c>
      <c r="O48" s="3">
        <v>4.33</v>
      </c>
      <c r="P48" s="3">
        <f t="shared" si="136"/>
        <v>4.33</v>
      </c>
      <c r="Q48" s="4">
        <f t="shared" si="137"/>
        <v>4.33</v>
      </c>
      <c r="R48" s="3">
        <v>1.71</v>
      </c>
      <c r="S48" s="3">
        <f t="shared" si="138"/>
        <v>1.71</v>
      </c>
      <c r="T48" s="4" t="str">
        <f t="shared" si="139"/>
        <v/>
      </c>
      <c r="U48" s="3">
        <v>1.75</v>
      </c>
      <c r="V48" s="3">
        <f t="shared" si="140"/>
        <v>1.75</v>
      </c>
      <c r="W48" s="4">
        <f t="shared" si="141"/>
        <v>1.75</v>
      </c>
      <c r="X48" s="3">
        <v>99.99</v>
      </c>
      <c r="Y48" s="3" t="str">
        <f t="shared" si="142"/>
        <v/>
      </c>
      <c r="Z48" s="21" t="str">
        <f t="shared" si="143"/>
        <v/>
      </c>
      <c r="AB48" s="20" t="s">
        <v>387</v>
      </c>
      <c r="AC48" s="3">
        <v>2.84</v>
      </c>
      <c r="AD48" s="3">
        <f t="shared" si="144"/>
        <v>2.84</v>
      </c>
      <c r="AE48" s="4">
        <f t="shared" si="145"/>
        <v>2.84</v>
      </c>
      <c r="AF48" s="3">
        <v>5.45</v>
      </c>
      <c r="AG48" s="3">
        <f t="shared" si="146"/>
        <v>5.45</v>
      </c>
      <c r="AH48" s="4">
        <f t="shared" si="147"/>
        <v>5.45</v>
      </c>
      <c r="AI48" s="3">
        <v>5.14</v>
      </c>
      <c r="AJ48" s="3">
        <f t="shared" si="148"/>
        <v>5.14</v>
      </c>
      <c r="AK48" s="4">
        <f t="shared" si="149"/>
        <v>5.14</v>
      </c>
      <c r="AL48" s="3">
        <v>6.06</v>
      </c>
      <c r="AM48" s="3">
        <f t="shared" si="150"/>
        <v>6.06</v>
      </c>
      <c r="AN48" s="4">
        <f t="shared" si="151"/>
        <v>6.06</v>
      </c>
      <c r="AO48" s="3">
        <v>0</v>
      </c>
      <c r="AP48" s="3" t="str">
        <f t="shared" si="152"/>
        <v/>
      </c>
      <c r="AQ48" s="4" t="str">
        <f t="shared" si="153"/>
        <v/>
      </c>
      <c r="AR48" s="3">
        <v>0.57999999999999996</v>
      </c>
      <c r="AS48" s="3">
        <f t="shared" si="154"/>
        <v>0.57999999999999996</v>
      </c>
      <c r="AT48" s="4" t="str">
        <f t="shared" si="155"/>
        <v/>
      </c>
      <c r="AU48" s="3">
        <v>0.43</v>
      </c>
      <c r="AV48" s="3">
        <f t="shared" si="156"/>
        <v>0.43</v>
      </c>
      <c r="AW48" s="4" t="str">
        <f t="shared" si="157"/>
        <v/>
      </c>
      <c r="AX48" s="3">
        <v>2.06</v>
      </c>
      <c r="AY48" s="3">
        <f t="shared" si="158"/>
        <v>2.06</v>
      </c>
      <c r="AZ48" s="21" t="str">
        <f t="shared" si="31"/>
        <v/>
      </c>
      <c r="BB48" s="20" t="s">
        <v>388</v>
      </c>
      <c r="BC48" s="3">
        <v>3.91</v>
      </c>
      <c r="BD48" s="3">
        <f t="shared" si="32"/>
        <v>3.91</v>
      </c>
      <c r="BE48" s="4">
        <f t="shared" si="33"/>
        <v>3.91</v>
      </c>
      <c r="BF48" s="3">
        <v>4.28</v>
      </c>
      <c r="BG48" s="3">
        <f t="shared" si="34"/>
        <v>4.28</v>
      </c>
      <c r="BH48" s="4">
        <f t="shared" si="35"/>
        <v>4.28</v>
      </c>
      <c r="BI48" s="3">
        <v>4.16</v>
      </c>
      <c r="BJ48" s="3">
        <f t="shared" si="36"/>
        <v>4.16</v>
      </c>
      <c r="BK48" s="4">
        <f t="shared" si="37"/>
        <v>4.16</v>
      </c>
      <c r="BL48" s="3">
        <v>4.3</v>
      </c>
      <c r="BM48" s="3">
        <f t="shared" si="38"/>
        <v>4.3</v>
      </c>
      <c r="BN48" s="4">
        <f t="shared" si="39"/>
        <v>4.3</v>
      </c>
      <c r="BO48" s="3">
        <v>3.64</v>
      </c>
      <c r="BP48" s="3">
        <f t="shared" si="40"/>
        <v>3.64</v>
      </c>
      <c r="BQ48" s="4">
        <f t="shared" si="41"/>
        <v>3.64</v>
      </c>
      <c r="BR48" s="3">
        <v>3.11</v>
      </c>
      <c r="BS48" s="3">
        <f t="shared" si="42"/>
        <v>3.11</v>
      </c>
      <c r="BT48" s="4">
        <f t="shared" si="43"/>
        <v>3.11</v>
      </c>
      <c r="BU48" s="3">
        <v>1.61</v>
      </c>
      <c r="BV48" s="3">
        <f t="shared" si="44"/>
        <v>1.61</v>
      </c>
      <c r="BW48" s="4">
        <f t="shared" si="45"/>
        <v>1.61</v>
      </c>
      <c r="BX48" s="3">
        <v>1.29</v>
      </c>
      <c r="BY48" s="3">
        <f t="shared" si="46"/>
        <v>1.29</v>
      </c>
      <c r="BZ48" s="21">
        <f t="shared" si="47"/>
        <v>1.29</v>
      </c>
      <c r="CB48" s="20" t="s">
        <v>389</v>
      </c>
      <c r="CC48" s="3">
        <v>4.1399999999999997</v>
      </c>
      <c r="CD48" s="3">
        <f t="shared" si="48"/>
        <v>4.1399999999999997</v>
      </c>
      <c r="CE48" s="4">
        <f t="shared" si="159"/>
        <v>4.1399999999999997</v>
      </c>
      <c r="CF48" s="3">
        <v>6.09</v>
      </c>
      <c r="CG48" s="3">
        <f t="shared" si="50"/>
        <v>6.09</v>
      </c>
      <c r="CH48" s="4">
        <f t="shared" si="160"/>
        <v>6.09</v>
      </c>
      <c r="CI48" s="3">
        <v>3.77</v>
      </c>
      <c r="CJ48" s="3">
        <f t="shared" si="52"/>
        <v>3.77</v>
      </c>
      <c r="CK48" s="4">
        <f t="shared" si="161"/>
        <v>3.77</v>
      </c>
      <c r="CL48" s="3">
        <v>5.16</v>
      </c>
      <c r="CM48" s="3">
        <f t="shared" si="54"/>
        <v>5.16</v>
      </c>
      <c r="CN48" s="4">
        <f t="shared" si="162"/>
        <v>5.16</v>
      </c>
      <c r="CO48" s="3">
        <v>5.46</v>
      </c>
      <c r="CP48" s="3">
        <f t="shared" si="56"/>
        <v>5.46</v>
      </c>
      <c r="CQ48" s="4">
        <f t="shared" si="163"/>
        <v>5.46</v>
      </c>
      <c r="CR48" s="3">
        <v>1.84</v>
      </c>
      <c r="CS48" s="3">
        <f t="shared" si="58"/>
        <v>1.84</v>
      </c>
      <c r="CT48" s="4">
        <f t="shared" si="164"/>
        <v>1.84</v>
      </c>
      <c r="CU48" s="3">
        <v>3.73</v>
      </c>
      <c r="CV48" s="3">
        <f t="shared" si="60"/>
        <v>3.73</v>
      </c>
      <c r="CW48" s="4">
        <f t="shared" si="165"/>
        <v>3.73</v>
      </c>
      <c r="CX48" s="3">
        <v>3.15</v>
      </c>
      <c r="CY48" s="3">
        <f t="shared" si="62"/>
        <v>3.15</v>
      </c>
      <c r="CZ48" s="21">
        <f t="shared" si="166"/>
        <v>3.15</v>
      </c>
      <c r="DB48" s="20" t="s">
        <v>390</v>
      </c>
      <c r="DC48" s="3">
        <v>2.59</v>
      </c>
      <c r="DD48" s="3">
        <f t="shared" si="64"/>
        <v>2.59</v>
      </c>
      <c r="DE48" s="4">
        <f t="shared" si="167"/>
        <v>2.59</v>
      </c>
      <c r="DF48" s="3">
        <v>1.17</v>
      </c>
      <c r="DG48" s="3">
        <f t="shared" si="66"/>
        <v>1.17</v>
      </c>
      <c r="DH48" s="4">
        <f t="shared" si="168"/>
        <v>1.17</v>
      </c>
      <c r="DI48" s="3">
        <v>3.04</v>
      </c>
      <c r="DJ48" s="3">
        <f t="shared" si="68"/>
        <v>3.04</v>
      </c>
      <c r="DK48" s="4">
        <f t="shared" si="169"/>
        <v>3.04</v>
      </c>
      <c r="DL48" s="3">
        <v>3.56</v>
      </c>
      <c r="DM48" s="3">
        <f t="shared" si="127"/>
        <v>3.56</v>
      </c>
      <c r="DN48" s="4">
        <f t="shared" si="170"/>
        <v>3.56</v>
      </c>
      <c r="DO48" s="3">
        <v>1.37</v>
      </c>
      <c r="DP48" s="3">
        <f t="shared" si="71"/>
        <v>1.37</v>
      </c>
      <c r="DQ48" s="4">
        <f t="shared" si="171"/>
        <v>1.37</v>
      </c>
      <c r="DR48" s="3">
        <v>1.37</v>
      </c>
      <c r="DS48" s="3">
        <f t="shared" si="73"/>
        <v>1.37</v>
      </c>
      <c r="DT48" s="4">
        <f t="shared" si="172"/>
        <v>1.37</v>
      </c>
      <c r="DU48" s="3">
        <v>1.37</v>
      </c>
      <c r="DV48" s="3">
        <f t="shared" si="75"/>
        <v>1.37</v>
      </c>
      <c r="DW48" s="4">
        <f t="shared" si="173"/>
        <v>1.37</v>
      </c>
      <c r="DX48" s="3">
        <v>0</v>
      </c>
      <c r="DY48" s="3" t="str">
        <f t="shared" si="77"/>
        <v/>
      </c>
      <c r="DZ48" s="21" t="str">
        <f t="shared" si="174"/>
        <v/>
      </c>
      <c r="EB48" s="20" t="s">
        <v>391</v>
      </c>
      <c r="EC48" s="3">
        <v>0.53</v>
      </c>
      <c r="ED48" s="3">
        <f t="shared" si="79"/>
        <v>0.53</v>
      </c>
      <c r="EE48" s="4">
        <f t="shared" si="175"/>
        <v>0.53</v>
      </c>
      <c r="EF48" s="3">
        <v>3.56</v>
      </c>
      <c r="EG48" s="3">
        <f t="shared" si="81"/>
        <v>3.56</v>
      </c>
      <c r="EH48" s="4">
        <f t="shared" si="176"/>
        <v>3.56</v>
      </c>
      <c r="EI48" s="3">
        <v>0.33</v>
      </c>
      <c r="EJ48" s="3">
        <f t="shared" si="83"/>
        <v>0.33</v>
      </c>
      <c r="EK48" s="4">
        <f t="shared" si="177"/>
        <v>0.33</v>
      </c>
      <c r="EL48" s="3">
        <v>1.61</v>
      </c>
      <c r="EM48" s="3">
        <f t="shared" si="85"/>
        <v>1.61</v>
      </c>
      <c r="EN48" s="4">
        <f t="shared" si="178"/>
        <v>1.61</v>
      </c>
      <c r="EO48" s="3">
        <v>2.21</v>
      </c>
      <c r="EP48" s="3">
        <f t="shared" si="87"/>
        <v>2.21</v>
      </c>
      <c r="EQ48" s="4">
        <f t="shared" si="179"/>
        <v>2.21</v>
      </c>
      <c r="ER48" s="3">
        <v>1.61</v>
      </c>
      <c r="ES48" s="3">
        <f t="shared" si="89"/>
        <v>1.61</v>
      </c>
      <c r="ET48" s="4">
        <f t="shared" si="180"/>
        <v>1.61</v>
      </c>
      <c r="EU48" s="3">
        <v>0.73</v>
      </c>
      <c r="EV48" s="3">
        <f t="shared" si="91"/>
        <v>0.73</v>
      </c>
      <c r="EW48" s="4">
        <f t="shared" si="181"/>
        <v>0.73</v>
      </c>
      <c r="EX48" s="3">
        <v>1.17</v>
      </c>
      <c r="EY48" s="3">
        <f t="shared" si="93"/>
        <v>1.17</v>
      </c>
      <c r="EZ48" s="21">
        <f t="shared" si="182"/>
        <v>1.17</v>
      </c>
      <c r="FB48" s="20" t="s">
        <v>392</v>
      </c>
      <c r="FC48" s="3">
        <v>9.24</v>
      </c>
      <c r="FD48" s="3">
        <f t="shared" si="95"/>
        <v>9.24</v>
      </c>
      <c r="FE48" s="4" t="str">
        <f t="shared" si="183"/>
        <v/>
      </c>
      <c r="FF48" s="3">
        <v>1.37</v>
      </c>
      <c r="FG48" s="3">
        <f t="shared" si="97"/>
        <v>1.37</v>
      </c>
      <c r="FH48" s="4">
        <f t="shared" si="184"/>
        <v>1.37</v>
      </c>
      <c r="FI48" s="3">
        <v>1.61</v>
      </c>
      <c r="FJ48" s="3">
        <f t="shared" si="99"/>
        <v>1.61</v>
      </c>
      <c r="FK48" s="4">
        <f t="shared" si="185"/>
        <v>1.61</v>
      </c>
      <c r="FL48" s="3">
        <v>3.56</v>
      </c>
      <c r="FM48" s="3">
        <f t="shared" si="101"/>
        <v>3.56</v>
      </c>
      <c r="FN48" s="4">
        <f t="shared" si="186"/>
        <v>3.56</v>
      </c>
      <c r="FO48" s="3">
        <v>1.89</v>
      </c>
      <c r="FP48" s="3">
        <f t="shared" si="103"/>
        <v>1.89</v>
      </c>
      <c r="FQ48" s="4">
        <f t="shared" si="187"/>
        <v>1.89</v>
      </c>
      <c r="FR48" s="3">
        <v>2.21</v>
      </c>
      <c r="FS48" s="3">
        <f t="shared" si="105"/>
        <v>2.21</v>
      </c>
      <c r="FT48" s="4">
        <f t="shared" si="188"/>
        <v>2.21</v>
      </c>
      <c r="FU48" s="3">
        <v>0.24</v>
      </c>
      <c r="FV48" s="3">
        <f t="shared" si="107"/>
        <v>0.24</v>
      </c>
      <c r="FW48" s="4">
        <f t="shared" si="189"/>
        <v>0.24</v>
      </c>
      <c r="FX48" s="3">
        <v>0.53</v>
      </c>
      <c r="FY48" s="3">
        <f t="shared" si="109"/>
        <v>0.53</v>
      </c>
      <c r="FZ48" s="21" t="str">
        <f t="shared" si="190"/>
        <v/>
      </c>
      <c r="GB48" s="20" t="s">
        <v>393</v>
      </c>
      <c r="GC48" s="3">
        <v>0.73</v>
      </c>
      <c r="GD48" s="3">
        <f t="shared" si="111"/>
        <v>0.73</v>
      </c>
      <c r="GE48" s="4" t="str">
        <f t="shared" si="191"/>
        <v/>
      </c>
      <c r="GF48" s="3">
        <v>0.53</v>
      </c>
      <c r="GG48" s="3">
        <f t="shared" si="113"/>
        <v>0.53</v>
      </c>
      <c r="GH48" s="4">
        <f t="shared" si="192"/>
        <v>0.53</v>
      </c>
      <c r="GI48" s="3">
        <v>0.15</v>
      </c>
      <c r="GJ48" s="3">
        <f t="shared" si="115"/>
        <v>0.15</v>
      </c>
      <c r="GK48" s="4">
        <f t="shared" si="193"/>
        <v>0.15</v>
      </c>
      <c r="GL48" s="3">
        <v>1.17</v>
      </c>
      <c r="GM48" s="3">
        <f t="shared" si="117"/>
        <v>1.17</v>
      </c>
      <c r="GN48" s="4">
        <f t="shared" si="194"/>
        <v>1.17</v>
      </c>
      <c r="GO48" s="3">
        <v>1.89</v>
      </c>
      <c r="GP48" s="3">
        <f t="shared" si="119"/>
        <v>1.89</v>
      </c>
      <c r="GQ48" s="4">
        <f t="shared" si="195"/>
        <v>1.89</v>
      </c>
      <c r="GR48" s="3">
        <v>0.85</v>
      </c>
      <c r="GS48" s="3">
        <f t="shared" si="121"/>
        <v>0.85</v>
      </c>
      <c r="GT48" s="4" t="str">
        <f t="shared" si="196"/>
        <v/>
      </c>
      <c r="GU48" s="3">
        <v>0.33</v>
      </c>
      <c r="GV48" s="3">
        <f t="shared" si="123"/>
        <v>0.33</v>
      </c>
      <c r="GW48" s="4">
        <f t="shared" si="197"/>
        <v>0.33</v>
      </c>
      <c r="GX48" s="3">
        <v>1.89</v>
      </c>
      <c r="GY48" s="3">
        <f t="shared" si="125"/>
        <v>1.89</v>
      </c>
      <c r="GZ48" s="21">
        <f t="shared" si="198"/>
        <v>1.89</v>
      </c>
    </row>
    <row r="49" spans="2:208">
      <c r="B49" s="20" t="s">
        <v>394</v>
      </c>
      <c r="C49" s="3">
        <v>2.99</v>
      </c>
      <c r="D49" s="3">
        <f t="shared" si="128"/>
        <v>2.99</v>
      </c>
      <c r="E49" s="4">
        <f t="shared" si="129"/>
        <v>2.99</v>
      </c>
      <c r="F49" s="3">
        <v>4.3899999999999997</v>
      </c>
      <c r="G49" s="3">
        <f t="shared" si="130"/>
        <v>4.3899999999999997</v>
      </c>
      <c r="H49" s="4">
        <f t="shared" si="131"/>
        <v>4.3899999999999997</v>
      </c>
      <c r="I49" s="3">
        <v>5.31</v>
      </c>
      <c r="J49" s="3">
        <f t="shared" si="132"/>
        <v>5.31</v>
      </c>
      <c r="K49" s="4">
        <f t="shared" si="133"/>
        <v>5.31</v>
      </c>
      <c r="L49" s="3">
        <v>1.2</v>
      </c>
      <c r="M49" s="3">
        <f t="shared" si="134"/>
        <v>1.2</v>
      </c>
      <c r="N49" s="4" t="str">
        <f t="shared" si="135"/>
        <v/>
      </c>
      <c r="O49" s="3">
        <v>4.32</v>
      </c>
      <c r="P49" s="3">
        <f t="shared" si="136"/>
        <v>4.32</v>
      </c>
      <c r="Q49" s="4">
        <f t="shared" si="137"/>
        <v>4.32</v>
      </c>
      <c r="R49" s="3">
        <v>4.79</v>
      </c>
      <c r="S49" s="3">
        <f t="shared" si="138"/>
        <v>4.79</v>
      </c>
      <c r="T49" s="4">
        <f t="shared" si="139"/>
        <v>4.79</v>
      </c>
      <c r="U49" s="3">
        <v>99.99</v>
      </c>
      <c r="V49" s="3" t="str">
        <f t="shared" si="140"/>
        <v/>
      </c>
      <c r="W49" s="4" t="str">
        <f t="shared" si="141"/>
        <v/>
      </c>
      <c r="X49" s="3">
        <v>2.19</v>
      </c>
      <c r="Y49" s="3">
        <f t="shared" si="142"/>
        <v>2.19</v>
      </c>
      <c r="Z49" s="21">
        <f t="shared" si="143"/>
        <v>2.19</v>
      </c>
      <c r="AB49" s="20" t="s">
        <v>395</v>
      </c>
      <c r="AC49" s="3">
        <v>2.78</v>
      </c>
      <c r="AD49" s="3">
        <f t="shared" si="144"/>
        <v>2.78</v>
      </c>
      <c r="AE49" s="4">
        <f t="shared" si="145"/>
        <v>2.78</v>
      </c>
      <c r="AF49" s="3">
        <v>5.52</v>
      </c>
      <c r="AG49" s="3">
        <f t="shared" si="146"/>
        <v>5.52</v>
      </c>
      <c r="AH49" s="4">
        <f t="shared" si="147"/>
        <v>5.52</v>
      </c>
      <c r="AI49" s="3">
        <v>5.14</v>
      </c>
      <c r="AJ49" s="3">
        <f t="shared" si="148"/>
        <v>5.14</v>
      </c>
      <c r="AK49" s="4">
        <f t="shared" si="149"/>
        <v>5.14</v>
      </c>
      <c r="AL49" s="3">
        <v>6.06</v>
      </c>
      <c r="AM49" s="3">
        <f t="shared" si="150"/>
        <v>6.06</v>
      </c>
      <c r="AN49" s="4">
        <f t="shared" si="151"/>
        <v>6.06</v>
      </c>
      <c r="AO49" s="3">
        <v>0</v>
      </c>
      <c r="AP49" s="3" t="str">
        <f t="shared" si="152"/>
        <v/>
      </c>
      <c r="AQ49" s="4" t="str">
        <f t="shared" si="153"/>
        <v/>
      </c>
      <c r="AR49" s="3">
        <v>3.74</v>
      </c>
      <c r="AS49" s="3">
        <f t="shared" si="154"/>
        <v>3.74</v>
      </c>
      <c r="AT49" s="4">
        <f t="shared" si="155"/>
        <v>3.74</v>
      </c>
      <c r="AU49" s="3">
        <v>3.05</v>
      </c>
      <c r="AV49" s="3">
        <f t="shared" si="156"/>
        <v>3.05</v>
      </c>
      <c r="AW49" s="4">
        <f t="shared" si="157"/>
        <v>3.05</v>
      </c>
      <c r="AX49" s="3">
        <v>3.46</v>
      </c>
      <c r="AY49" s="3">
        <f t="shared" si="158"/>
        <v>3.46</v>
      </c>
      <c r="AZ49" s="21">
        <f t="shared" si="31"/>
        <v>3.46</v>
      </c>
      <c r="BB49" s="20" t="s">
        <v>396</v>
      </c>
      <c r="BC49" s="3">
        <v>3.92</v>
      </c>
      <c r="BD49" s="3">
        <f t="shared" si="32"/>
        <v>3.92</v>
      </c>
      <c r="BE49" s="4">
        <f t="shared" si="33"/>
        <v>3.92</v>
      </c>
      <c r="BF49" s="3">
        <v>4.26</v>
      </c>
      <c r="BG49" s="3">
        <f t="shared" si="34"/>
        <v>4.26</v>
      </c>
      <c r="BH49" s="4">
        <f t="shared" si="35"/>
        <v>4.26</v>
      </c>
      <c r="BI49" s="3">
        <v>4.1500000000000004</v>
      </c>
      <c r="BJ49" s="3">
        <f t="shared" si="36"/>
        <v>4.1500000000000004</v>
      </c>
      <c r="BK49" s="4">
        <f t="shared" si="37"/>
        <v>4.1500000000000004</v>
      </c>
      <c r="BL49" s="3">
        <v>4.33</v>
      </c>
      <c r="BM49" s="3">
        <f t="shared" si="38"/>
        <v>4.33</v>
      </c>
      <c r="BN49" s="4">
        <f t="shared" si="39"/>
        <v>4.33</v>
      </c>
      <c r="BO49" s="3">
        <v>3.62</v>
      </c>
      <c r="BP49" s="3">
        <f t="shared" si="40"/>
        <v>3.62</v>
      </c>
      <c r="BQ49" s="4">
        <f t="shared" si="41"/>
        <v>3.62</v>
      </c>
      <c r="BR49" s="3">
        <v>3.13</v>
      </c>
      <c r="BS49" s="3">
        <f t="shared" si="42"/>
        <v>3.13</v>
      </c>
      <c r="BT49" s="4">
        <f t="shared" si="43"/>
        <v>3.13</v>
      </c>
      <c r="BU49" s="3">
        <v>1.63</v>
      </c>
      <c r="BV49" s="3">
        <f t="shared" si="44"/>
        <v>1.63</v>
      </c>
      <c r="BW49" s="4">
        <f t="shared" si="45"/>
        <v>1.63</v>
      </c>
      <c r="BX49" s="3">
        <v>1.2</v>
      </c>
      <c r="BY49" s="3">
        <f t="shared" si="46"/>
        <v>1.2</v>
      </c>
      <c r="BZ49" s="21">
        <f t="shared" si="47"/>
        <v>1.2</v>
      </c>
      <c r="CB49" s="20" t="s">
        <v>397</v>
      </c>
      <c r="CC49" s="3">
        <v>4.16</v>
      </c>
      <c r="CD49" s="3">
        <f t="shared" si="48"/>
        <v>4.16</v>
      </c>
      <c r="CE49" s="4">
        <f t="shared" si="159"/>
        <v>4.16</v>
      </c>
      <c r="CF49" s="3">
        <v>6.12</v>
      </c>
      <c r="CG49" s="3">
        <f t="shared" si="50"/>
        <v>6.12</v>
      </c>
      <c r="CH49" s="4">
        <f t="shared" si="160"/>
        <v>6.12</v>
      </c>
      <c r="CI49" s="3">
        <v>3.77</v>
      </c>
      <c r="CJ49" s="3">
        <f t="shared" si="52"/>
        <v>3.77</v>
      </c>
      <c r="CK49" s="4">
        <f t="shared" si="161"/>
        <v>3.77</v>
      </c>
      <c r="CL49" s="3">
        <v>5.14</v>
      </c>
      <c r="CM49" s="3">
        <f t="shared" si="54"/>
        <v>5.14</v>
      </c>
      <c r="CN49" s="4">
        <f t="shared" si="162"/>
        <v>5.14</v>
      </c>
      <c r="CO49" s="3">
        <v>5.46</v>
      </c>
      <c r="CP49" s="3">
        <f t="shared" si="56"/>
        <v>5.46</v>
      </c>
      <c r="CQ49" s="4">
        <f t="shared" si="163"/>
        <v>5.46</v>
      </c>
      <c r="CR49" s="3">
        <v>1.84</v>
      </c>
      <c r="CS49" s="3">
        <f t="shared" si="58"/>
        <v>1.84</v>
      </c>
      <c r="CT49" s="4">
        <f t="shared" si="164"/>
        <v>1.84</v>
      </c>
      <c r="CU49" s="3">
        <v>3.75</v>
      </c>
      <c r="CV49" s="3">
        <f t="shared" si="60"/>
        <v>3.75</v>
      </c>
      <c r="CW49" s="4">
        <f t="shared" si="165"/>
        <v>3.75</v>
      </c>
      <c r="CX49" s="3">
        <v>3.17</v>
      </c>
      <c r="CY49" s="3">
        <f t="shared" si="62"/>
        <v>3.17</v>
      </c>
      <c r="CZ49" s="21">
        <f t="shared" si="166"/>
        <v>3.17</v>
      </c>
      <c r="DB49" s="20" t="s">
        <v>398</v>
      </c>
      <c r="DC49" s="3">
        <v>0</v>
      </c>
      <c r="DD49" s="3" t="str">
        <f t="shared" si="64"/>
        <v/>
      </c>
      <c r="DE49" s="4" t="str">
        <f t="shared" si="167"/>
        <v/>
      </c>
      <c r="DF49" s="3">
        <v>0.85</v>
      </c>
      <c r="DG49" s="3">
        <f t="shared" si="66"/>
        <v>0.85</v>
      </c>
      <c r="DH49" s="4">
        <f t="shared" si="168"/>
        <v>0.85</v>
      </c>
      <c r="DI49" s="3">
        <v>0</v>
      </c>
      <c r="DJ49" s="3" t="str">
        <f t="shared" si="68"/>
        <v/>
      </c>
      <c r="DK49" s="4" t="str">
        <f t="shared" si="169"/>
        <v/>
      </c>
      <c r="DL49" s="3">
        <v>3.04</v>
      </c>
      <c r="DM49" s="3">
        <f t="shared" si="127"/>
        <v>3.04</v>
      </c>
      <c r="DN49" s="4">
        <f t="shared" si="170"/>
        <v>3.04</v>
      </c>
      <c r="DO49" s="3">
        <v>6.72</v>
      </c>
      <c r="DP49" s="3">
        <f t="shared" si="71"/>
        <v>6.72</v>
      </c>
      <c r="DQ49" s="4" t="str">
        <f t="shared" si="171"/>
        <v/>
      </c>
      <c r="DR49" s="3">
        <v>99.99</v>
      </c>
      <c r="DS49" s="3" t="str">
        <f t="shared" si="73"/>
        <v/>
      </c>
      <c r="DT49" s="4" t="str">
        <f t="shared" si="172"/>
        <v/>
      </c>
      <c r="DU49" s="3">
        <v>0.24</v>
      </c>
      <c r="DV49" s="3">
        <f t="shared" si="75"/>
        <v>0.24</v>
      </c>
      <c r="DW49" s="4" t="str">
        <f t="shared" si="173"/>
        <v/>
      </c>
      <c r="DX49" s="3">
        <v>3.04</v>
      </c>
      <c r="DY49" s="3">
        <f t="shared" si="77"/>
        <v>3.04</v>
      </c>
      <c r="DZ49" s="21">
        <f t="shared" si="174"/>
        <v>3.04</v>
      </c>
      <c r="EB49" s="20" t="s">
        <v>399</v>
      </c>
      <c r="EC49" s="3">
        <v>0.53</v>
      </c>
      <c r="ED49" s="3">
        <f t="shared" si="79"/>
        <v>0.53</v>
      </c>
      <c r="EE49" s="4">
        <f t="shared" si="175"/>
        <v>0.53</v>
      </c>
      <c r="EF49" s="3">
        <v>3.56</v>
      </c>
      <c r="EG49" s="3">
        <f t="shared" si="81"/>
        <v>3.56</v>
      </c>
      <c r="EH49" s="4">
        <f t="shared" si="176"/>
        <v>3.56</v>
      </c>
      <c r="EI49" s="3">
        <v>0.39</v>
      </c>
      <c r="EJ49" s="3">
        <f t="shared" si="83"/>
        <v>0.39</v>
      </c>
      <c r="EK49" s="4">
        <f t="shared" si="177"/>
        <v>0.39</v>
      </c>
      <c r="EL49" s="3">
        <v>1.61</v>
      </c>
      <c r="EM49" s="3">
        <f t="shared" si="85"/>
        <v>1.61</v>
      </c>
      <c r="EN49" s="4">
        <f t="shared" si="178"/>
        <v>1.61</v>
      </c>
      <c r="EO49" s="3">
        <v>2.59</v>
      </c>
      <c r="EP49" s="3">
        <f t="shared" si="87"/>
        <v>2.59</v>
      </c>
      <c r="EQ49" s="4">
        <f t="shared" si="179"/>
        <v>2.59</v>
      </c>
      <c r="ER49" s="3">
        <v>1.61</v>
      </c>
      <c r="ES49" s="3">
        <f t="shared" si="89"/>
        <v>1.61</v>
      </c>
      <c r="ET49" s="4">
        <f t="shared" si="180"/>
        <v>1.61</v>
      </c>
      <c r="EU49" s="3">
        <v>0.73</v>
      </c>
      <c r="EV49" s="3">
        <f t="shared" si="91"/>
        <v>0.73</v>
      </c>
      <c r="EW49" s="4">
        <f t="shared" si="181"/>
        <v>0.73</v>
      </c>
      <c r="EX49" s="3">
        <v>1.17</v>
      </c>
      <c r="EY49" s="3">
        <f t="shared" si="93"/>
        <v>1.17</v>
      </c>
      <c r="EZ49" s="21">
        <f t="shared" si="182"/>
        <v>1.17</v>
      </c>
      <c r="FB49" s="20" t="s">
        <v>400</v>
      </c>
      <c r="FC49" s="3">
        <v>12.69</v>
      </c>
      <c r="FD49" s="3">
        <f t="shared" si="95"/>
        <v>12.69</v>
      </c>
      <c r="FE49" s="4">
        <f t="shared" si="183"/>
        <v>12.69</v>
      </c>
      <c r="FF49" s="3">
        <v>1.61</v>
      </c>
      <c r="FG49" s="3">
        <f t="shared" si="97"/>
        <v>1.61</v>
      </c>
      <c r="FH49" s="4" t="str">
        <f t="shared" si="184"/>
        <v/>
      </c>
      <c r="FI49" s="3">
        <v>1.61</v>
      </c>
      <c r="FJ49" s="3">
        <f t="shared" si="99"/>
        <v>1.61</v>
      </c>
      <c r="FK49" s="4">
        <f t="shared" si="185"/>
        <v>1.61</v>
      </c>
      <c r="FL49" s="3">
        <v>3.56</v>
      </c>
      <c r="FM49" s="3">
        <f t="shared" si="101"/>
        <v>3.56</v>
      </c>
      <c r="FN49" s="4">
        <f t="shared" si="186"/>
        <v>3.56</v>
      </c>
      <c r="FO49" s="3">
        <v>1.89</v>
      </c>
      <c r="FP49" s="3">
        <f t="shared" si="103"/>
        <v>1.89</v>
      </c>
      <c r="FQ49" s="4">
        <f t="shared" si="187"/>
        <v>1.89</v>
      </c>
      <c r="FR49" s="3">
        <v>2.21</v>
      </c>
      <c r="FS49" s="3">
        <f t="shared" si="105"/>
        <v>2.21</v>
      </c>
      <c r="FT49" s="4">
        <f t="shared" si="188"/>
        <v>2.21</v>
      </c>
      <c r="FU49" s="3">
        <v>0.17</v>
      </c>
      <c r="FV49" s="3">
        <f t="shared" si="107"/>
        <v>0.17</v>
      </c>
      <c r="FW49" s="4">
        <f t="shared" si="189"/>
        <v>0.17</v>
      </c>
      <c r="FX49" s="3">
        <v>0.2</v>
      </c>
      <c r="FY49" s="3">
        <f t="shared" si="109"/>
        <v>0.2</v>
      </c>
      <c r="FZ49" s="21">
        <f t="shared" si="190"/>
        <v>0.2</v>
      </c>
      <c r="GB49" s="20" t="s">
        <v>401</v>
      </c>
      <c r="GC49" s="3">
        <v>0.73</v>
      </c>
      <c r="GD49" s="3">
        <f t="shared" si="111"/>
        <v>0.73</v>
      </c>
      <c r="GE49" s="4" t="str">
        <f t="shared" si="191"/>
        <v/>
      </c>
      <c r="GF49" s="3">
        <v>0.45</v>
      </c>
      <c r="GG49" s="3">
        <f t="shared" si="113"/>
        <v>0.45</v>
      </c>
      <c r="GH49" s="4">
        <f t="shared" si="192"/>
        <v>0.45</v>
      </c>
      <c r="GI49" s="3">
        <v>0.15</v>
      </c>
      <c r="GJ49" s="3">
        <f t="shared" si="115"/>
        <v>0.15</v>
      </c>
      <c r="GK49" s="4">
        <f t="shared" si="193"/>
        <v>0.15</v>
      </c>
      <c r="GL49" s="3">
        <v>1.17</v>
      </c>
      <c r="GM49" s="3">
        <f t="shared" si="117"/>
        <v>1.17</v>
      </c>
      <c r="GN49" s="4">
        <f t="shared" si="194"/>
        <v>1.17</v>
      </c>
      <c r="GO49" s="3">
        <v>2.21</v>
      </c>
      <c r="GP49" s="3">
        <f t="shared" si="119"/>
        <v>2.21</v>
      </c>
      <c r="GQ49" s="4">
        <f t="shared" si="195"/>
        <v>2.21</v>
      </c>
      <c r="GR49" s="3">
        <v>0.62</v>
      </c>
      <c r="GS49" s="3">
        <f t="shared" si="121"/>
        <v>0.62</v>
      </c>
      <c r="GT49" s="4">
        <f t="shared" si="196"/>
        <v>0.62</v>
      </c>
      <c r="GU49" s="3">
        <v>0.28000000000000003</v>
      </c>
      <c r="GV49" s="3">
        <f t="shared" si="123"/>
        <v>0.28000000000000003</v>
      </c>
      <c r="GW49" s="4">
        <f t="shared" si="197"/>
        <v>0.28000000000000003</v>
      </c>
      <c r="GX49" s="3">
        <v>1.89</v>
      </c>
      <c r="GY49" s="3">
        <f t="shared" si="125"/>
        <v>1.89</v>
      </c>
      <c r="GZ49" s="21">
        <f t="shared" si="198"/>
        <v>1.89</v>
      </c>
    </row>
    <row r="50" spans="2:208">
      <c r="B50" s="20" t="s">
        <v>402</v>
      </c>
      <c r="C50" s="3">
        <v>2.96</v>
      </c>
      <c r="D50" s="3">
        <f t="shared" si="128"/>
        <v>2.96</v>
      </c>
      <c r="E50" s="4">
        <f t="shared" si="129"/>
        <v>2.96</v>
      </c>
      <c r="F50" s="3">
        <v>4.41</v>
      </c>
      <c r="G50" s="3">
        <f t="shared" si="130"/>
        <v>4.41</v>
      </c>
      <c r="H50" s="4">
        <f t="shared" si="131"/>
        <v>4.41</v>
      </c>
      <c r="I50" s="3">
        <v>5.3</v>
      </c>
      <c r="J50" s="3">
        <f t="shared" si="132"/>
        <v>5.3</v>
      </c>
      <c r="K50" s="4">
        <f t="shared" si="133"/>
        <v>5.3</v>
      </c>
      <c r="L50" s="3">
        <v>5.66</v>
      </c>
      <c r="M50" s="3">
        <f t="shared" si="134"/>
        <v>5.66</v>
      </c>
      <c r="N50" s="4">
        <f t="shared" si="135"/>
        <v>5.66</v>
      </c>
      <c r="O50" s="3">
        <v>4.32</v>
      </c>
      <c r="P50" s="3">
        <f t="shared" si="136"/>
        <v>4.32</v>
      </c>
      <c r="Q50" s="4">
        <f t="shared" si="137"/>
        <v>4.32</v>
      </c>
      <c r="R50" s="3">
        <v>4.82</v>
      </c>
      <c r="S50" s="3">
        <f t="shared" si="138"/>
        <v>4.82</v>
      </c>
      <c r="T50" s="4">
        <f t="shared" si="139"/>
        <v>4.82</v>
      </c>
      <c r="U50" s="3">
        <v>1.77</v>
      </c>
      <c r="V50" s="3">
        <f t="shared" si="140"/>
        <v>1.77</v>
      </c>
      <c r="W50" s="4">
        <f t="shared" si="141"/>
        <v>1.77</v>
      </c>
      <c r="X50" s="3">
        <v>3.25</v>
      </c>
      <c r="Y50" s="3">
        <f t="shared" si="142"/>
        <v>3.25</v>
      </c>
      <c r="Z50" s="21" t="str">
        <f t="shared" si="143"/>
        <v/>
      </c>
      <c r="AB50" s="20" t="s">
        <v>403</v>
      </c>
      <c r="AC50" s="3">
        <v>2.8</v>
      </c>
      <c r="AD50" s="3">
        <f t="shared" si="144"/>
        <v>2.8</v>
      </c>
      <c r="AE50" s="4">
        <f t="shared" si="145"/>
        <v>2.8</v>
      </c>
      <c r="AF50" s="3">
        <v>5.45</v>
      </c>
      <c r="AG50" s="3">
        <f t="shared" si="146"/>
        <v>5.45</v>
      </c>
      <c r="AH50" s="4">
        <f t="shared" si="147"/>
        <v>5.45</v>
      </c>
      <c r="AI50" s="3">
        <v>5.24</v>
      </c>
      <c r="AJ50" s="3">
        <f t="shared" si="148"/>
        <v>5.24</v>
      </c>
      <c r="AK50" s="4">
        <f t="shared" si="149"/>
        <v>5.24</v>
      </c>
      <c r="AL50" s="3">
        <v>6.06</v>
      </c>
      <c r="AM50" s="3">
        <f t="shared" si="150"/>
        <v>6.06</v>
      </c>
      <c r="AN50" s="4">
        <f t="shared" si="151"/>
        <v>6.06</v>
      </c>
      <c r="AO50" s="3">
        <v>0</v>
      </c>
      <c r="AP50" s="3" t="str">
        <f t="shared" si="152"/>
        <v/>
      </c>
      <c r="AQ50" s="4" t="str">
        <f t="shared" si="153"/>
        <v/>
      </c>
      <c r="AR50" s="3">
        <v>3.72</v>
      </c>
      <c r="AS50" s="3">
        <f t="shared" si="154"/>
        <v>3.72</v>
      </c>
      <c r="AT50" s="4">
        <f t="shared" si="155"/>
        <v>3.72</v>
      </c>
      <c r="AU50" s="3">
        <v>3.06</v>
      </c>
      <c r="AV50" s="3">
        <f t="shared" si="156"/>
        <v>3.06</v>
      </c>
      <c r="AW50" s="4">
        <f t="shared" si="157"/>
        <v>3.06</v>
      </c>
      <c r="AX50" s="3">
        <v>3.47</v>
      </c>
      <c r="AY50" s="3">
        <f t="shared" si="158"/>
        <v>3.47</v>
      </c>
      <c r="AZ50" s="21">
        <f t="shared" si="31"/>
        <v>3.47</v>
      </c>
      <c r="BB50" s="20" t="s">
        <v>404</v>
      </c>
      <c r="BC50" s="3">
        <v>3.93</v>
      </c>
      <c r="BD50" s="3">
        <f t="shared" si="32"/>
        <v>3.93</v>
      </c>
      <c r="BE50" s="4">
        <f t="shared" si="33"/>
        <v>3.93</v>
      </c>
      <c r="BF50" s="3">
        <v>4.3099999999999996</v>
      </c>
      <c r="BG50" s="3">
        <f t="shared" si="34"/>
        <v>4.3099999999999996</v>
      </c>
      <c r="BH50" s="4">
        <f t="shared" si="35"/>
        <v>4.3099999999999996</v>
      </c>
      <c r="BI50" s="3">
        <v>4.18</v>
      </c>
      <c r="BJ50" s="3">
        <f t="shared" si="36"/>
        <v>4.18</v>
      </c>
      <c r="BK50" s="4">
        <f t="shared" si="37"/>
        <v>4.18</v>
      </c>
      <c r="BL50" s="3">
        <v>4.33</v>
      </c>
      <c r="BM50" s="3">
        <f t="shared" si="38"/>
        <v>4.33</v>
      </c>
      <c r="BN50" s="4">
        <f t="shared" si="39"/>
        <v>4.33</v>
      </c>
      <c r="BO50" s="3">
        <v>1.7</v>
      </c>
      <c r="BP50" s="3">
        <f t="shared" si="40"/>
        <v>1.7</v>
      </c>
      <c r="BQ50" s="4" t="str">
        <f t="shared" si="41"/>
        <v/>
      </c>
      <c r="BR50" s="3">
        <v>1.45</v>
      </c>
      <c r="BS50" s="3">
        <f t="shared" si="42"/>
        <v>1.45</v>
      </c>
      <c r="BT50" s="4" t="str">
        <f t="shared" si="43"/>
        <v/>
      </c>
      <c r="BU50" s="3">
        <v>1.65</v>
      </c>
      <c r="BV50" s="3">
        <f t="shared" si="44"/>
        <v>1.65</v>
      </c>
      <c r="BW50" s="4">
        <f t="shared" si="45"/>
        <v>1.65</v>
      </c>
      <c r="BX50" s="3">
        <v>1.25</v>
      </c>
      <c r="BY50" s="3">
        <f t="shared" si="46"/>
        <v>1.25</v>
      </c>
      <c r="BZ50" s="21">
        <f t="shared" si="47"/>
        <v>1.25</v>
      </c>
      <c r="CB50" s="20" t="s">
        <v>405</v>
      </c>
      <c r="CC50" s="3">
        <v>4.17</v>
      </c>
      <c r="CD50" s="3">
        <f t="shared" si="48"/>
        <v>4.17</v>
      </c>
      <c r="CE50" s="4">
        <f t="shared" si="159"/>
        <v>4.17</v>
      </c>
      <c r="CF50" s="3">
        <v>6.1</v>
      </c>
      <c r="CG50" s="3">
        <f t="shared" si="50"/>
        <v>6.1</v>
      </c>
      <c r="CH50" s="4">
        <f t="shared" si="160"/>
        <v>6.1</v>
      </c>
      <c r="CI50" s="3">
        <v>3.78</v>
      </c>
      <c r="CJ50" s="3">
        <f t="shared" si="52"/>
        <v>3.78</v>
      </c>
      <c r="CK50" s="4">
        <f t="shared" si="161"/>
        <v>3.78</v>
      </c>
      <c r="CL50" s="3">
        <v>5.16</v>
      </c>
      <c r="CM50" s="3">
        <f t="shared" si="54"/>
        <v>5.16</v>
      </c>
      <c r="CN50" s="4">
        <f t="shared" si="162"/>
        <v>5.16</v>
      </c>
      <c r="CO50" s="3">
        <v>5.46</v>
      </c>
      <c r="CP50" s="3">
        <f t="shared" si="56"/>
        <v>5.46</v>
      </c>
      <c r="CQ50" s="4">
        <f t="shared" si="163"/>
        <v>5.46</v>
      </c>
      <c r="CR50" s="3">
        <v>1.83</v>
      </c>
      <c r="CS50" s="3">
        <f t="shared" si="58"/>
        <v>1.83</v>
      </c>
      <c r="CT50" s="4">
        <f t="shared" si="164"/>
        <v>1.83</v>
      </c>
      <c r="CU50" s="3">
        <v>3.73</v>
      </c>
      <c r="CV50" s="3">
        <f t="shared" si="60"/>
        <v>3.73</v>
      </c>
      <c r="CW50" s="4">
        <f t="shared" si="165"/>
        <v>3.73</v>
      </c>
      <c r="CX50" s="3">
        <v>3.29</v>
      </c>
      <c r="CY50" s="3">
        <f t="shared" si="62"/>
        <v>3.29</v>
      </c>
      <c r="CZ50" s="21">
        <f t="shared" si="166"/>
        <v>3.29</v>
      </c>
      <c r="DB50" s="20" t="s">
        <v>406</v>
      </c>
      <c r="DC50" s="3">
        <v>17.43</v>
      </c>
      <c r="DD50" s="3">
        <f t="shared" si="64"/>
        <v>17.43</v>
      </c>
      <c r="DE50" s="4" t="str">
        <f t="shared" si="167"/>
        <v/>
      </c>
      <c r="DF50" s="3">
        <v>0</v>
      </c>
      <c r="DG50" s="3" t="str">
        <f t="shared" si="66"/>
        <v/>
      </c>
      <c r="DH50" s="4" t="str">
        <f t="shared" si="168"/>
        <v/>
      </c>
      <c r="DI50" s="3">
        <v>0</v>
      </c>
      <c r="DJ50" s="3" t="str">
        <f t="shared" si="68"/>
        <v/>
      </c>
      <c r="DK50" s="4" t="str">
        <f t="shared" si="169"/>
        <v/>
      </c>
      <c r="DL50" s="3">
        <v>2.59</v>
      </c>
      <c r="DM50" s="3">
        <f t="shared" si="127"/>
        <v>2.59</v>
      </c>
      <c r="DN50" s="4">
        <f t="shared" si="170"/>
        <v>2.59</v>
      </c>
      <c r="DO50" s="3">
        <v>1.61</v>
      </c>
      <c r="DP50" s="3">
        <f t="shared" si="71"/>
        <v>1.61</v>
      </c>
      <c r="DQ50" s="4">
        <f t="shared" si="171"/>
        <v>1.61</v>
      </c>
      <c r="DR50" s="3">
        <v>99.99</v>
      </c>
      <c r="DS50" s="3" t="str">
        <f t="shared" si="73"/>
        <v/>
      </c>
      <c r="DT50" s="4" t="str">
        <f t="shared" si="172"/>
        <v/>
      </c>
      <c r="DU50" s="3">
        <v>0.33</v>
      </c>
      <c r="DV50" s="3">
        <f t="shared" si="75"/>
        <v>0.33</v>
      </c>
      <c r="DW50" s="4" t="str">
        <f t="shared" si="173"/>
        <v/>
      </c>
      <c r="DX50" s="3">
        <v>3.04</v>
      </c>
      <c r="DY50" s="3">
        <f t="shared" si="77"/>
        <v>3.04</v>
      </c>
      <c r="DZ50" s="21">
        <f t="shared" si="174"/>
        <v>3.04</v>
      </c>
      <c r="EB50" s="20" t="s">
        <v>407</v>
      </c>
      <c r="EC50" s="3">
        <v>1.17</v>
      </c>
      <c r="ED50" s="3">
        <f t="shared" si="79"/>
        <v>1.17</v>
      </c>
      <c r="EE50" s="4" t="str">
        <f t="shared" si="175"/>
        <v/>
      </c>
      <c r="EF50" s="3">
        <v>4.18</v>
      </c>
      <c r="EG50" s="3">
        <f t="shared" si="81"/>
        <v>4.18</v>
      </c>
      <c r="EH50" s="4">
        <f t="shared" si="176"/>
        <v>4.18</v>
      </c>
      <c r="EI50" s="3">
        <v>0.33</v>
      </c>
      <c r="EJ50" s="3">
        <f t="shared" si="83"/>
        <v>0.33</v>
      </c>
      <c r="EK50" s="4">
        <f t="shared" si="177"/>
        <v>0.33</v>
      </c>
      <c r="EL50" s="3">
        <v>1.61</v>
      </c>
      <c r="EM50" s="3">
        <f t="shared" si="85"/>
        <v>1.61</v>
      </c>
      <c r="EN50" s="4">
        <f t="shared" si="178"/>
        <v>1.61</v>
      </c>
      <c r="EO50" s="3">
        <v>2.21</v>
      </c>
      <c r="EP50" s="3">
        <f t="shared" si="87"/>
        <v>2.21</v>
      </c>
      <c r="EQ50" s="4">
        <f t="shared" si="179"/>
        <v>2.21</v>
      </c>
      <c r="ER50" s="3">
        <v>1.89</v>
      </c>
      <c r="ES50" s="3">
        <f t="shared" si="89"/>
        <v>1.89</v>
      </c>
      <c r="ET50" s="4">
        <f t="shared" si="180"/>
        <v>1.89</v>
      </c>
      <c r="EU50" s="3">
        <v>0.62</v>
      </c>
      <c r="EV50" s="3">
        <f t="shared" si="91"/>
        <v>0.62</v>
      </c>
      <c r="EW50" s="4">
        <f t="shared" si="181"/>
        <v>0.62</v>
      </c>
      <c r="EX50" s="3">
        <v>1.17</v>
      </c>
      <c r="EY50" s="3">
        <f t="shared" si="93"/>
        <v>1.17</v>
      </c>
      <c r="EZ50" s="21">
        <f t="shared" si="182"/>
        <v>1.17</v>
      </c>
      <c r="FB50" s="20" t="s">
        <v>408</v>
      </c>
      <c r="FC50" s="3">
        <v>9.24</v>
      </c>
      <c r="FD50" s="3">
        <f t="shared" si="95"/>
        <v>9.24</v>
      </c>
      <c r="FE50" s="4" t="str">
        <f t="shared" si="183"/>
        <v/>
      </c>
      <c r="FF50" s="3">
        <v>0</v>
      </c>
      <c r="FG50" s="3" t="str">
        <f t="shared" si="97"/>
        <v/>
      </c>
      <c r="FH50" s="4" t="str">
        <f t="shared" si="184"/>
        <v/>
      </c>
      <c r="FI50" s="3">
        <v>1.89</v>
      </c>
      <c r="FJ50" s="3">
        <f t="shared" si="99"/>
        <v>1.89</v>
      </c>
      <c r="FK50" s="4">
        <f t="shared" si="185"/>
        <v>1.89</v>
      </c>
      <c r="FL50" s="3">
        <v>3.56</v>
      </c>
      <c r="FM50" s="3">
        <f t="shared" si="101"/>
        <v>3.56</v>
      </c>
      <c r="FN50" s="4">
        <f t="shared" si="186"/>
        <v>3.56</v>
      </c>
      <c r="FO50" s="3">
        <v>1.89</v>
      </c>
      <c r="FP50" s="3">
        <f t="shared" si="103"/>
        <v>1.89</v>
      </c>
      <c r="FQ50" s="4">
        <f t="shared" si="187"/>
        <v>1.89</v>
      </c>
      <c r="FR50" s="3">
        <v>3.56</v>
      </c>
      <c r="FS50" s="3">
        <f t="shared" si="105"/>
        <v>3.56</v>
      </c>
      <c r="FT50" s="4" t="str">
        <f t="shared" si="188"/>
        <v/>
      </c>
      <c r="FU50" s="3">
        <v>0.2</v>
      </c>
      <c r="FV50" s="3">
        <f t="shared" si="107"/>
        <v>0.2</v>
      </c>
      <c r="FW50" s="4">
        <f t="shared" si="189"/>
        <v>0.2</v>
      </c>
      <c r="FX50" s="3">
        <v>0.2</v>
      </c>
      <c r="FY50" s="3">
        <f t="shared" si="109"/>
        <v>0.2</v>
      </c>
      <c r="FZ50" s="21">
        <f t="shared" si="190"/>
        <v>0.2</v>
      </c>
      <c r="GB50" s="20" t="s">
        <v>409</v>
      </c>
      <c r="GC50" s="3">
        <v>0.85</v>
      </c>
      <c r="GD50" s="3">
        <f t="shared" si="111"/>
        <v>0.85</v>
      </c>
      <c r="GE50" s="4">
        <f t="shared" si="191"/>
        <v>0.85</v>
      </c>
      <c r="GF50" s="3">
        <v>0.45</v>
      </c>
      <c r="GG50" s="3">
        <f t="shared" si="113"/>
        <v>0.45</v>
      </c>
      <c r="GH50" s="4">
        <f t="shared" si="192"/>
        <v>0.45</v>
      </c>
      <c r="GI50" s="3">
        <v>0.15</v>
      </c>
      <c r="GJ50" s="3">
        <f t="shared" si="115"/>
        <v>0.15</v>
      </c>
      <c r="GK50" s="4">
        <f t="shared" si="193"/>
        <v>0.15</v>
      </c>
      <c r="GL50" s="3">
        <v>2.59</v>
      </c>
      <c r="GM50" s="3">
        <f t="shared" si="117"/>
        <v>2.59</v>
      </c>
      <c r="GN50" s="4">
        <f t="shared" si="194"/>
        <v>2.59</v>
      </c>
      <c r="GO50" s="3">
        <v>2.21</v>
      </c>
      <c r="GP50" s="3">
        <f t="shared" si="119"/>
        <v>2.21</v>
      </c>
      <c r="GQ50" s="4">
        <f t="shared" si="195"/>
        <v>2.21</v>
      </c>
      <c r="GR50" s="3">
        <v>0.73</v>
      </c>
      <c r="GS50" s="3">
        <f t="shared" si="121"/>
        <v>0.73</v>
      </c>
      <c r="GT50" s="4">
        <f t="shared" si="196"/>
        <v>0.73</v>
      </c>
      <c r="GU50" s="3">
        <v>0.28000000000000003</v>
      </c>
      <c r="GV50" s="3">
        <f t="shared" si="123"/>
        <v>0.28000000000000003</v>
      </c>
      <c r="GW50" s="4">
        <f t="shared" si="197"/>
        <v>0.28000000000000003</v>
      </c>
      <c r="GX50" s="3">
        <v>3.56</v>
      </c>
      <c r="GY50" s="3">
        <f t="shared" si="125"/>
        <v>3.56</v>
      </c>
      <c r="GZ50" s="21" t="str">
        <f t="shared" si="198"/>
        <v/>
      </c>
    </row>
    <row r="51" spans="2:208">
      <c r="B51" s="20" t="s">
        <v>410</v>
      </c>
      <c r="C51" s="3">
        <v>3.02</v>
      </c>
      <c r="D51" s="3">
        <f t="shared" si="128"/>
        <v>3.02</v>
      </c>
      <c r="E51" s="4">
        <f t="shared" si="129"/>
        <v>3.02</v>
      </c>
      <c r="F51" s="3">
        <v>4.3600000000000003</v>
      </c>
      <c r="G51" s="3">
        <f t="shared" si="130"/>
        <v>4.3600000000000003</v>
      </c>
      <c r="H51" s="4">
        <f t="shared" si="131"/>
        <v>4.3600000000000003</v>
      </c>
      <c r="I51" s="3">
        <v>5.13</v>
      </c>
      <c r="J51" s="3">
        <f t="shared" si="132"/>
        <v>5.13</v>
      </c>
      <c r="K51" s="4">
        <f t="shared" si="133"/>
        <v>5.13</v>
      </c>
      <c r="L51" s="3">
        <v>5.62</v>
      </c>
      <c r="M51" s="3">
        <f t="shared" si="134"/>
        <v>5.62</v>
      </c>
      <c r="N51" s="4">
        <f t="shared" si="135"/>
        <v>5.62</v>
      </c>
      <c r="O51" s="3">
        <v>4.3099999999999996</v>
      </c>
      <c r="P51" s="3">
        <f t="shared" si="136"/>
        <v>4.3099999999999996</v>
      </c>
      <c r="Q51" s="4">
        <f t="shared" si="137"/>
        <v>4.3099999999999996</v>
      </c>
      <c r="R51" s="3">
        <v>4.8600000000000003</v>
      </c>
      <c r="S51" s="3">
        <f t="shared" si="138"/>
        <v>4.8600000000000003</v>
      </c>
      <c r="T51" s="4">
        <f t="shared" si="139"/>
        <v>4.8600000000000003</v>
      </c>
      <c r="U51" s="3">
        <v>1.73</v>
      </c>
      <c r="V51" s="3">
        <f t="shared" si="140"/>
        <v>1.73</v>
      </c>
      <c r="W51" s="4">
        <f t="shared" si="141"/>
        <v>1.73</v>
      </c>
      <c r="X51" s="3">
        <v>2.21</v>
      </c>
      <c r="Y51" s="3">
        <f t="shared" si="142"/>
        <v>2.21</v>
      </c>
      <c r="Z51" s="21">
        <f t="shared" si="143"/>
        <v>2.21</v>
      </c>
      <c r="AB51" s="20" t="s">
        <v>411</v>
      </c>
      <c r="AC51" s="3">
        <v>0.04</v>
      </c>
      <c r="AD51" s="3">
        <f t="shared" si="144"/>
        <v>0.04</v>
      </c>
      <c r="AE51" s="4" t="str">
        <f t="shared" si="145"/>
        <v/>
      </c>
      <c r="AF51" s="3">
        <v>5.48</v>
      </c>
      <c r="AG51" s="3">
        <f t="shared" si="146"/>
        <v>5.48</v>
      </c>
      <c r="AH51" s="4">
        <f t="shared" si="147"/>
        <v>5.48</v>
      </c>
      <c r="AI51" s="3">
        <v>5.2</v>
      </c>
      <c r="AJ51" s="3">
        <f t="shared" si="148"/>
        <v>5.2</v>
      </c>
      <c r="AK51" s="4">
        <f t="shared" si="149"/>
        <v>5.2</v>
      </c>
      <c r="AL51" s="3">
        <v>3.53</v>
      </c>
      <c r="AM51" s="3">
        <f t="shared" si="150"/>
        <v>3.53</v>
      </c>
      <c r="AN51" s="4" t="str">
        <f t="shared" si="151"/>
        <v/>
      </c>
      <c r="AO51" s="3">
        <v>0</v>
      </c>
      <c r="AP51" s="3" t="str">
        <f t="shared" si="152"/>
        <v/>
      </c>
      <c r="AQ51" s="4" t="str">
        <f t="shared" si="153"/>
        <v/>
      </c>
      <c r="AR51" s="3">
        <v>3.76</v>
      </c>
      <c r="AS51" s="3">
        <f t="shared" si="154"/>
        <v>3.76</v>
      </c>
      <c r="AT51" s="4">
        <f t="shared" si="155"/>
        <v>3.76</v>
      </c>
      <c r="AU51" s="3">
        <v>3.04</v>
      </c>
      <c r="AV51" s="3">
        <f t="shared" si="156"/>
        <v>3.04</v>
      </c>
      <c r="AW51" s="4">
        <f t="shared" si="157"/>
        <v>3.04</v>
      </c>
      <c r="AX51" s="3">
        <v>3.44</v>
      </c>
      <c r="AY51" s="3">
        <f t="shared" si="158"/>
        <v>3.44</v>
      </c>
      <c r="AZ51" s="21">
        <f t="shared" si="31"/>
        <v>3.44</v>
      </c>
      <c r="BB51" s="20" t="s">
        <v>412</v>
      </c>
      <c r="BC51" s="3">
        <v>3.93</v>
      </c>
      <c r="BD51" s="3">
        <f t="shared" si="32"/>
        <v>3.93</v>
      </c>
      <c r="BE51" s="4">
        <f t="shared" si="33"/>
        <v>3.93</v>
      </c>
      <c r="BF51" s="3">
        <v>4.2699999999999996</v>
      </c>
      <c r="BG51" s="3">
        <f t="shared" si="34"/>
        <v>4.2699999999999996</v>
      </c>
      <c r="BH51" s="4">
        <f t="shared" si="35"/>
        <v>4.2699999999999996</v>
      </c>
      <c r="BI51" s="3">
        <v>4.17</v>
      </c>
      <c r="BJ51" s="3">
        <f t="shared" si="36"/>
        <v>4.17</v>
      </c>
      <c r="BK51" s="4">
        <f t="shared" si="37"/>
        <v>4.17</v>
      </c>
      <c r="BL51" s="3">
        <v>4.3</v>
      </c>
      <c r="BM51" s="3">
        <f t="shared" si="38"/>
        <v>4.3</v>
      </c>
      <c r="BN51" s="4">
        <f t="shared" si="39"/>
        <v>4.3</v>
      </c>
      <c r="BO51" s="3">
        <v>3.64</v>
      </c>
      <c r="BP51" s="3">
        <f t="shared" si="40"/>
        <v>3.64</v>
      </c>
      <c r="BQ51" s="4">
        <f t="shared" si="41"/>
        <v>3.64</v>
      </c>
      <c r="BR51" s="3">
        <v>3.12</v>
      </c>
      <c r="BS51" s="3">
        <f t="shared" si="42"/>
        <v>3.12</v>
      </c>
      <c r="BT51" s="4">
        <f t="shared" si="43"/>
        <v>3.12</v>
      </c>
      <c r="BU51" s="3">
        <v>1.63</v>
      </c>
      <c r="BV51" s="3">
        <f t="shared" si="44"/>
        <v>1.63</v>
      </c>
      <c r="BW51" s="4">
        <f t="shared" si="45"/>
        <v>1.63</v>
      </c>
      <c r="BX51" s="3">
        <v>1.29</v>
      </c>
      <c r="BY51" s="3">
        <f t="shared" si="46"/>
        <v>1.29</v>
      </c>
      <c r="BZ51" s="21">
        <f t="shared" si="47"/>
        <v>1.29</v>
      </c>
      <c r="CB51" s="20" t="s">
        <v>413</v>
      </c>
      <c r="CC51" s="3">
        <v>4.1500000000000004</v>
      </c>
      <c r="CD51" s="3">
        <f t="shared" si="48"/>
        <v>4.1500000000000004</v>
      </c>
      <c r="CE51" s="4">
        <f t="shared" si="159"/>
        <v>4.1500000000000004</v>
      </c>
      <c r="CF51" s="3">
        <v>3.2</v>
      </c>
      <c r="CG51" s="3">
        <f t="shared" si="50"/>
        <v>3.2</v>
      </c>
      <c r="CH51" s="4" t="str">
        <f t="shared" si="160"/>
        <v/>
      </c>
      <c r="CI51" s="3">
        <v>3.76</v>
      </c>
      <c r="CJ51" s="3">
        <f t="shared" si="52"/>
        <v>3.76</v>
      </c>
      <c r="CK51" s="4">
        <f t="shared" si="161"/>
        <v>3.76</v>
      </c>
      <c r="CL51" s="3">
        <v>6.25</v>
      </c>
      <c r="CM51" s="3">
        <f t="shared" si="54"/>
        <v>6.25</v>
      </c>
      <c r="CN51" s="4" t="str">
        <f t="shared" si="162"/>
        <v/>
      </c>
      <c r="CO51" s="3">
        <v>5.46</v>
      </c>
      <c r="CP51" s="3">
        <f t="shared" si="56"/>
        <v>5.46</v>
      </c>
      <c r="CQ51" s="4">
        <f t="shared" si="163"/>
        <v>5.46</v>
      </c>
      <c r="CR51" s="3">
        <v>1.86</v>
      </c>
      <c r="CS51" s="3">
        <f t="shared" si="58"/>
        <v>1.86</v>
      </c>
      <c r="CT51" s="4">
        <f t="shared" si="164"/>
        <v>1.86</v>
      </c>
      <c r="CU51" s="3">
        <v>3.76</v>
      </c>
      <c r="CV51" s="3">
        <f t="shared" si="60"/>
        <v>3.76</v>
      </c>
      <c r="CW51" s="4">
        <f t="shared" si="165"/>
        <v>3.76</v>
      </c>
      <c r="CX51" s="3">
        <v>3.16</v>
      </c>
      <c r="CY51" s="3">
        <f t="shared" si="62"/>
        <v>3.16</v>
      </c>
      <c r="CZ51" s="21">
        <f t="shared" si="166"/>
        <v>3.16</v>
      </c>
      <c r="DB51" s="20" t="s">
        <v>414</v>
      </c>
      <c r="DC51" s="3">
        <v>2.21</v>
      </c>
      <c r="DD51" s="3">
        <f t="shared" si="64"/>
        <v>2.21</v>
      </c>
      <c r="DE51" s="4">
        <f t="shared" si="167"/>
        <v>2.21</v>
      </c>
      <c r="DF51" s="3">
        <v>1.17</v>
      </c>
      <c r="DG51" s="3">
        <f t="shared" si="66"/>
        <v>1.17</v>
      </c>
      <c r="DH51" s="4">
        <f t="shared" si="168"/>
        <v>1.17</v>
      </c>
      <c r="DI51" s="3">
        <v>2.59</v>
      </c>
      <c r="DJ51" s="3">
        <f t="shared" si="68"/>
        <v>2.59</v>
      </c>
      <c r="DK51" s="4">
        <f t="shared" si="169"/>
        <v>2.59</v>
      </c>
      <c r="DL51" s="3">
        <v>3.56</v>
      </c>
      <c r="DM51" s="3">
        <f t="shared" si="127"/>
        <v>3.56</v>
      </c>
      <c r="DN51" s="4">
        <f t="shared" si="170"/>
        <v>3.56</v>
      </c>
      <c r="DO51" s="3">
        <v>1.37</v>
      </c>
      <c r="DP51" s="3">
        <f t="shared" si="71"/>
        <v>1.37</v>
      </c>
      <c r="DQ51" s="4">
        <f t="shared" si="171"/>
        <v>1.37</v>
      </c>
      <c r="DR51" s="3">
        <v>99.99</v>
      </c>
      <c r="DS51" s="3" t="str">
        <f t="shared" si="73"/>
        <v/>
      </c>
      <c r="DT51" s="4" t="str">
        <f t="shared" si="172"/>
        <v/>
      </c>
      <c r="DU51" s="3">
        <v>1.17</v>
      </c>
      <c r="DV51" s="3">
        <f t="shared" si="75"/>
        <v>1.17</v>
      </c>
      <c r="DW51" s="4">
        <f t="shared" si="173"/>
        <v>1.17</v>
      </c>
      <c r="DX51" s="3">
        <v>0</v>
      </c>
      <c r="DY51" s="3" t="str">
        <f t="shared" si="77"/>
        <v/>
      </c>
      <c r="DZ51" s="21" t="str">
        <f t="shared" si="174"/>
        <v/>
      </c>
      <c r="EB51" s="20" t="s">
        <v>415</v>
      </c>
      <c r="EC51" s="3">
        <v>0.62</v>
      </c>
      <c r="ED51" s="3">
        <f t="shared" si="79"/>
        <v>0.62</v>
      </c>
      <c r="EE51" s="4">
        <f t="shared" si="175"/>
        <v>0.62</v>
      </c>
      <c r="EF51" s="3">
        <v>4.18</v>
      </c>
      <c r="EG51" s="3">
        <f t="shared" si="81"/>
        <v>4.18</v>
      </c>
      <c r="EH51" s="4">
        <f t="shared" si="176"/>
        <v>4.18</v>
      </c>
      <c r="EI51" s="3">
        <v>0.24</v>
      </c>
      <c r="EJ51" s="3">
        <f t="shared" si="83"/>
        <v>0.24</v>
      </c>
      <c r="EK51" s="4">
        <f t="shared" si="177"/>
        <v>0.24</v>
      </c>
      <c r="EL51" s="3">
        <v>1.61</v>
      </c>
      <c r="EM51" s="3">
        <f t="shared" si="85"/>
        <v>1.61</v>
      </c>
      <c r="EN51" s="4">
        <f t="shared" si="178"/>
        <v>1.61</v>
      </c>
      <c r="EO51" s="3">
        <v>2.21</v>
      </c>
      <c r="EP51" s="3">
        <f t="shared" si="87"/>
        <v>2.21</v>
      </c>
      <c r="EQ51" s="4">
        <f t="shared" si="179"/>
        <v>2.21</v>
      </c>
      <c r="ER51" s="3">
        <v>1.61</v>
      </c>
      <c r="ES51" s="3">
        <f t="shared" si="89"/>
        <v>1.61</v>
      </c>
      <c r="ET51" s="4">
        <f t="shared" si="180"/>
        <v>1.61</v>
      </c>
      <c r="EU51" s="3">
        <v>0.73</v>
      </c>
      <c r="EV51" s="3">
        <f t="shared" si="91"/>
        <v>0.73</v>
      </c>
      <c r="EW51" s="4">
        <f t="shared" si="181"/>
        <v>0.73</v>
      </c>
      <c r="EX51" s="3">
        <v>1.17</v>
      </c>
      <c r="EY51" s="3">
        <f t="shared" si="93"/>
        <v>1.17</v>
      </c>
      <c r="EZ51" s="21">
        <f t="shared" si="182"/>
        <v>1.17</v>
      </c>
      <c r="FB51" s="20" t="s">
        <v>416</v>
      </c>
      <c r="FC51" s="3">
        <v>14.87</v>
      </c>
      <c r="FD51" s="3">
        <f t="shared" si="95"/>
        <v>14.87</v>
      </c>
      <c r="FE51" s="4" t="str">
        <f t="shared" si="183"/>
        <v/>
      </c>
      <c r="FF51" s="3">
        <v>1.17</v>
      </c>
      <c r="FG51" s="3">
        <f t="shared" si="97"/>
        <v>1.17</v>
      </c>
      <c r="FH51" s="4">
        <f t="shared" si="184"/>
        <v>1.17</v>
      </c>
      <c r="FI51" s="3">
        <v>0.17</v>
      </c>
      <c r="FJ51" s="3">
        <f t="shared" si="99"/>
        <v>0.17</v>
      </c>
      <c r="FK51" s="4">
        <f t="shared" si="185"/>
        <v>0.17</v>
      </c>
      <c r="FL51" s="3">
        <v>3.56</v>
      </c>
      <c r="FM51" s="3">
        <f t="shared" si="101"/>
        <v>3.56</v>
      </c>
      <c r="FN51" s="4">
        <f t="shared" si="186"/>
        <v>3.56</v>
      </c>
      <c r="FO51" s="3">
        <v>1.89</v>
      </c>
      <c r="FP51" s="3">
        <f t="shared" si="103"/>
        <v>1.89</v>
      </c>
      <c r="FQ51" s="4">
        <f t="shared" si="187"/>
        <v>1.89</v>
      </c>
      <c r="FR51" s="3">
        <v>2.21</v>
      </c>
      <c r="FS51" s="3">
        <f t="shared" si="105"/>
        <v>2.21</v>
      </c>
      <c r="FT51" s="4">
        <f t="shared" si="188"/>
        <v>2.21</v>
      </c>
      <c r="FU51" s="3">
        <v>0.24</v>
      </c>
      <c r="FV51" s="3">
        <f t="shared" si="107"/>
        <v>0.24</v>
      </c>
      <c r="FW51" s="4">
        <f t="shared" si="189"/>
        <v>0.24</v>
      </c>
      <c r="FX51" s="3">
        <v>0.2</v>
      </c>
      <c r="FY51" s="3">
        <f t="shared" si="109"/>
        <v>0.2</v>
      </c>
      <c r="FZ51" s="21">
        <f t="shared" si="190"/>
        <v>0.2</v>
      </c>
      <c r="GB51" s="20" t="s">
        <v>417</v>
      </c>
      <c r="GC51" s="3">
        <v>0.73</v>
      </c>
      <c r="GD51" s="3">
        <f t="shared" si="111"/>
        <v>0.73</v>
      </c>
      <c r="GE51" s="4" t="str">
        <f t="shared" si="191"/>
        <v/>
      </c>
      <c r="GF51" s="3">
        <v>0.45</v>
      </c>
      <c r="GG51" s="3">
        <f t="shared" si="113"/>
        <v>0.45</v>
      </c>
      <c r="GH51" s="4">
        <f t="shared" si="192"/>
        <v>0.45</v>
      </c>
      <c r="GI51" s="3">
        <v>0.15</v>
      </c>
      <c r="GJ51" s="3">
        <f t="shared" si="115"/>
        <v>0.15</v>
      </c>
      <c r="GK51" s="4">
        <f t="shared" si="193"/>
        <v>0.15</v>
      </c>
      <c r="GL51" s="3">
        <v>0</v>
      </c>
      <c r="GM51" s="3" t="str">
        <f t="shared" si="117"/>
        <v/>
      </c>
      <c r="GN51" s="4" t="str">
        <f t="shared" si="194"/>
        <v/>
      </c>
      <c r="GO51" s="3">
        <v>2.21</v>
      </c>
      <c r="GP51" s="3">
        <f t="shared" si="119"/>
        <v>2.21</v>
      </c>
      <c r="GQ51" s="4">
        <f t="shared" si="195"/>
        <v>2.21</v>
      </c>
      <c r="GR51" s="3">
        <v>0.33</v>
      </c>
      <c r="GS51" s="3">
        <f t="shared" si="121"/>
        <v>0.33</v>
      </c>
      <c r="GT51" s="4" t="str">
        <f t="shared" si="196"/>
        <v/>
      </c>
      <c r="GU51" s="3">
        <v>0.39</v>
      </c>
      <c r="GV51" s="3">
        <f t="shared" si="123"/>
        <v>0.39</v>
      </c>
      <c r="GW51" s="4" t="str">
        <f t="shared" si="197"/>
        <v/>
      </c>
      <c r="GX51" s="3">
        <v>2.21</v>
      </c>
      <c r="GY51" s="3">
        <f t="shared" si="125"/>
        <v>2.21</v>
      </c>
      <c r="GZ51" s="21">
        <f t="shared" si="198"/>
        <v>2.21</v>
      </c>
    </row>
    <row r="52" spans="2:208">
      <c r="B52" s="20" t="s">
        <v>418</v>
      </c>
      <c r="C52" s="3">
        <v>3.02</v>
      </c>
      <c r="D52" s="3">
        <f t="shared" si="128"/>
        <v>3.02</v>
      </c>
      <c r="E52" s="4">
        <f t="shared" si="129"/>
        <v>3.02</v>
      </c>
      <c r="F52" s="3">
        <v>1.66</v>
      </c>
      <c r="G52" s="3">
        <f t="shared" si="130"/>
        <v>1.66</v>
      </c>
      <c r="H52" s="4" t="str">
        <f t="shared" si="131"/>
        <v/>
      </c>
      <c r="I52" s="3">
        <v>5.3</v>
      </c>
      <c r="J52" s="3">
        <f t="shared" si="132"/>
        <v>5.3</v>
      </c>
      <c r="K52" s="4">
        <f t="shared" si="133"/>
        <v>5.3</v>
      </c>
      <c r="L52" s="3">
        <v>5.63</v>
      </c>
      <c r="M52" s="3">
        <f t="shared" si="134"/>
        <v>5.63</v>
      </c>
      <c r="N52" s="4">
        <f t="shared" si="135"/>
        <v>5.63</v>
      </c>
      <c r="O52" s="3">
        <v>4.33</v>
      </c>
      <c r="P52" s="3">
        <f t="shared" si="136"/>
        <v>4.33</v>
      </c>
      <c r="Q52" s="4">
        <f t="shared" si="137"/>
        <v>4.33</v>
      </c>
      <c r="R52" s="3">
        <v>4.82</v>
      </c>
      <c r="S52" s="3">
        <f t="shared" si="138"/>
        <v>4.82</v>
      </c>
      <c r="T52" s="4">
        <f t="shared" si="139"/>
        <v>4.82</v>
      </c>
      <c r="U52" s="3">
        <v>1.72</v>
      </c>
      <c r="V52" s="3">
        <f t="shared" si="140"/>
        <v>1.72</v>
      </c>
      <c r="W52" s="4">
        <f t="shared" si="141"/>
        <v>1.72</v>
      </c>
      <c r="X52" s="3">
        <v>2.27</v>
      </c>
      <c r="Y52" s="3">
        <f t="shared" si="142"/>
        <v>2.27</v>
      </c>
      <c r="Z52" s="21">
        <f t="shared" si="143"/>
        <v>2.27</v>
      </c>
      <c r="AB52" s="20" t="s">
        <v>419</v>
      </c>
      <c r="AC52" s="3">
        <v>2.84</v>
      </c>
      <c r="AD52" s="3">
        <f t="shared" si="144"/>
        <v>2.84</v>
      </c>
      <c r="AE52" s="4">
        <f t="shared" si="145"/>
        <v>2.84</v>
      </c>
      <c r="AF52" s="3">
        <v>5.45</v>
      </c>
      <c r="AG52" s="3">
        <f t="shared" si="146"/>
        <v>5.45</v>
      </c>
      <c r="AH52" s="4">
        <f t="shared" si="147"/>
        <v>5.45</v>
      </c>
      <c r="AI52" s="3">
        <v>5.19</v>
      </c>
      <c r="AJ52" s="3">
        <f t="shared" si="148"/>
        <v>5.19</v>
      </c>
      <c r="AK52" s="4">
        <f t="shared" si="149"/>
        <v>5.19</v>
      </c>
      <c r="AL52" s="3">
        <v>6.11</v>
      </c>
      <c r="AM52" s="3">
        <f t="shared" si="150"/>
        <v>6.11</v>
      </c>
      <c r="AN52" s="4">
        <f t="shared" si="151"/>
        <v>6.11</v>
      </c>
      <c r="AO52" s="3">
        <v>0</v>
      </c>
      <c r="AP52" s="3" t="str">
        <f t="shared" si="152"/>
        <v/>
      </c>
      <c r="AQ52" s="4" t="str">
        <f t="shared" si="153"/>
        <v/>
      </c>
      <c r="AR52" s="3">
        <v>3.73</v>
      </c>
      <c r="AS52" s="3">
        <f t="shared" si="154"/>
        <v>3.73</v>
      </c>
      <c r="AT52" s="4">
        <f t="shared" si="155"/>
        <v>3.73</v>
      </c>
      <c r="AU52" s="3">
        <v>3.03</v>
      </c>
      <c r="AV52" s="3">
        <f t="shared" si="156"/>
        <v>3.03</v>
      </c>
      <c r="AW52" s="4">
        <f t="shared" si="157"/>
        <v>3.03</v>
      </c>
      <c r="AX52" s="3">
        <v>3.41</v>
      </c>
      <c r="AY52" s="3">
        <f t="shared" si="158"/>
        <v>3.41</v>
      </c>
      <c r="AZ52" s="21">
        <f t="shared" si="31"/>
        <v>3.41</v>
      </c>
      <c r="BB52" s="20" t="s">
        <v>420</v>
      </c>
      <c r="BC52" s="3">
        <v>3.89</v>
      </c>
      <c r="BD52" s="3">
        <f t="shared" si="32"/>
        <v>3.89</v>
      </c>
      <c r="BE52" s="4">
        <f t="shared" si="33"/>
        <v>3.89</v>
      </c>
      <c r="BF52" s="3">
        <v>4.25</v>
      </c>
      <c r="BG52" s="3">
        <f t="shared" si="34"/>
        <v>4.25</v>
      </c>
      <c r="BH52" s="4">
        <f t="shared" si="35"/>
        <v>4.25</v>
      </c>
      <c r="BI52" s="3">
        <v>4.1399999999999997</v>
      </c>
      <c r="BJ52" s="3">
        <f t="shared" si="36"/>
        <v>4.1399999999999997</v>
      </c>
      <c r="BK52" s="4">
        <f t="shared" si="37"/>
        <v>4.1399999999999997</v>
      </c>
      <c r="BL52" s="3">
        <v>4.3</v>
      </c>
      <c r="BM52" s="3">
        <f t="shared" si="38"/>
        <v>4.3</v>
      </c>
      <c r="BN52" s="4">
        <f t="shared" si="39"/>
        <v>4.3</v>
      </c>
      <c r="BO52" s="3">
        <v>3.57</v>
      </c>
      <c r="BP52" s="3">
        <f t="shared" si="40"/>
        <v>3.57</v>
      </c>
      <c r="BQ52" s="4">
        <f t="shared" si="41"/>
        <v>3.57</v>
      </c>
      <c r="BR52" s="3">
        <v>3.13</v>
      </c>
      <c r="BS52" s="3">
        <f t="shared" si="42"/>
        <v>3.13</v>
      </c>
      <c r="BT52" s="4">
        <f t="shared" si="43"/>
        <v>3.13</v>
      </c>
      <c r="BU52" s="3">
        <v>1.61</v>
      </c>
      <c r="BV52" s="3">
        <f t="shared" si="44"/>
        <v>1.61</v>
      </c>
      <c r="BW52" s="4">
        <f t="shared" si="45"/>
        <v>1.61</v>
      </c>
      <c r="BX52" s="3">
        <v>1.25</v>
      </c>
      <c r="BY52" s="3">
        <f t="shared" si="46"/>
        <v>1.25</v>
      </c>
      <c r="BZ52" s="21">
        <f t="shared" si="47"/>
        <v>1.25</v>
      </c>
      <c r="CB52" s="20" t="s">
        <v>421</v>
      </c>
      <c r="CC52" s="3">
        <v>4.1500000000000004</v>
      </c>
      <c r="CD52" s="3">
        <f t="shared" si="48"/>
        <v>4.1500000000000004</v>
      </c>
      <c r="CE52" s="4">
        <f t="shared" si="159"/>
        <v>4.1500000000000004</v>
      </c>
      <c r="CF52" s="3">
        <v>6.12</v>
      </c>
      <c r="CG52" s="3">
        <f t="shared" si="50"/>
        <v>6.12</v>
      </c>
      <c r="CH52" s="4">
        <f t="shared" si="160"/>
        <v>6.12</v>
      </c>
      <c r="CI52" s="3">
        <v>3.76</v>
      </c>
      <c r="CJ52" s="3">
        <f t="shared" si="52"/>
        <v>3.76</v>
      </c>
      <c r="CK52" s="4">
        <f t="shared" si="161"/>
        <v>3.76</v>
      </c>
      <c r="CL52" s="3">
        <v>4.34</v>
      </c>
      <c r="CM52" s="3">
        <f t="shared" si="54"/>
        <v>4.34</v>
      </c>
      <c r="CN52" s="4">
        <f t="shared" si="162"/>
        <v>4.34</v>
      </c>
      <c r="CO52" s="3">
        <v>5.47</v>
      </c>
      <c r="CP52" s="3">
        <f t="shared" si="56"/>
        <v>5.47</v>
      </c>
      <c r="CQ52" s="4">
        <f t="shared" si="163"/>
        <v>5.47</v>
      </c>
      <c r="CR52" s="3">
        <v>1.86</v>
      </c>
      <c r="CS52" s="3">
        <f t="shared" si="58"/>
        <v>1.86</v>
      </c>
      <c r="CT52" s="4">
        <f t="shared" si="164"/>
        <v>1.86</v>
      </c>
      <c r="CU52" s="3">
        <v>3.79</v>
      </c>
      <c r="CV52" s="3">
        <f t="shared" si="60"/>
        <v>3.79</v>
      </c>
      <c r="CW52" s="4">
        <f t="shared" si="165"/>
        <v>3.79</v>
      </c>
      <c r="CX52" s="3">
        <v>3.22</v>
      </c>
      <c r="CY52" s="3">
        <f t="shared" si="62"/>
        <v>3.22</v>
      </c>
      <c r="CZ52" s="21">
        <f t="shared" si="166"/>
        <v>3.22</v>
      </c>
      <c r="DB52" s="20" t="s">
        <v>422</v>
      </c>
      <c r="DC52" s="3">
        <v>2.21</v>
      </c>
      <c r="DD52" s="3">
        <f t="shared" si="64"/>
        <v>2.21</v>
      </c>
      <c r="DE52" s="4">
        <f t="shared" si="167"/>
        <v>2.21</v>
      </c>
      <c r="DF52" s="3">
        <v>0</v>
      </c>
      <c r="DG52" s="3" t="str">
        <f t="shared" si="66"/>
        <v/>
      </c>
      <c r="DH52" s="4" t="str">
        <f t="shared" si="168"/>
        <v/>
      </c>
      <c r="DI52" s="3">
        <v>2.59</v>
      </c>
      <c r="DJ52" s="3">
        <f t="shared" si="68"/>
        <v>2.59</v>
      </c>
      <c r="DK52" s="4">
        <f t="shared" si="169"/>
        <v>2.59</v>
      </c>
      <c r="DL52" s="3">
        <v>2.59</v>
      </c>
      <c r="DM52" s="3">
        <f t="shared" si="127"/>
        <v>2.59</v>
      </c>
      <c r="DN52" s="4">
        <f t="shared" si="170"/>
        <v>2.59</v>
      </c>
      <c r="DO52" s="3">
        <v>1.37</v>
      </c>
      <c r="DP52" s="3">
        <f t="shared" si="71"/>
        <v>1.37</v>
      </c>
      <c r="DQ52" s="4">
        <f t="shared" si="171"/>
        <v>1.37</v>
      </c>
      <c r="DR52" s="3">
        <v>1.17</v>
      </c>
      <c r="DS52" s="3">
        <f t="shared" si="73"/>
        <v>1.17</v>
      </c>
      <c r="DT52" s="4">
        <f t="shared" si="172"/>
        <v>1.17</v>
      </c>
      <c r="DU52" s="3">
        <v>1.17</v>
      </c>
      <c r="DV52" s="3">
        <f t="shared" si="75"/>
        <v>1.17</v>
      </c>
      <c r="DW52" s="4">
        <f t="shared" si="173"/>
        <v>1.17</v>
      </c>
      <c r="DX52" s="3">
        <v>0</v>
      </c>
      <c r="DY52" s="3" t="str">
        <f t="shared" si="77"/>
        <v/>
      </c>
      <c r="DZ52" s="21" t="str">
        <f t="shared" si="174"/>
        <v/>
      </c>
      <c r="EB52" s="20" t="s">
        <v>423</v>
      </c>
      <c r="EC52" s="3">
        <v>0.53</v>
      </c>
      <c r="ED52" s="3">
        <f t="shared" si="79"/>
        <v>0.53</v>
      </c>
      <c r="EE52" s="4">
        <f t="shared" si="175"/>
        <v>0.53</v>
      </c>
      <c r="EF52" s="3">
        <v>3.56</v>
      </c>
      <c r="EG52" s="3">
        <f t="shared" si="81"/>
        <v>3.56</v>
      </c>
      <c r="EH52" s="4">
        <f t="shared" si="176"/>
        <v>3.56</v>
      </c>
      <c r="EI52" s="3">
        <v>0.39</v>
      </c>
      <c r="EJ52" s="3">
        <f t="shared" si="83"/>
        <v>0.39</v>
      </c>
      <c r="EK52" s="4">
        <f t="shared" si="177"/>
        <v>0.39</v>
      </c>
      <c r="EL52" s="3">
        <v>1.37</v>
      </c>
      <c r="EM52" s="3">
        <f t="shared" si="85"/>
        <v>1.37</v>
      </c>
      <c r="EN52" s="4">
        <f t="shared" si="178"/>
        <v>1.37</v>
      </c>
      <c r="EO52" s="3">
        <v>14.87</v>
      </c>
      <c r="EP52" s="3">
        <f t="shared" si="87"/>
        <v>14.87</v>
      </c>
      <c r="EQ52" s="4" t="str">
        <f t="shared" si="179"/>
        <v/>
      </c>
      <c r="ER52" s="3">
        <v>7.88</v>
      </c>
      <c r="ES52" s="3">
        <f t="shared" si="89"/>
        <v>7.88</v>
      </c>
      <c r="ET52" s="4" t="str">
        <f t="shared" si="180"/>
        <v/>
      </c>
      <c r="EU52" s="3">
        <v>0.62</v>
      </c>
      <c r="EV52" s="3">
        <f t="shared" si="91"/>
        <v>0.62</v>
      </c>
      <c r="EW52" s="4">
        <f t="shared" si="181"/>
        <v>0.62</v>
      </c>
      <c r="EX52" s="3">
        <v>1.17</v>
      </c>
      <c r="EY52" s="3">
        <f t="shared" si="93"/>
        <v>1.17</v>
      </c>
      <c r="EZ52" s="21">
        <f t="shared" si="182"/>
        <v>1.17</v>
      </c>
      <c r="FB52" s="20" t="s">
        <v>424</v>
      </c>
      <c r="FC52" s="3">
        <v>4.8899999999999997</v>
      </c>
      <c r="FD52" s="3">
        <f t="shared" si="95"/>
        <v>4.8899999999999997</v>
      </c>
      <c r="FE52" s="4" t="str">
        <f t="shared" si="183"/>
        <v/>
      </c>
      <c r="FF52" s="3">
        <v>1.37</v>
      </c>
      <c r="FG52" s="3">
        <f t="shared" si="97"/>
        <v>1.37</v>
      </c>
      <c r="FH52" s="4">
        <f t="shared" si="184"/>
        <v>1.37</v>
      </c>
      <c r="FI52" s="3">
        <v>0.2</v>
      </c>
      <c r="FJ52" s="3">
        <f t="shared" si="99"/>
        <v>0.2</v>
      </c>
      <c r="FK52" s="4">
        <f t="shared" si="185"/>
        <v>0.2</v>
      </c>
      <c r="FL52" s="3">
        <v>3.04</v>
      </c>
      <c r="FM52" s="3">
        <f t="shared" si="101"/>
        <v>3.04</v>
      </c>
      <c r="FN52" s="4">
        <f t="shared" si="186"/>
        <v>3.04</v>
      </c>
      <c r="FO52" s="3">
        <v>1.37</v>
      </c>
      <c r="FP52" s="3">
        <f t="shared" si="103"/>
        <v>1.37</v>
      </c>
      <c r="FQ52" s="4" t="str">
        <f t="shared" si="187"/>
        <v/>
      </c>
      <c r="FR52" s="3">
        <v>2.21</v>
      </c>
      <c r="FS52" s="3">
        <f t="shared" si="105"/>
        <v>2.21</v>
      </c>
      <c r="FT52" s="4">
        <f t="shared" si="188"/>
        <v>2.21</v>
      </c>
      <c r="FU52" s="3">
        <v>0.17</v>
      </c>
      <c r="FV52" s="3">
        <f t="shared" si="107"/>
        <v>0.17</v>
      </c>
      <c r="FW52" s="4">
        <f t="shared" si="189"/>
        <v>0.17</v>
      </c>
      <c r="FX52" s="3">
        <v>0.2</v>
      </c>
      <c r="FY52" s="3">
        <f t="shared" si="109"/>
        <v>0.2</v>
      </c>
      <c r="FZ52" s="21">
        <f t="shared" si="190"/>
        <v>0.2</v>
      </c>
      <c r="GB52" s="20" t="s">
        <v>425</v>
      </c>
      <c r="GC52" s="3">
        <v>0</v>
      </c>
      <c r="GD52" s="3" t="str">
        <f t="shared" si="111"/>
        <v/>
      </c>
      <c r="GE52" s="4" t="str">
        <f t="shared" si="191"/>
        <v/>
      </c>
      <c r="GF52" s="3">
        <v>0.45</v>
      </c>
      <c r="GG52" s="3">
        <f t="shared" si="113"/>
        <v>0.45</v>
      </c>
      <c r="GH52" s="4">
        <f t="shared" si="192"/>
        <v>0.45</v>
      </c>
      <c r="GI52" s="3">
        <v>0.15</v>
      </c>
      <c r="GJ52" s="3">
        <f t="shared" si="115"/>
        <v>0.15</v>
      </c>
      <c r="GK52" s="4">
        <f t="shared" si="193"/>
        <v>0.15</v>
      </c>
      <c r="GL52" s="3">
        <v>2.21</v>
      </c>
      <c r="GM52" s="3">
        <f t="shared" si="117"/>
        <v>2.21</v>
      </c>
      <c r="GN52" s="4">
        <f t="shared" si="194"/>
        <v>2.21</v>
      </c>
      <c r="GO52" s="3">
        <v>0.85</v>
      </c>
      <c r="GP52" s="3">
        <f t="shared" si="119"/>
        <v>0.85</v>
      </c>
      <c r="GQ52" s="4" t="str">
        <f t="shared" si="195"/>
        <v/>
      </c>
      <c r="GR52" s="3">
        <v>0.73</v>
      </c>
      <c r="GS52" s="3">
        <f t="shared" si="121"/>
        <v>0.73</v>
      </c>
      <c r="GT52" s="4">
        <f t="shared" si="196"/>
        <v>0.73</v>
      </c>
      <c r="GU52" s="3">
        <v>0.28000000000000003</v>
      </c>
      <c r="GV52" s="3">
        <f t="shared" si="123"/>
        <v>0.28000000000000003</v>
      </c>
      <c r="GW52" s="4">
        <f t="shared" si="197"/>
        <v>0.28000000000000003</v>
      </c>
      <c r="GX52" s="3">
        <v>2.21</v>
      </c>
      <c r="GY52" s="3">
        <f t="shared" si="125"/>
        <v>2.21</v>
      </c>
      <c r="GZ52" s="21">
        <f t="shared" si="198"/>
        <v>2.21</v>
      </c>
    </row>
    <row r="53" spans="2:208">
      <c r="B53" s="20" t="s">
        <v>426</v>
      </c>
      <c r="C53" s="3">
        <v>2.99</v>
      </c>
      <c r="D53" s="3">
        <f t="shared" si="128"/>
        <v>2.99</v>
      </c>
      <c r="E53" s="4">
        <f t="shared" si="129"/>
        <v>2.99</v>
      </c>
      <c r="F53" s="3">
        <v>4.4000000000000004</v>
      </c>
      <c r="G53" s="3">
        <f t="shared" si="130"/>
        <v>4.4000000000000004</v>
      </c>
      <c r="H53" s="4">
        <f t="shared" si="131"/>
        <v>4.4000000000000004</v>
      </c>
      <c r="I53" s="3">
        <v>5.28</v>
      </c>
      <c r="J53" s="3">
        <f t="shared" si="132"/>
        <v>5.28</v>
      </c>
      <c r="K53" s="4">
        <f t="shared" si="133"/>
        <v>5.28</v>
      </c>
      <c r="L53" s="3">
        <v>4.66</v>
      </c>
      <c r="M53" s="3">
        <f t="shared" si="134"/>
        <v>4.66</v>
      </c>
      <c r="N53" s="4">
        <f t="shared" si="135"/>
        <v>4.66</v>
      </c>
      <c r="O53" s="3">
        <v>4.34</v>
      </c>
      <c r="P53" s="3">
        <f t="shared" si="136"/>
        <v>4.34</v>
      </c>
      <c r="Q53" s="4">
        <f t="shared" si="137"/>
        <v>4.34</v>
      </c>
      <c r="R53" s="3">
        <v>4.84</v>
      </c>
      <c r="S53" s="3">
        <f t="shared" si="138"/>
        <v>4.84</v>
      </c>
      <c r="T53" s="4">
        <f t="shared" si="139"/>
        <v>4.84</v>
      </c>
      <c r="U53" s="3">
        <v>1.79</v>
      </c>
      <c r="V53" s="3">
        <f t="shared" si="140"/>
        <v>1.79</v>
      </c>
      <c r="W53" s="4">
        <f t="shared" si="141"/>
        <v>1.79</v>
      </c>
      <c r="X53" s="3">
        <v>2.25</v>
      </c>
      <c r="Y53" s="3">
        <f t="shared" si="142"/>
        <v>2.25</v>
      </c>
      <c r="Z53" s="21">
        <f t="shared" si="143"/>
        <v>2.25</v>
      </c>
      <c r="AB53" s="20" t="s">
        <v>427</v>
      </c>
      <c r="AC53" s="3">
        <v>2.84</v>
      </c>
      <c r="AD53" s="3">
        <f t="shared" si="144"/>
        <v>2.84</v>
      </c>
      <c r="AE53" s="4">
        <f t="shared" si="145"/>
        <v>2.84</v>
      </c>
      <c r="AF53" s="3">
        <v>0.08</v>
      </c>
      <c r="AG53" s="3">
        <f t="shared" si="146"/>
        <v>0.08</v>
      </c>
      <c r="AH53" s="4" t="str">
        <f t="shared" si="147"/>
        <v/>
      </c>
      <c r="AI53" s="3">
        <v>5.24</v>
      </c>
      <c r="AJ53" s="3">
        <f t="shared" si="148"/>
        <v>5.24</v>
      </c>
      <c r="AK53" s="4">
        <f t="shared" si="149"/>
        <v>5.24</v>
      </c>
      <c r="AL53" s="3">
        <v>3.2</v>
      </c>
      <c r="AM53" s="3">
        <f t="shared" si="150"/>
        <v>3.2</v>
      </c>
      <c r="AN53" s="4" t="str">
        <f t="shared" si="151"/>
        <v/>
      </c>
      <c r="AO53" s="3">
        <v>0</v>
      </c>
      <c r="AP53" s="3" t="str">
        <f t="shared" si="152"/>
        <v/>
      </c>
      <c r="AQ53" s="4" t="str">
        <f t="shared" si="153"/>
        <v/>
      </c>
      <c r="AR53" s="3">
        <v>3.74</v>
      </c>
      <c r="AS53" s="3">
        <f t="shared" si="154"/>
        <v>3.74</v>
      </c>
      <c r="AT53" s="4">
        <f t="shared" si="155"/>
        <v>3.74</v>
      </c>
      <c r="AU53" s="3">
        <v>0.83</v>
      </c>
      <c r="AV53" s="3">
        <f t="shared" si="156"/>
        <v>0.83</v>
      </c>
      <c r="AW53" s="4" t="str">
        <f t="shared" si="157"/>
        <v/>
      </c>
      <c r="AX53" s="3">
        <v>3.16</v>
      </c>
      <c r="AY53" s="3">
        <f t="shared" si="158"/>
        <v>3.16</v>
      </c>
      <c r="AZ53" s="21">
        <f t="shared" si="31"/>
        <v>3.16</v>
      </c>
      <c r="BB53" s="20" t="s">
        <v>428</v>
      </c>
      <c r="BC53" s="3">
        <v>3.91</v>
      </c>
      <c r="BD53" s="3">
        <f t="shared" si="32"/>
        <v>3.91</v>
      </c>
      <c r="BE53" s="4">
        <f t="shared" si="33"/>
        <v>3.91</v>
      </c>
      <c r="BF53" s="3">
        <v>4.28</v>
      </c>
      <c r="BG53" s="3">
        <f t="shared" si="34"/>
        <v>4.28</v>
      </c>
      <c r="BH53" s="4">
        <f t="shared" si="35"/>
        <v>4.28</v>
      </c>
      <c r="BI53" s="3">
        <v>4.18</v>
      </c>
      <c r="BJ53" s="3">
        <f t="shared" si="36"/>
        <v>4.18</v>
      </c>
      <c r="BK53" s="4">
        <f t="shared" si="37"/>
        <v>4.18</v>
      </c>
      <c r="BL53" s="3">
        <v>4.3</v>
      </c>
      <c r="BM53" s="3">
        <f t="shared" si="38"/>
        <v>4.3</v>
      </c>
      <c r="BN53" s="4">
        <f t="shared" si="39"/>
        <v>4.3</v>
      </c>
      <c r="BO53" s="3">
        <v>3.6</v>
      </c>
      <c r="BP53" s="3">
        <f t="shared" si="40"/>
        <v>3.6</v>
      </c>
      <c r="BQ53" s="4">
        <f t="shared" si="41"/>
        <v>3.6</v>
      </c>
      <c r="BR53" s="3">
        <v>3.12</v>
      </c>
      <c r="BS53" s="3">
        <f t="shared" si="42"/>
        <v>3.12</v>
      </c>
      <c r="BT53" s="4">
        <f t="shared" si="43"/>
        <v>3.12</v>
      </c>
      <c r="BU53" s="3">
        <v>1.63</v>
      </c>
      <c r="BV53" s="3">
        <f t="shared" si="44"/>
        <v>1.63</v>
      </c>
      <c r="BW53" s="4">
        <f t="shared" si="45"/>
        <v>1.63</v>
      </c>
      <c r="BX53" s="3">
        <v>1.28</v>
      </c>
      <c r="BY53" s="3">
        <f t="shared" si="46"/>
        <v>1.28</v>
      </c>
      <c r="BZ53" s="21">
        <f t="shared" si="47"/>
        <v>1.28</v>
      </c>
      <c r="CB53" s="20" t="s">
        <v>429</v>
      </c>
      <c r="CC53" s="3">
        <v>1.04</v>
      </c>
      <c r="CD53" s="3">
        <f t="shared" si="48"/>
        <v>1.04</v>
      </c>
      <c r="CE53" s="4" t="str">
        <f t="shared" si="159"/>
        <v/>
      </c>
      <c r="CF53" s="3">
        <v>3.66</v>
      </c>
      <c r="CG53" s="3">
        <f t="shared" si="50"/>
        <v>3.66</v>
      </c>
      <c r="CH53" s="4" t="str">
        <f t="shared" si="160"/>
        <v/>
      </c>
      <c r="CI53" s="3">
        <v>2.3199999999999998</v>
      </c>
      <c r="CJ53" s="3">
        <f t="shared" si="52"/>
        <v>2.3199999999999998</v>
      </c>
      <c r="CK53" s="4" t="str">
        <f t="shared" si="161"/>
        <v/>
      </c>
      <c r="CL53" s="3">
        <v>5.18</v>
      </c>
      <c r="CM53" s="3">
        <f t="shared" si="54"/>
        <v>5.18</v>
      </c>
      <c r="CN53" s="4">
        <f t="shared" si="162"/>
        <v>5.18</v>
      </c>
      <c r="CO53" s="3">
        <v>5.44</v>
      </c>
      <c r="CP53" s="3">
        <f t="shared" si="56"/>
        <v>5.44</v>
      </c>
      <c r="CQ53" s="4">
        <f t="shared" si="163"/>
        <v>5.44</v>
      </c>
      <c r="CR53" s="3">
        <v>1.84</v>
      </c>
      <c r="CS53" s="3">
        <f t="shared" si="58"/>
        <v>1.84</v>
      </c>
      <c r="CT53" s="4">
        <f t="shared" si="164"/>
        <v>1.84</v>
      </c>
      <c r="CU53" s="3">
        <v>3.77</v>
      </c>
      <c r="CV53" s="3">
        <f t="shared" si="60"/>
        <v>3.77</v>
      </c>
      <c r="CW53" s="4">
        <f t="shared" si="165"/>
        <v>3.77</v>
      </c>
      <c r="CX53" s="3">
        <v>0</v>
      </c>
      <c r="CY53" s="3" t="str">
        <f t="shared" si="62"/>
        <v/>
      </c>
      <c r="CZ53" s="21" t="str">
        <f t="shared" si="166"/>
        <v/>
      </c>
      <c r="DB53" s="20" t="s">
        <v>430</v>
      </c>
      <c r="DC53" s="3">
        <v>2.21</v>
      </c>
      <c r="DD53" s="3">
        <f t="shared" si="64"/>
        <v>2.21</v>
      </c>
      <c r="DE53" s="4">
        <f t="shared" si="167"/>
        <v>2.21</v>
      </c>
      <c r="DF53" s="3">
        <v>1.17</v>
      </c>
      <c r="DG53" s="3">
        <f t="shared" si="66"/>
        <v>1.17</v>
      </c>
      <c r="DH53" s="4">
        <f t="shared" si="168"/>
        <v>1.17</v>
      </c>
      <c r="DI53" s="3">
        <v>0</v>
      </c>
      <c r="DJ53" s="3" t="str">
        <f t="shared" si="68"/>
        <v/>
      </c>
      <c r="DK53" s="4" t="str">
        <f t="shared" si="169"/>
        <v/>
      </c>
      <c r="DL53" s="3">
        <v>3.56</v>
      </c>
      <c r="DM53" s="3">
        <f t="shared" si="127"/>
        <v>3.56</v>
      </c>
      <c r="DN53" s="4">
        <f t="shared" si="170"/>
        <v>3.56</v>
      </c>
      <c r="DO53" s="3">
        <v>1.37</v>
      </c>
      <c r="DP53" s="3">
        <f t="shared" si="71"/>
        <v>1.37</v>
      </c>
      <c r="DQ53" s="4">
        <f t="shared" si="171"/>
        <v>1.37</v>
      </c>
      <c r="DR53" s="3">
        <v>6.72</v>
      </c>
      <c r="DS53" s="3">
        <f t="shared" si="73"/>
        <v>6.72</v>
      </c>
      <c r="DT53" s="4">
        <f t="shared" si="172"/>
        <v>6.72</v>
      </c>
      <c r="DU53" s="3">
        <v>1.37</v>
      </c>
      <c r="DV53" s="3">
        <f t="shared" si="75"/>
        <v>1.37</v>
      </c>
      <c r="DW53" s="4">
        <f t="shared" si="173"/>
        <v>1.37</v>
      </c>
      <c r="DX53" s="3">
        <v>0</v>
      </c>
      <c r="DY53" s="3" t="str">
        <f t="shared" si="77"/>
        <v/>
      </c>
      <c r="DZ53" s="21" t="str">
        <f t="shared" si="174"/>
        <v/>
      </c>
      <c r="EB53" s="20" t="s">
        <v>431</v>
      </c>
      <c r="EC53" s="3">
        <v>0.53</v>
      </c>
      <c r="ED53" s="3">
        <f t="shared" si="79"/>
        <v>0.53</v>
      </c>
      <c r="EE53" s="4">
        <f t="shared" si="175"/>
        <v>0.53</v>
      </c>
      <c r="EF53" s="3">
        <v>4.18</v>
      </c>
      <c r="EG53" s="3">
        <f t="shared" si="81"/>
        <v>4.18</v>
      </c>
      <c r="EH53" s="4">
        <f t="shared" si="176"/>
        <v>4.18</v>
      </c>
      <c r="EI53" s="3">
        <v>0.39</v>
      </c>
      <c r="EJ53" s="3">
        <f t="shared" si="83"/>
        <v>0.39</v>
      </c>
      <c r="EK53" s="4">
        <f t="shared" si="177"/>
        <v>0.39</v>
      </c>
      <c r="EL53" s="3">
        <v>1.61</v>
      </c>
      <c r="EM53" s="3">
        <f t="shared" si="85"/>
        <v>1.61</v>
      </c>
      <c r="EN53" s="4">
        <f t="shared" si="178"/>
        <v>1.61</v>
      </c>
      <c r="EO53" s="3">
        <v>2.21</v>
      </c>
      <c r="EP53" s="3">
        <f t="shared" si="87"/>
        <v>2.21</v>
      </c>
      <c r="EQ53" s="4">
        <f t="shared" si="179"/>
        <v>2.21</v>
      </c>
      <c r="ER53" s="3">
        <v>1.89</v>
      </c>
      <c r="ES53" s="3">
        <f t="shared" si="89"/>
        <v>1.89</v>
      </c>
      <c r="ET53" s="4">
        <f t="shared" si="180"/>
        <v>1.89</v>
      </c>
      <c r="EU53" s="3">
        <v>0.73</v>
      </c>
      <c r="EV53" s="3">
        <f t="shared" si="91"/>
        <v>0.73</v>
      </c>
      <c r="EW53" s="4">
        <f t="shared" si="181"/>
        <v>0.73</v>
      </c>
      <c r="EX53" s="3">
        <v>1.17</v>
      </c>
      <c r="EY53" s="3">
        <f t="shared" si="93"/>
        <v>1.17</v>
      </c>
      <c r="EZ53" s="21">
        <f t="shared" si="182"/>
        <v>1.17</v>
      </c>
      <c r="FB53" s="20" t="s">
        <v>432</v>
      </c>
      <c r="FC53" s="3">
        <v>12.69</v>
      </c>
      <c r="FD53" s="3">
        <f t="shared" si="95"/>
        <v>12.69</v>
      </c>
      <c r="FE53" s="4">
        <f t="shared" si="183"/>
        <v>12.69</v>
      </c>
      <c r="FF53" s="3">
        <v>1.37</v>
      </c>
      <c r="FG53" s="3">
        <f t="shared" si="97"/>
        <v>1.37</v>
      </c>
      <c r="FH53" s="4">
        <f t="shared" si="184"/>
        <v>1.37</v>
      </c>
      <c r="FI53" s="3">
        <v>1.61</v>
      </c>
      <c r="FJ53" s="3">
        <f t="shared" si="99"/>
        <v>1.61</v>
      </c>
      <c r="FK53" s="4">
        <f t="shared" si="185"/>
        <v>1.61</v>
      </c>
      <c r="FL53" s="3">
        <v>3.56</v>
      </c>
      <c r="FM53" s="3">
        <f t="shared" si="101"/>
        <v>3.56</v>
      </c>
      <c r="FN53" s="4">
        <f t="shared" si="186"/>
        <v>3.56</v>
      </c>
      <c r="FO53" s="3">
        <v>1.89</v>
      </c>
      <c r="FP53" s="3">
        <f t="shared" si="103"/>
        <v>1.89</v>
      </c>
      <c r="FQ53" s="4">
        <f t="shared" si="187"/>
        <v>1.89</v>
      </c>
      <c r="FR53" s="3">
        <v>2.59</v>
      </c>
      <c r="FS53" s="3">
        <f t="shared" si="105"/>
        <v>2.59</v>
      </c>
      <c r="FT53" s="4">
        <f t="shared" si="188"/>
        <v>2.59</v>
      </c>
      <c r="FU53" s="3">
        <v>0.24</v>
      </c>
      <c r="FV53" s="3">
        <f t="shared" si="107"/>
        <v>0.24</v>
      </c>
      <c r="FW53" s="4">
        <f t="shared" si="189"/>
        <v>0.24</v>
      </c>
      <c r="FX53" s="3">
        <v>0.2</v>
      </c>
      <c r="FY53" s="3">
        <f t="shared" si="109"/>
        <v>0.2</v>
      </c>
      <c r="FZ53" s="21">
        <f t="shared" si="190"/>
        <v>0.2</v>
      </c>
      <c r="GB53" s="20" t="s">
        <v>433</v>
      </c>
      <c r="GC53" s="3">
        <v>0.73</v>
      </c>
      <c r="GD53" s="3">
        <f t="shared" si="111"/>
        <v>0.73</v>
      </c>
      <c r="GE53" s="4" t="str">
        <f t="shared" si="191"/>
        <v/>
      </c>
      <c r="GF53" s="3">
        <v>0.45</v>
      </c>
      <c r="GG53" s="3">
        <f t="shared" si="113"/>
        <v>0.45</v>
      </c>
      <c r="GH53" s="4">
        <f t="shared" si="192"/>
        <v>0.45</v>
      </c>
      <c r="GI53" s="3">
        <v>0.15</v>
      </c>
      <c r="GJ53" s="3">
        <f t="shared" si="115"/>
        <v>0.15</v>
      </c>
      <c r="GK53" s="4">
        <f t="shared" si="193"/>
        <v>0.15</v>
      </c>
      <c r="GL53" s="3">
        <v>0</v>
      </c>
      <c r="GM53" s="3" t="str">
        <f t="shared" si="117"/>
        <v/>
      </c>
      <c r="GN53" s="4" t="str">
        <f t="shared" si="194"/>
        <v/>
      </c>
      <c r="GO53" s="3">
        <v>0</v>
      </c>
      <c r="GP53" s="3" t="str">
        <f t="shared" si="119"/>
        <v/>
      </c>
      <c r="GQ53" s="4" t="str">
        <f t="shared" si="195"/>
        <v/>
      </c>
      <c r="GR53" s="3">
        <v>0.62</v>
      </c>
      <c r="GS53" s="3">
        <f t="shared" si="121"/>
        <v>0.62</v>
      </c>
      <c r="GT53" s="4">
        <f t="shared" si="196"/>
        <v>0.62</v>
      </c>
      <c r="GU53" s="3">
        <v>0.28000000000000003</v>
      </c>
      <c r="GV53" s="3">
        <f t="shared" si="123"/>
        <v>0.28000000000000003</v>
      </c>
      <c r="GW53" s="4">
        <f t="shared" si="197"/>
        <v>0.28000000000000003</v>
      </c>
      <c r="GX53" s="3">
        <v>1.89</v>
      </c>
      <c r="GY53" s="3">
        <f t="shared" si="125"/>
        <v>1.89</v>
      </c>
      <c r="GZ53" s="21">
        <f t="shared" si="198"/>
        <v>1.89</v>
      </c>
    </row>
    <row r="54" spans="2:208">
      <c r="B54" s="20" t="s">
        <v>434</v>
      </c>
      <c r="C54" s="3">
        <v>2.94</v>
      </c>
      <c r="D54" s="3">
        <f t="shared" si="128"/>
        <v>2.94</v>
      </c>
      <c r="E54" s="4">
        <f t="shared" si="129"/>
        <v>2.94</v>
      </c>
      <c r="F54" s="3">
        <v>4.3899999999999997</v>
      </c>
      <c r="G54" s="3">
        <f t="shared" si="130"/>
        <v>4.3899999999999997</v>
      </c>
      <c r="H54" s="4">
        <f t="shared" si="131"/>
        <v>4.3899999999999997</v>
      </c>
      <c r="I54" s="3">
        <v>5.34</v>
      </c>
      <c r="J54" s="3">
        <f t="shared" si="132"/>
        <v>5.34</v>
      </c>
      <c r="K54" s="4">
        <f t="shared" si="133"/>
        <v>5.34</v>
      </c>
      <c r="L54" s="3">
        <v>5.64</v>
      </c>
      <c r="M54" s="3">
        <f t="shared" si="134"/>
        <v>5.64</v>
      </c>
      <c r="N54" s="4">
        <f t="shared" si="135"/>
        <v>5.64</v>
      </c>
      <c r="O54" s="3">
        <v>4.34</v>
      </c>
      <c r="P54" s="3">
        <f t="shared" si="136"/>
        <v>4.34</v>
      </c>
      <c r="Q54" s="4">
        <f t="shared" si="137"/>
        <v>4.34</v>
      </c>
      <c r="R54" s="3">
        <v>4.83</v>
      </c>
      <c r="S54" s="3">
        <f t="shared" si="138"/>
        <v>4.83</v>
      </c>
      <c r="T54" s="4">
        <f t="shared" si="139"/>
        <v>4.83</v>
      </c>
      <c r="U54" s="3">
        <v>1.74</v>
      </c>
      <c r="V54" s="3">
        <f t="shared" si="140"/>
        <v>1.74</v>
      </c>
      <c r="W54" s="4">
        <f t="shared" si="141"/>
        <v>1.74</v>
      </c>
      <c r="X54" s="3">
        <v>2.21</v>
      </c>
      <c r="Y54" s="3">
        <f t="shared" si="142"/>
        <v>2.21</v>
      </c>
      <c r="Z54" s="21">
        <f t="shared" si="143"/>
        <v>2.21</v>
      </c>
      <c r="AB54" s="20" t="s">
        <v>435</v>
      </c>
      <c r="AC54" s="3">
        <v>2.09</v>
      </c>
      <c r="AD54" s="3">
        <f t="shared" si="144"/>
        <v>2.09</v>
      </c>
      <c r="AE54" s="4" t="str">
        <f t="shared" si="145"/>
        <v/>
      </c>
      <c r="AF54" s="3">
        <v>5.48</v>
      </c>
      <c r="AG54" s="3">
        <f t="shared" si="146"/>
        <v>5.48</v>
      </c>
      <c r="AH54" s="4">
        <f t="shared" si="147"/>
        <v>5.48</v>
      </c>
      <c r="AI54" s="3">
        <v>5.2</v>
      </c>
      <c r="AJ54" s="3">
        <f t="shared" si="148"/>
        <v>5.2</v>
      </c>
      <c r="AK54" s="4">
        <f t="shared" si="149"/>
        <v>5.2</v>
      </c>
      <c r="AL54" s="3">
        <v>6.06</v>
      </c>
      <c r="AM54" s="3">
        <f t="shared" si="150"/>
        <v>6.06</v>
      </c>
      <c r="AN54" s="4">
        <f t="shared" si="151"/>
        <v>6.06</v>
      </c>
      <c r="AO54" s="3">
        <v>0</v>
      </c>
      <c r="AP54" s="3" t="str">
        <f t="shared" si="152"/>
        <v/>
      </c>
      <c r="AQ54" s="4" t="str">
        <f t="shared" si="153"/>
        <v/>
      </c>
      <c r="AR54" s="3">
        <v>3.73</v>
      </c>
      <c r="AS54" s="3">
        <f t="shared" si="154"/>
        <v>3.73</v>
      </c>
      <c r="AT54" s="4">
        <f t="shared" si="155"/>
        <v>3.73</v>
      </c>
      <c r="AU54" s="3">
        <v>3.04</v>
      </c>
      <c r="AV54" s="3">
        <f t="shared" si="156"/>
        <v>3.04</v>
      </c>
      <c r="AW54" s="4">
        <f t="shared" si="157"/>
        <v>3.04</v>
      </c>
      <c r="AX54" s="3">
        <v>3.39</v>
      </c>
      <c r="AY54" s="3">
        <f t="shared" si="158"/>
        <v>3.39</v>
      </c>
      <c r="AZ54" s="21">
        <f t="shared" si="31"/>
        <v>3.39</v>
      </c>
      <c r="BB54" s="20" t="s">
        <v>436</v>
      </c>
      <c r="BC54" s="3">
        <v>3.9</v>
      </c>
      <c r="BD54" s="3">
        <f t="shared" si="32"/>
        <v>3.9</v>
      </c>
      <c r="BE54" s="4">
        <f t="shared" si="33"/>
        <v>3.9</v>
      </c>
      <c r="BF54" s="3">
        <v>4.32</v>
      </c>
      <c r="BG54" s="3">
        <f t="shared" si="34"/>
        <v>4.32</v>
      </c>
      <c r="BH54" s="4">
        <f t="shared" si="35"/>
        <v>4.32</v>
      </c>
      <c r="BI54" s="3">
        <v>4.2300000000000004</v>
      </c>
      <c r="BJ54" s="3">
        <f t="shared" si="36"/>
        <v>4.2300000000000004</v>
      </c>
      <c r="BK54" s="4">
        <f t="shared" si="37"/>
        <v>4.2300000000000004</v>
      </c>
      <c r="BL54" s="3">
        <v>4.29</v>
      </c>
      <c r="BM54" s="3">
        <f t="shared" si="38"/>
        <v>4.29</v>
      </c>
      <c r="BN54" s="4">
        <f t="shared" si="39"/>
        <v>4.29</v>
      </c>
      <c r="BO54" s="3">
        <v>3.62</v>
      </c>
      <c r="BP54" s="3">
        <f t="shared" si="40"/>
        <v>3.62</v>
      </c>
      <c r="BQ54" s="4">
        <f t="shared" si="41"/>
        <v>3.62</v>
      </c>
      <c r="BR54" s="3">
        <v>3.12</v>
      </c>
      <c r="BS54" s="3">
        <f t="shared" si="42"/>
        <v>3.12</v>
      </c>
      <c r="BT54" s="4">
        <f t="shared" si="43"/>
        <v>3.12</v>
      </c>
      <c r="BU54" s="3">
        <v>1.62</v>
      </c>
      <c r="BV54" s="3">
        <f t="shared" si="44"/>
        <v>1.62</v>
      </c>
      <c r="BW54" s="4">
        <f t="shared" si="45"/>
        <v>1.62</v>
      </c>
      <c r="BX54" s="3">
        <v>1.24</v>
      </c>
      <c r="BY54" s="3">
        <f t="shared" si="46"/>
        <v>1.24</v>
      </c>
      <c r="BZ54" s="21">
        <f t="shared" si="47"/>
        <v>1.24</v>
      </c>
      <c r="CB54" s="20" t="s">
        <v>437</v>
      </c>
      <c r="CC54" s="3">
        <v>4.17</v>
      </c>
      <c r="CD54" s="3">
        <f t="shared" si="48"/>
        <v>4.17</v>
      </c>
      <c r="CE54" s="4">
        <f t="shared" si="159"/>
        <v>4.17</v>
      </c>
      <c r="CF54" s="3">
        <v>6.02</v>
      </c>
      <c r="CG54" s="3">
        <f t="shared" si="50"/>
        <v>6.02</v>
      </c>
      <c r="CH54" s="4">
        <f t="shared" si="160"/>
        <v>6.02</v>
      </c>
      <c r="CI54" s="3">
        <v>3.78</v>
      </c>
      <c r="CJ54" s="3">
        <f t="shared" si="52"/>
        <v>3.78</v>
      </c>
      <c r="CK54" s="4">
        <f t="shared" si="161"/>
        <v>3.78</v>
      </c>
      <c r="CL54" s="3">
        <v>5.15</v>
      </c>
      <c r="CM54" s="3">
        <f t="shared" si="54"/>
        <v>5.15</v>
      </c>
      <c r="CN54" s="4">
        <f t="shared" si="162"/>
        <v>5.15</v>
      </c>
      <c r="CO54" s="3">
        <v>5.46</v>
      </c>
      <c r="CP54" s="3">
        <f t="shared" si="56"/>
        <v>5.46</v>
      </c>
      <c r="CQ54" s="4">
        <f t="shared" si="163"/>
        <v>5.46</v>
      </c>
      <c r="CR54" s="3">
        <v>1.87</v>
      </c>
      <c r="CS54" s="3">
        <f t="shared" si="58"/>
        <v>1.87</v>
      </c>
      <c r="CT54" s="4">
        <f t="shared" si="164"/>
        <v>1.87</v>
      </c>
      <c r="CU54" s="3">
        <v>3.74</v>
      </c>
      <c r="CV54" s="3">
        <f t="shared" si="60"/>
        <v>3.74</v>
      </c>
      <c r="CW54" s="4">
        <f t="shared" si="165"/>
        <v>3.74</v>
      </c>
      <c r="CX54" s="3">
        <v>3.15</v>
      </c>
      <c r="CY54" s="3">
        <f t="shared" si="62"/>
        <v>3.15</v>
      </c>
      <c r="CZ54" s="21">
        <f t="shared" si="166"/>
        <v>3.15</v>
      </c>
      <c r="DB54" s="20" t="s">
        <v>438</v>
      </c>
      <c r="DC54" s="3">
        <v>2.21</v>
      </c>
      <c r="DD54" s="3">
        <f t="shared" si="64"/>
        <v>2.21</v>
      </c>
      <c r="DE54" s="4">
        <f t="shared" si="167"/>
        <v>2.21</v>
      </c>
      <c r="DF54" s="3">
        <v>1.17</v>
      </c>
      <c r="DG54" s="3">
        <f t="shared" si="66"/>
        <v>1.17</v>
      </c>
      <c r="DH54" s="4">
        <f t="shared" si="168"/>
        <v>1.17</v>
      </c>
      <c r="DI54" s="3">
        <v>2.59</v>
      </c>
      <c r="DJ54" s="3">
        <f t="shared" si="68"/>
        <v>2.59</v>
      </c>
      <c r="DK54" s="4">
        <f t="shared" si="169"/>
        <v>2.59</v>
      </c>
      <c r="DL54" s="3">
        <v>3.56</v>
      </c>
      <c r="DM54" s="3">
        <f t="shared" si="127"/>
        <v>3.56</v>
      </c>
      <c r="DN54" s="4">
        <f t="shared" si="170"/>
        <v>3.56</v>
      </c>
      <c r="DO54" s="3">
        <v>1.37</v>
      </c>
      <c r="DP54" s="3">
        <f t="shared" si="71"/>
        <v>1.37</v>
      </c>
      <c r="DQ54" s="4">
        <f t="shared" si="171"/>
        <v>1.37</v>
      </c>
      <c r="DR54" s="3">
        <v>1.17</v>
      </c>
      <c r="DS54" s="3">
        <f t="shared" si="73"/>
        <v>1.17</v>
      </c>
      <c r="DT54" s="4">
        <f t="shared" si="172"/>
        <v>1.17</v>
      </c>
      <c r="DU54" s="3">
        <v>1.37</v>
      </c>
      <c r="DV54" s="3">
        <f t="shared" si="75"/>
        <v>1.37</v>
      </c>
      <c r="DW54" s="4">
        <f t="shared" si="173"/>
        <v>1.37</v>
      </c>
      <c r="DX54" s="3">
        <v>0</v>
      </c>
      <c r="DY54" s="3" t="str">
        <f t="shared" si="77"/>
        <v/>
      </c>
      <c r="DZ54" s="21" t="str">
        <f t="shared" si="174"/>
        <v/>
      </c>
      <c r="EB54" s="20" t="s">
        <v>439</v>
      </c>
      <c r="EC54" s="3">
        <v>0.53</v>
      </c>
      <c r="ED54" s="3">
        <f t="shared" si="79"/>
        <v>0.53</v>
      </c>
      <c r="EE54" s="4">
        <f t="shared" si="175"/>
        <v>0.53</v>
      </c>
      <c r="EF54" s="3">
        <v>4.18</v>
      </c>
      <c r="EG54" s="3">
        <f t="shared" si="81"/>
        <v>4.18</v>
      </c>
      <c r="EH54" s="4">
        <f t="shared" si="176"/>
        <v>4.18</v>
      </c>
      <c r="EI54" s="3">
        <v>0.39</v>
      </c>
      <c r="EJ54" s="3">
        <f t="shared" si="83"/>
        <v>0.39</v>
      </c>
      <c r="EK54" s="4">
        <f t="shared" si="177"/>
        <v>0.39</v>
      </c>
      <c r="EL54" s="3">
        <v>1.61</v>
      </c>
      <c r="EM54" s="3">
        <f t="shared" si="85"/>
        <v>1.61</v>
      </c>
      <c r="EN54" s="4">
        <f t="shared" si="178"/>
        <v>1.61</v>
      </c>
      <c r="EO54" s="3">
        <v>2.59</v>
      </c>
      <c r="EP54" s="3">
        <f t="shared" si="87"/>
        <v>2.59</v>
      </c>
      <c r="EQ54" s="4">
        <f t="shared" si="179"/>
        <v>2.59</v>
      </c>
      <c r="ER54" s="3">
        <v>7.88</v>
      </c>
      <c r="ES54" s="3">
        <f t="shared" si="89"/>
        <v>7.88</v>
      </c>
      <c r="ET54" s="4" t="str">
        <f t="shared" si="180"/>
        <v/>
      </c>
      <c r="EU54" s="3">
        <v>0.73</v>
      </c>
      <c r="EV54" s="3">
        <f t="shared" si="91"/>
        <v>0.73</v>
      </c>
      <c r="EW54" s="4">
        <f t="shared" si="181"/>
        <v>0.73</v>
      </c>
      <c r="EX54" s="3">
        <v>1.17</v>
      </c>
      <c r="EY54" s="3">
        <f t="shared" si="93"/>
        <v>1.17</v>
      </c>
      <c r="EZ54" s="21">
        <f t="shared" si="182"/>
        <v>1.17</v>
      </c>
      <c r="FB54" s="20" t="s">
        <v>440</v>
      </c>
      <c r="FC54" s="3">
        <v>7.88</v>
      </c>
      <c r="FD54" s="3">
        <f t="shared" si="95"/>
        <v>7.88</v>
      </c>
      <c r="FE54" s="4" t="str">
        <f t="shared" si="183"/>
        <v/>
      </c>
      <c r="FF54" s="3">
        <v>1.37</v>
      </c>
      <c r="FG54" s="3">
        <f t="shared" si="97"/>
        <v>1.37</v>
      </c>
      <c r="FH54" s="4">
        <f t="shared" si="184"/>
        <v>1.37</v>
      </c>
      <c r="FI54" s="3">
        <v>0.2</v>
      </c>
      <c r="FJ54" s="3">
        <f t="shared" si="99"/>
        <v>0.2</v>
      </c>
      <c r="FK54" s="4">
        <f t="shared" si="185"/>
        <v>0.2</v>
      </c>
      <c r="FL54" s="3">
        <v>0</v>
      </c>
      <c r="FM54" s="3" t="str">
        <f t="shared" si="101"/>
        <v/>
      </c>
      <c r="FN54" s="4" t="str">
        <f t="shared" si="186"/>
        <v/>
      </c>
      <c r="FO54" s="3">
        <v>1.61</v>
      </c>
      <c r="FP54" s="3">
        <f t="shared" si="103"/>
        <v>1.61</v>
      </c>
      <c r="FQ54" s="4">
        <f t="shared" si="187"/>
        <v>1.61</v>
      </c>
      <c r="FR54" s="3">
        <v>3.56</v>
      </c>
      <c r="FS54" s="3">
        <f t="shared" si="105"/>
        <v>3.56</v>
      </c>
      <c r="FT54" s="4" t="str">
        <f t="shared" si="188"/>
        <v/>
      </c>
      <c r="FU54" s="3">
        <v>0.17</v>
      </c>
      <c r="FV54" s="3">
        <f t="shared" si="107"/>
        <v>0.17</v>
      </c>
      <c r="FW54" s="4">
        <f t="shared" si="189"/>
        <v>0.17</v>
      </c>
      <c r="FX54" s="3">
        <v>0.45</v>
      </c>
      <c r="FY54" s="3">
        <f t="shared" si="109"/>
        <v>0.45</v>
      </c>
      <c r="FZ54" s="21" t="str">
        <f t="shared" si="190"/>
        <v/>
      </c>
      <c r="GB54" s="20" t="s">
        <v>441</v>
      </c>
      <c r="GC54" s="3">
        <v>0.85</v>
      </c>
      <c r="GD54" s="3">
        <f t="shared" si="111"/>
        <v>0.85</v>
      </c>
      <c r="GE54" s="4">
        <f t="shared" si="191"/>
        <v>0.85</v>
      </c>
      <c r="GF54" s="3">
        <v>1.37</v>
      </c>
      <c r="GG54" s="3">
        <f t="shared" si="113"/>
        <v>1.37</v>
      </c>
      <c r="GH54" s="4">
        <f t="shared" si="192"/>
        <v>1.37</v>
      </c>
      <c r="GI54" s="3">
        <v>0.11</v>
      </c>
      <c r="GJ54" s="3">
        <f t="shared" si="115"/>
        <v>0.11</v>
      </c>
      <c r="GK54" s="4" t="str">
        <f t="shared" si="193"/>
        <v/>
      </c>
      <c r="GL54" s="3">
        <v>9.24</v>
      </c>
      <c r="GM54" s="3">
        <f t="shared" si="117"/>
        <v>9.24</v>
      </c>
      <c r="GN54" s="4" t="str">
        <f t="shared" si="194"/>
        <v/>
      </c>
      <c r="GO54" s="3">
        <v>1.89</v>
      </c>
      <c r="GP54" s="3">
        <f t="shared" si="119"/>
        <v>1.89</v>
      </c>
      <c r="GQ54" s="4">
        <f t="shared" si="195"/>
        <v>1.89</v>
      </c>
      <c r="GR54" s="3">
        <v>0.39</v>
      </c>
      <c r="GS54" s="3">
        <f t="shared" si="121"/>
        <v>0.39</v>
      </c>
      <c r="GT54" s="4" t="str">
        <f t="shared" si="196"/>
        <v/>
      </c>
      <c r="GU54" s="3">
        <v>0.39</v>
      </c>
      <c r="GV54" s="3">
        <f t="shared" si="123"/>
        <v>0.39</v>
      </c>
      <c r="GW54" s="4" t="str">
        <f t="shared" si="197"/>
        <v/>
      </c>
      <c r="GX54" s="3">
        <v>3.56</v>
      </c>
      <c r="GY54" s="3">
        <f t="shared" si="125"/>
        <v>3.56</v>
      </c>
      <c r="GZ54" s="21" t="str">
        <f t="shared" si="198"/>
        <v/>
      </c>
    </row>
    <row r="55" spans="2:208">
      <c r="B55" s="20" t="s">
        <v>442</v>
      </c>
      <c r="C55" s="3">
        <v>3.01</v>
      </c>
      <c r="D55" s="3">
        <f t="shared" si="128"/>
        <v>3.01</v>
      </c>
      <c r="E55" s="4">
        <f t="shared" si="129"/>
        <v>3.01</v>
      </c>
      <c r="F55" s="3">
        <v>4.38</v>
      </c>
      <c r="G55" s="3">
        <f t="shared" si="130"/>
        <v>4.38</v>
      </c>
      <c r="H55" s="4">
        <f t="shared" si="131"/>
        <v>4.38</v>
      </c>
      <c r="I55" s="3">
        <v>5.3</v>
      </c>
      <c r="J55" s="3">
        <f t="shared" si="132"/>
        <v>5.3</v>
      </c>
      <c r="K55" s="4">
        <f t="shared" si="133"/>
        <v>5.3</v>
      </c>
      <c r="L55" s="3">
        <v>5.64</v>
      </c>
      <c r="M55" s="3">
        <f t="shared" si="134"/>
        <v>5.64</v>
      </c>
      <c r="N55" s="4">
        <f t="shared" si="135"/>
        <v>5.64</v>
      </c>
      <c r="O55" s="3">
        <v>4.32</v>
      </c>
      <c r="P55" s="3">
        <f t="shared" si="136"/>
        <v>4.32</v>
      </c>
      <c r="Q55" s="4">
        <f t="shared" si="137"/>
        <v>4.32</v>
      </c>
      <c r="R55" s="3">
        <v>4.87</v>
      </c>
      <c r="S55" s="3">
        <f t="shared" si="138"/>
        <v>4.87</v>
      </c>
      <c r="T55" s="4">
        <f t="shared" si="139"/>
        <v>4.87</v>
      </c>
      <c r="U55" s="3">
        <v>1.78</v>
      </c>
      <c r="V55" s="3">
        <f t="shared" si="140"/>
        <v>1.78</v>
      </c>
      <c r="W55" s="4">
        <f t="shared" si="141"/>
        <v>1.78</v>
      </c>
      <c r="X55" s="3">
        <v>3.26</v>
      </c>
      <c r="Y55" s="3">
        <f t="shared" si="142"/>
        <v>3.26</v>
      </c>
      <c r="Z55" s="21" t="str">
        <f t="shared" si="143"/>
        <v/>
      </c>
      <c r="AB55" s="20" t="s">
        <v>443</v>
      </c>
      <c r="AC55" s="3">
        <v>2.84</v>
      </c>
      <c r="AD55" s="3">
        <f t="shared" si="144"/>
        <v>2.84</v>
      </c>
      <c r="AE55" s="4">
        <f t="shared" si="145"/>
        <v>2.84</v>
      </c>
      <c r="AF55" s="3">
        <v>5.48</v>
      </c>
      <c r="AG55" s="3">
        <f t="shared" si="146"/>
        <v>5.48</v>
      </c>
      <c r="AH55" s="4">
        <f t="shared" si="147"/>
        <v>5.48</v>
      </c>
      <c r="AI55" s="3">
        <v>5.2</v>
      </c>
      <c r="AJ55" s="3">
        <f t="shared" si="148"/>
        <v>5.2</v>
      </c>
      <c r="AK55" s="4">
        <f t="shared" si="149"/>
        <v>5.2</v>
      </c>
      <c r="AL55" s="3">
        <v>6.14</v>
      </c>
      <c r="AM55" s="3">
        <f t="shared" si="150"/>
        <v>6.14</v>
      </c>
      <c r="AN55" s="4">
        <f t="shared" si="151"/>
        <v>6.14</v>
      </c>
      <c r="AO55" s="3">
        <v>0</v>
      </c>
      <c r="AP55" s="3" t="str">
        <f t="shared" si="152"/>
        <v/>
      </c>
      <c r="AQ55" s="4" t="str">
        <f t="shared" si="153"/>
        <v/>
      </c>
      <c r="AR55" s="3">
        <v>3.73</v>
      </c>
      <c r="AS55" s="3">
        <f t="shared" si="154"/>
        <v>3.73</v>
      </c>
      <c r="AT55" s="4">
        <f t="shared" si="155"/>
        <v>3.73</v>
      </c>
      <c r="AU55" s="3">
        <v>1.75</v>
      </c>
      <c r="AV55" s="3">
        <f t="shared" si="156"/>
        <v>1.75</v>
      </c>
      <c r="AW55" s="4" t="str">
        <f t="shared" si="157"/>
        <v/>
      </c>
      <c r="AX55" s="3">
        <v>0</v>
      </c>
      <c r="AY55" s="3" t="str">
        <f t="shared" si="158"/>
        <v/>
      </c>
      <c r="AZ55" s="21" t="str">
        <f t="shared" si="31"/>
        <v/>
      </c>
      <c r="BB55" s="20" t="s">
        <v>444</v>
      </c>
      <c r="BC55" s="3">
        <v>3.92</v>
      </c>
      <c r="BD55" s="3">
        <f t="shared" si="32"/>
        <v>3.92</v>
      </c>
      <c r="BE55" s="4">
        <f t="shared" si="33"/>
        <v>3.92</v>
      </c>
      <c r="BF55" s="3">
        <v>4.26</v>
      </c>
      <c r="BG55" s="3">
        <f t="shared" si="34"/>
        <v>4.26</v>
      </c>
      <c r="BH55" s="4">
        <f t="shared" si="35"/>
        <v>4.26</v>
      </c>
      <c r="BI55" s="3">
        <v>4.13</v>
      </c>
      <c r="BJ55" s="3">
        <f t="shared" si="36"/>
        <v>4.13</v>
      </c>
      <c r="BK55" s="4">
        <f t="shared" si="37"/>
        <v>4.13</v>
      </c>
      <c r="BL55" s="3">
        <v>4.28</v>
      </c>
      <c r="BM55" s="3">
        <f t="shared" si="38"/>
        <v>4.28</v>
      </c>
      <c r="BN55" s="4">
        <f t="shared" si="39"/>
        <v>4.28</v>
      </c>
      <c r="BO55" s="3">
        <v>3.59</v>
      </c>
      <c r="BP55" s="3">
        <f t="shared" si="40"/>
        <v>3.59</v>
      </c>
      <c r="BQ55" s="4">
        <f t="shared" si="41"/>
        <v>3.59</v>
      </c>
      <c r="BR55" s="3">
        <v>3.13</v>
      </c>
      <c r="BS55" s="3">
        <f t="shared" si="42"/>
        <v>3.13</v>
      </c>
      <c r="BT55" s="4">
        <f t="shared" si="43"/>
        <v>3.13</v>
      </c>
      <c r="BU55" s="3">
        <v>1.61</v>
      </c>
      <c r="BV55" s="3">
        <f t="shared" si="44"/>
        <v>1.61</v>
      </c>
      <c r="BW55" s="4">
        <f t="shared" si="45"/>
        <v>1.61</v>
      </c>
      <c r="BX55" s="3">
        <v>1.23</v>
      </c>
      <c r="BY55" s="3">
        <f t="shared" si="46"/>
        <v>1.23</v>
      </c>
      <c r="BZ55" s="21">
        <f t="shared" si="47"/>
        <v>1.23</v>
      </c>
      <c r="CB55" s="20" t="s">
        <v>445</v>
      </c>
      <c r="CC55" s="3">
        <v>4.16</v>
      </c>
      <c r="CD55" s="3">
        <f t="shared" si="48"/>
        <v>4.16</v>
      </c>
      <c r="CE55" s="4">
        <f t="shared" si="159"/>
        <v>4.16</v>
      </c>
      <c r="CF55" s="3">
        <v>6.06</v>
      </c>
      <c r="CG55" s="3">
        <f t="shared" si="50"/>
        <v>6.06</v>
      </c>
      <c r="CH55" s="4">
        <f t="shared" si="160"/>
        <v>6.06</v>
      </c>
      <c r="CI55" s="3">
        <v>3.72</v>
      </c>
      <c r="CJ55" s="3">
        <f t="shared" si="52"/>
        <v>3.72</v>
      </c>
      <c r="CK55" s="4">
        <f t="shared" si="161"/>
        <v>3.72</v>
      </c>
      <c r="CL55" s="3">
        <v>5.14</v>
      </c>
      <c r="CM55" s="3">
        <f t="shared" si="54"/>
        <v>5.14</v>
      </c>
      <c r="CN55" s="4">
        <f t="shared" si="162"/>
        <v>5.14</v>
      </c>
      <c r="CO55" s="3">
        <v>5.46</v>
      </c>
      <c r="CP55" s="3">
        <f t="shared" si="56"/>
        <v>5.46</v>
      </c>
      <c r="CQ55" s="4">
        <f t="shared" si="163"/>
        <v>5.46</v>
      </c>
      <c r="CR55" s="3">
        <v>1.87</v>
      </c>
      <c r="CS55" s="3">
        <f t="shared" si="58"/>
        <v>1.87</v>
      </c>
      <c r="CT55" s="4">
        <f t="shared" si="164"/>
        <v>1.87</v>
      </c>
      <c r="CU55" s="3">
        <v>3.76</v>
      </c>
      <c r="CV55" s="3">
        <f t="shared" si="60"/>
        <v>3.76</v>
      </c>
      <c r="CW55" s="4">
        <f t="shared" si="165"/>
        <v>3.76</v>
      </c>
      <c r="CX55" s="3">
        <v>3.18</v>
      </c>
      <c r="CY55" s="3">
        <f t="shared" si="62"/>
        <v>3.18</v>
      </c>
      <c r="CZ55" s="21">
        <f t="shared" si="166"/>
        <v>3.18</v>
      </c>
      <c r="DB55" s="20" t="s">
        <v>446</v>
      </c>
      <c r="DC55" s="3">
        <v>1.17</v>
      </c>
      <c r="DD55" s="3">
        <f t="shared" si="64"/>
        <v>1.17</v>
      </c>
      <c r="DE55" s="4">
        <f t="shared" si="167"/>
        <v>1.17</v>
      </c>
      <c r="DF55" s="3">
        <v>1.17</v>
      </c>
      <c r="DG55" s="3">
        <f t="shared" si="66"/>
        <v>1.17</v>
      </c>
      <c r="DH55" s="4">
        <f t="shared" si="168"/>
        <v>1.17</v>
      </c>
      <c r="DI55" s="3">
        <v>2.59</v>
      </c>
      <c r="DJ55" s="3">
        <f t="shared" si="68"/>
        <v>2.59</v>
      </c>
      <c r="DK55" s="4">
        <f t="shared" si="169"/>
        <v>2.59</v>
      </c>
      <c r="DL55" s="3">
        <v>3.56</v>
      </c>
      <c r="DM55" s="3">
        <f t="shared" si="127"/>
        <v>3.56</v>
      </c>
      <c r="DN55" s="4">
        <f t="shared" si="170"/>
        <v>3.56</v>
      </c>
      <c r="DO55" s="3">
        <v>1.37</v>
      </c>
      <c r="DP55" s="3">
        <f t="shared" si="71"/>
        <v>1.37</v>
      </c>
      <c r="DQ55" s="4">
        <f t="shared" si="171"/>
        <v>1.37</v>
      </c>
      <c r="DR55" s="3">
        <v>1.17</v>
      </c>
      <c r="DS55" s="3">
        <f t="shared" si="73"/>
        <v>1.17</v>
      </c>
      <c r="DT55" s="4">
        <f t="shared" si="172"/>
        <v>1.17</v>
      </c>
      <c r="DU55" s="3">
        <v>1.37</v>
      </c>
      <c r="DV55" s="3">
        <f t="shared" si="75"/>
        <v>1.37</v>
      </c>
      <c r="DW55" s="4">
        <f t="shared" si="173"/>
        <v>1.37</v>
      </c>
      <c r="DX55" s="3">
        <v>0</v>
      </c>
      <c r="DY55" s="3" t="str">
        <f t="shared" si="77"/>
        <v/>
      </c>
      <c r="DZ55" s="21" t="str">
        <f t="shared" si="174"/>
        <v/>
      </c>
      <c r="EB55" s="20" t="s">
        <v>447</v>
      </c>
      <c r="EC55" s="3">
        <v>0.53</v>
      </c>
      <c r="ED55" s="3">
        <f t="shared" si="79"/>
        <v>0.53</v>
      </c>
      <c r="EE55" s="4">
        <f t="shared" si="175"/>
        <v>0.53</v>
      </c>
      <c r="EF55" s="3">
        <v>4.18</v>
      </c>
      <c r="EG55" s="3">
        <f t="shared" si="81"/>
        <v>4.18</v>
      </c>
      <c r="EH55" s="4">
        <f t="shared" si="176"/>
        <v>4.18</v>
      </c>
      <c r="EI55" s="3">
        <v>0.39</v>
      </c>
      <c r="EJ55" s="3">
        <f t="shared" si="83"/>
        <v>0.39</v>
      </c>
      <c r="EK55" s="4">
        <f t="shared" si="177"/>
        <v>0.39</v>
      </c>
      <c r="EL55" s="3">
        <v>1.61</v>
      </c>
      <c r="EM55" s="3">
        <f t="shared" si="85"/>
        <v>1.61</v>
      </c>
      <c r="EN55" s="4">
        <f t="shared" si="178"/>
        <v>1.61</v>
      </c>
      <c r="EO55" s="3">
        <v>2.21</v>
      </c>
      <c r="EP55" s="3">
        <f t="shared" si="87"/>
        <v>2.21</v>
      </c>
      <c r="EQ55" s="4">
        <f t="shared" si="179"/>
        <v>2.21</v>
      </c>
      <c r="ER55" s="3">
        <v>1.89</v>
      </c>
      <c r="ES55" s="3">
        <f t="shared" si="89"/>
        <v>1.89</v>
      </c>
      <c r="ET55" s="4">
        <f t="shared" si="180"/>
        <v>1.89</v>
      </c>
      <c r="EU55" s="3">
        <v>0.62</v>
      </c>
      <c r="EV55" s="3">
        <f t="shared" si="91"/>
        <v>0.62</v>
      </c>
      <c r="EW55" s="4">
        <f t="shared" si="181"/>
        <v>0.62</v>
      </c>
      <c r="EX55" s="3">
        <v>1.37</v>
      </c>
      <c r="EY55" s="3">
        <f t="shared" si="93"/>
        <v>1.37</v>
      </c>
      <c r="EZ55" s="21">
        <f t="shared" si="182"/>
        <v>1.37</v>
      </c>
      <c r="FB55" s="20" t="s">
        <v>448</v>
      </c>
      <c r="FC55" s="3">
        <v>12.69</v>
      </c>
      <c r="FD55" s="3">
        <f t="shared" si="95"/>
        <v>12.69</v>
      </c>
      <c r="FE55" s="4">
        <f t="shared" si="183"/>
        <v>12.69</v>
      </c>
      <c r="FF55" s="3">
        <v>1.17</v>
      </c>
      <c r="FG55" s="3">
        <f t="shared" si="97"/>
        <v>1.17</v>
      </c>
      <c r="FH55" s="4">
        <f t="shared" si="184"/>
        <v>1.17</v>
      </c>
      <c r="FI55" s="3">
        <v>0.2</v>
      </c>
      <c r="FJ55" s="3">
        <f t="shared" si="99"/>
        <v>0.2</v>
      </c>
      <c r="FK55" s="4">
        <f t="shared" si="185"/>
        <v>0.2</v>
      </c>
      <c r="FL55" s="3">
        <v>4.18</v>
      </c>
      <c r="FM55" s="3">
        <f t="shared" si="101"/>
        <v>4.18</v>
      </c>
      <c r="FN55" s="4" t="str">
        <f t="shared" si="186"/>
        <v/>
      </c>
      <c r="FO55" s="3">
        <v>1.37</v>
      </c>
      <c r="FP55" s="3">
        <f t="shared" si="103"/>
        <v>1.37</v>
      </c>
      <c r="FQ55" s="4" t="str">
        <f t="shared" si="187"/>
        <v/>
      </c>
      <c r="FR55" s="3">
        <v>3.04</v>
      </c>
      <c r="FS55" s="3">
        <f t="shared" si="105"/>
        <v>3.04</v>
      </c>
      <c r="FT55" s="4">
        <f t="shared" si="188"/>
        <v>3.04</v>
      </c>
      <c r="FU55" s="3">
        <v>0.2</v>
      </c>
      <c r="FV55" s="3">
        <f t="shared" si="107"/>
        <v>0.2</v>
      </c>
      <c r="FW55" s="4">
        <f t="shared" si="189"/>
        <v>0.2</v>
      </c>
      <c r="FX55" s="3">
        <v>0.39</v>
      </c>
      <c r="FY55" s="3">
        <f t="shared" si="109"/>
        <v>0.39</v>
      </c>
      <c r="FZ55" s="21">
        <f t="shared" si="190"/>
        <v>0.39</v>
      </c>
      <c r="GB55" s="20" t="s">
        <v>449</v>
      </c>
      <c r="GC55" s="3">
        <v>0.85</v>
      </c>
      <c r="GD55" s="3">
        <f t="shared" si="111"/>
        <v>0.85</v>
      </c>
      <c r="GE55" s="4">
        <f t="shared" si="191"/>
        <v>0.85</v>
      </c>
      <c r="GF55" s="3">
        <v>0.45</v>
      </c>
      <c r="GG55" s="3">
        <f t="shared" si="113"/>
        <v>0.45</v>
      </c>
      <c r="GH55" s="4">
        <f t="shared" si="192"/>
        <v>0.45</v>
      </c>
      <c r="GI55" s="3">
        <v>0.15</v>
      </c>
      <c r="GJ55" s="3">
        <f t="shared" si="115"/>
        <v>0.15</v>
      </c>
      <c r="GK55" s="4">
        <f t="shared" si="193"/>
        <v>0.15</v>
      </c>
      <c r="GL55" s="3">
        <v>1.17</v>
      </c>
      <c r="GM55" s="3">
        <f t="shared" si="117"/>
        <v>1.17</v>
      </c>
      <c r="GN55" s="4">
        <f t="shared" si="194"/>
        <v>1.17</v>
      </c>
      <c r="GO55" s="3">
        <v>2.21</v>
      </c>
      <c r="GP55" s="3">
        <f t="shared" si="119"/>
        <v>2.21</v>
      </c>
      <c r="GQ55" s="4">
        <f t="shared" si="195"/>
        <v>2.21</v>
      </c>
      <c r="GR55" s="3">
        <v>0.85</v>
      </c>
      <c r="GS55" s="3">
        <f t="shared" si="121"/>
        <v>0.85</v>
      </c>
      <c r="GT55" s="4" t="str">
        <f t="shared" si="196"/>
        <v/>
      </c>
      <c r="GU55" s="3">
        <v>0.33</v>
      </c>
      <c r="GV55" s="3">
        <f t="shared" si="123"/>
        <v>0.33</v>
      </c>
      <c r="GW55" s="4">
        <f t="shared" si="197"/>
        <v>0.33</v>
      </c>
      <c r="GX55" s="3">
        <v>1.89</v>
      </c>
      <c r="GY55" s="3">
        <f t="shared" si="125"/>
        <v>1.89</v>
      </c>
      <c r="GZ55" s="21">
        <f t="shared" si="198"/>
        <v>1.89</v>
      </c>
    </row>
    <row r="56" spans="2:208">
      <c r="B56" s="20" t="s">
        <v>450</v>
      </c>
      <c r="C56" s="3">
        <v>3.03</v>
      </c>
      <c r="D56" s="3">
        <f t="shared" si="128"/>
        <v>3.03</v>
      </c>
      <c r="E56" s="4">
        <f t="shared" si="129"/>
        <v>3.03</v>
      </c>
      <c r="F56" s="3">
        <v>4.3899999999999997</v>
      </c>
      <c r="G56" s="3">
        <f t="shared" si="130"/>
        <v>4.3899999999999997</v>
      </c>
      <c r="H56" s="4">
        <f t="shared" si="131"/>
        <v>4.3899999999999997</v>
      </c>
      <c r="I56" s="3">
        <v>4.7300000000000004</v>
      </c>
      <c r="J56" s="3">
        <f t="shared" si="132"/>
        <v>4.7300000000000004</v>
      </c>
      <c r="K56" s="4">
        <f t="shared" si="133"/>
        <v>4.7300000000000004</v>
      </c>
      <c r="L56" s="3">
        <v>5.64</v>
      </c>
      <c r="M56" s="3">
        <f t="shared" si="134"/>
        <v>5.64</v>
      </c>
      <c r="N56" s="4">
        <f t="shared" si="135"/>
        <v>5.64</v>
      </c>
      <c r="O56" s="3">
        <v>4.33</v>
      </c>
      <c r="P56" s="3">
        <f t="shared" si="136"/>
        <v>4.33</v>
      </c>
      <c r="Q56" s="4">
        <f t="shared" si="137"/>
        <v>4.33</v>
      </c>
      <c r="R56" s="3">
        <v>4.8600000000000003</v>
      </c>
      <c r="S56" s="3">
        <f t="shared" si="138"/>
        <v>4.8600000000000003</v>
      </c>
      <c r="T56" s="4">
        <f t="shared" si="139"/>
        <v>4.8600000000000003</v>
      </c>
      <c r="U56" s="3">
        <v>1.73</v>
      </c>
      <c r="V56" s="3">
        <f t="shared" si="140"/>
        <v>1.73</v>
      </c>
      <c r="W56" s="4">
        <f t="shared" si="141"/>
        <v>1.73</v>
      </c>
      <c r="X56" s="3">
        <v>2.2000000000000002</v>
      </c>
      <c r="Y56" s="3">
        <f t="shared" si="142"/>
        <v>2.2000000000000002</v>
      </c>
      <c r="Z56" s="21">
        <f t="shared" si="143"/>
        <v>2.2000000000000002</v>
      </c>
      <c r="AB56" s="20" t="s">
        <v>451</v>
      </c>
      <c r="AC56" s="3">
        <v>2.84</v>
      </c>
      <c r="AD56" s="3">
        <f t="shared" si="144"/>
        <v>2.84</v>
      </c>
      <c r="AE56" s="4">
        <f t="shared" si="145"/>
        <v>2.84</v>
      </c>
      <c r="AF56" s="3">
        <v>5.51</v>
      </c>
      <c r="AG56" s="3">
        <f t="shared" si="146"/>
        <v>5.51</v>
      </c>
      <c r="AH56" s="4">
        <f t="shared" si="147"/>
        <v>5.51</v>
      </c>
      <c r="AI56" s="3">
        <v>5.18</v>
      </c>
      <c r="AJ56" s="3">
        <f t="shared" si="148"/>
        <v>5.18</v>
      </c>
      <c r="AK56" s="4">
        <f t="shared" si="149"/>
        <v>5.18</v>
      </c>
      <c r="AL56" s="3">
        <v>6.05</v>
      </c>
      <c r="AM56" s="3">
        <f t="shared" si="150"/>
        <v>6.05</v>
      </c>
      <c r="AN56" s="4">
        <f t="shared" si="151"/>
        <v>6.05</v>
      </c>
      <c r="AO56" s="3">
        <v>0</v>
      </c>
      <c r="AP56" s="3" t="str">
        <f t="shared" si="152"/>
        <v/>
      </c>
      <c r="AQ56" s="4" t="str">
        <f t="shared" si="153"/>
        <v/>
      </c>
      <c r="AR56" s="3">
        <v>3.72</v>
      </c>
      <c r="AS56" s="3">
        <f t="shared" si="154"/>
        <v>3.72</v>
      </c>
      <c r="AT56" s="4">
        <f t="shared" si="155"/>
        <v>3.72</v>
      </c>
      <c r="AU56" s="3">
        <v>3.09</v>
      </c>
      <c r="AV56" s="3">
        <f t="shared" si="156"/>
        <v>3.09</v>
      </c>
      <c r="AW56" s="4">
        <f t="shared" si="157"/>
        <v>3.09</v>
      </c>
      <c r="AX56" s="3">
        <v>4.1100000000000003</v>
      </c>
      <c r="AY56" s="3">
        <f t="shared" si="158"/>
        <v>4.1100000000000003</v>
      </c>
      <c r="AZ56" s="21" t="str">
        <f t="shared" si="31"/>
        <v/>
      </c>
      <c r="BB56" s="20" t="s">
        <v>452</v>
      </c>
      <c r="BC56" s="3">
        <v>1.85</v>
      </c>
      <c r="BD56" s="3">
        <f t="shared" si="32"/>
        <v>1.85</v>
      </c>
      <c r="BE56" s="4" t="str">
        <f t="shared" si="33"/>
        <v/>
      </c>
      <c r="BF56" s="3">
        <v>4.28</v>
      </c>
      <c r="BG56" s="3">
        <f t="shared" si="34"/>
        <v>4.28</v>
      </c>
      <c r="BH56" s="4">
        <f t="shared" si="35"/>
        <v>4.28</v>
      </c>
      <c r="BI56" s="3">
        <v>3.21</v>
      </c>
      <c r="BJ56" s="3">
        <f t="shared" si="36"/>
        <v>3.21</v>
      </c>
      <c r="BK56" s="4" t="str">
        <f t="shared" si="37"/>
        <v/>
      </c>
      <c r="BL56" s="3">
        <v>4.3499999999999996</v>
      </c>
      <c r="BM56" s="3">
        <f t="shared" si="38"/>
        <v>4.3499999999999996</v>
      </c>
      <c r="BN56" s="4">
        <f t="shared" si="39"/>
        <v>4.3499999999999996</v>
      </c>
      <c r="BO56" s="3">
        <v>3.68</v>
      </c>
      <c r="BP56" s="3">
        <f t="shared" si="40"/>
        <v>3.68</v>
      </c>
      <c r="BQ56" s="4">
        <f t="shared" si="41"/>
        <v>3.68</v>
      </c>
      <c r="BR56" s="3">
        <v>3.12</v>
      </c>
      <c r="BS56" s="3">
        <f t="shared" si="42"/>
        <v>3.12</v>
      </c>
      <c r="BT56" s="4">
        <f t="shared" si="43"/>
        <v>3.12</v>
      </c>
      <c r="BU56" s="3">
        <v>1.62</v>
      </c>
      <c r="BV56" s="3">
        <f t="shared" si="44"/>
        <v>1.62</v>
      </c>
      <c r="BW56" s="4">
        <f t="shared" si="45"/>
        <v>1.62</v>
      </c>
      <c r="BX56" s="3">
        <v>1.25</v>
      </c>
      <c r="BY56" s="3">
        <f t="shared" si="46"/>
        <v>1.25</v>
      </c>
      <c r="BZ56" s="21">
        <f t="shared" si="47"/>
        <v>1.25</v>
      </c>
      <c r="CB56" s="20" t="s">
        <v>453</v>
      </c>
      <c r="CC56" s="3">
        <v>4.1500000000000004</v>
      </c>
      <c r="CD56" s="3">
        <f t="shared" si="48"/>
        <v>4.1500000000000004</v>
      </c>
      <c r="CE56" s="4">
        <f t="shared" si="159"/>
        <v>4.1500000000000004</v>
      </c>
      <c r="CF56" s="3">
        <v>6.12</v>
      </c>
      <c r="CG56" s="3">
        <f t="shared" si="50"/>
        <v>6.12</v>
      </c>
      <c r="CH56" s="4">
        <f t="shared" si="160"/>
        <v>6.12</v>
      </c>
      <c r="CI56" s="3">
        <v>3.74</v>
      </c>
      <c r="CJ56" s="3">
        <f t="shared" si="52"/>
        <v>3.74</v>
      </c>
      <c r="CK56" s="4">
        <f t="shared" si="161"/>
        <v>3.74</v>
      </c>
      <c r="CL56" s="3">
        <v>5.15</v>
      </c>
      <c r="CM56" s="3">
        <f t="shared" si="54"/>
        <v>5.15</v>
      </c>
      <c r="CN56" s="4">
        <f t="shared" si="162"/>
        <v>5.15</v>
      </c>
      <c r="CO56" s="3">
        <v>5.57</v>
      </c>
      <c r="CP56" s="3">
        <f t="shared" si="56"/>
        <v>5.57</v>
      </c>
      <c r="CQ56" s="4">
        <f t="shared" si="163"/>
        <v>5.57</v>
      </c>
      <c r="CR56" s="3">
        <v>1.85</v>
      </c>
      <c r="CS56" s="3">
        <f t="shared" si="58"/>
        <v>1.85</v>
      </c>
      <c r="CT56" s="4">
        <f t="shared" si="164"/>
        <v>1.85</v>
      </c>
      <c r="CU56" s="3">
        <v>3.73</v>
      </c>
      <c r="CV56" s="3">
        <f t="shared" si="60"/>
        <v>3.73</v>
      </c>
      <c r="CW56" s="4">
        <f t="shared" si="165"/>
        <v>3.73</v>
      </c>
      <c r="CX56" s="3">
        <v>3.09</v>
      </c>
      <c r="CY56" s="3">
        <f t="shared" si="62"/>
        <v>3.09</v>
      </c>
      <c r="CZ56" s="21">
        <f t="shared" si="166"/>
        <v>3.09</v>
      </c>
      <c r="DB56" s="20" t="s">
        <v>454</v>
      </c>
      <c r="DC56" s="3">
        <v>2.21</v>
      </c>
      <c r="DD56" s="3">
        <f t="shared" si="64"/>
        <v>2.21</v>
      </c>
      <c r="DE56" s="4">
        <f t="shared" si="167"/>
        <v>2.21</v>
      </c>
      <c r="DF56" s="3">
        <v>3.04</v>
      </c>
      <c r="DG56" s="3">
        <f t="shared" si="66"/>
        <v>3.04</v>
      </c>
      <c r="DH56" s="4" t="str">
        <f t="shared" si="168"/>
        <v/>
      </c>
      <c r="DI56" s="3">
        <v>2.59</v>
      </c>
      <c r="DJ56" s="3">
        <f t="shared" si="68"/>
        <v>2.59</v>
      </c>
      <c r="DK56" s="4">
        <f t="shared" si="169"/>
        <v>2.59</v>
      </c>
      <c r="DL56" s="3">
        <v>2.59</v>
      </c>
      <c r="DM56" s="3">
        <f t="shared" si="127"/>
        <v>2.59</v>
      </c>
      <c r="DN56" s="4">
        <f t="shared" si="170"/>
        <v>2.59</v>
      </c>
      <c r="DO56" s="3">
        <v>6.72</v>
      </c>
      <c r="DP56" s="3">
        <f t="shared" si="71"/>
        <v>6.72</v>
      </c>
      <c r="DQ56" s="4" t="str">
        <f t="shared" si="171"/>
        <v/>
      </c>
      <c r="DR56" s="3">
        <v>1.37</v>
      </c>
      <c r="DS56" s="3">
        <f t="shared" si="73"/>
        <v>1.37</v>
      </c>
      <c r="DT56" s="4">
        <f t="shared" si="172"/>
        <v>1.37</v>
      </c>
      <c r="DU56" s="3">
        <v>1.17</v>
      </c>
      <c r="DV56" s="3">
        <f t="shared" si="75"/>
        <v>1.17</v>
      </c>
      <c r="DW56" s="4">
        <f t="shared" si="173"/>
        <v>1.17</v>
      </c>
      <c r="DX56" s="3">
        <v>3.04</v>
      </c>
      <c r="DY56" s="3">
        <f t="shared" si="77"/>
        <v>3.04</v>
      </c>
      <c r="DZ56" s="21">
        <f t="shared" si="174"/>
        <v>3.04</v>
      </c>
      <c r="EB56" s="20" t="s">
        <v>455</v>
      </c>
      <c r="EC56" s="3">
        <v>0.53</v>
      </c>
      <c r="ED56" s="3">
        <f t="shared" si="79"/>
        <v>0.53</v>
      </c>
      <c r="EE56" s="4">
        <f t="shared" si="175"/>
        <v>0.53</v>
      </c>
      <c r="EF56" s="3">
        <v>3.56</v>
      </c>
      <c r="EG56" s="3">
        <f t="shared" si="81"/>
        <v>3.56</v>
      </c>
      <c r="EH56" s="4">
        <f t="shared" si="176"/>
        <v>3.56</v>
      </c>
      <c r="EI56" s="3">
        <v>0.39</v>
      </c>
      <c r="EJ56" s="3">
        <f t="shared" si="83"/>
        <v>0.39</v>
      </c>
      <c r="EK56" s="4">
        <f t="shared" si="177"/>
        <v>0.39</v>
      </c>
      <c r="EL56" s="3">
        <v>1.61</v>
      </c>
      <c r="EM56" s="3">
        <f t="shared" si="85"/>
        <v>1.61</v>
      </c>
      <c r="EN56" s="4">
        <f t="shared" si="178"/>
        <v>1.61</v>
      </c>
      <c r="EO56" s="3">
        <v>2.59</v>
      </c>
      <c r="EP56" s="3">
        <f t="shared" si="87"/>
        <v>2.59</v>
      </c>
      <c r="EQ56" s="4">
        <f t="shared" si="179"/>
        <v>2.59</v>
      </c>
      <c r="ER56" s="3">
        <v>1.61</v>
      </c>
      <c r="ES56" s="3">
        <f t="shared" si="89"/>
        <v>1.61</v>
      </c>
      <c r="ET56" s="4">
        <f t="shared" si="180"/>
        <v>1.61</v>
      </c>
      <c r="EU56" s="3">
        <v>0.73</v>
      </c>
      <c r="EV56" s="3">
        <f t="shared" si="91"/>
        <v>0.73</v>
      </c>
      <c r="EW56" s="4">
        <f t="shared" si="181"/>
        <v>0.73</v>
      </c>
      <c r="EX56" s="3">
        <v>1.17</v>
      </c>
      <c r="EY56" s="3">
        <f t="shared" si="93"/>
        <v>1.17</v>
      </c>
      <c r="EZ56" s="21">
        <f t="shared" si="182"/>
        <v>1.17</v>
      </c>
      <c r="FB56" s="20" t="s">
        <v>456</v>
      </c>
      <c r="FC56" s="3">
        <v>12.69</v>
      </c>
      <c r="FD56" s="3">
        <f t="shared" si="95"/>
        <v>12.69</v>
      </c>
      <c r="FE56" s="4">
        <f t="shared" si="183"/>
        <v>12.69</v>
      </c>
      <c r="FF56" s="3">
        <v>1.37</v>
      </c>
      <c r="FG56" s="3">
        <f t="shared" si="97"/>
        <v>1.37</v>
      </c>
      <c r="FH56" s="4">
        <f t="shared" si="184"/>
        <v>1.37</v>
      </c>
      <c r="FI56" s="3">
        <v>1.61</v>
      </c>
      <c r="FJ56" s="3">
        <f t="shared" si="99"/>
        <v>1.61</v>
      </c>
      <c r="FK56" s="4">
        <f t="shared" si="185"/>
        <v>1.61</v>
      </c>
      <c r="FL56" s="3">
        <v>3.56</v>
      </c>
      <c r="FM56" s="3">
        <f t="shared" si="101"/>
        <v>3.56</v>
      </c>
      <c r="FN56" s="4">
        <f t="shared" si="186"/>
        <v>3.56</v>
      </c>
      <c r="FO56" s="3">
        <v>1.89</v>
      </c>
      <c r="FP56" s="3">
        <f t="shared" si="103"/>
        <v>1.89</v>
      </c>
      <c r="FQ56" s="4">
        <f t="shared" si="187"/>
        <v>1.89</v>
      </c>
      <c r="FR56" s="3">
        <v>2.21</v>
      </c>
      <c r="FS56" s="3">
        <f t="shared" si="105"/>
        <v>2.21</v>
      </c>
      <c r="FT56" s="4">
        <f t="shared" si="188"/>
        <v>2.21</v>
      </c>
      <c r="FU56" s="3">
        <v>0.17</v>
      </c>
      <c r="FV56" s="3">
        <f t="shared" si="107"/>
        <v>0.17</v>
      </c>
      <c r="FW56" s="4">
        <f t="shared" si="189"/>
        <v>0.17</v>
      </c>
      <c r="FX56" s="3">
        <v>0.2</v>
      </c>
      <c r="FY56" s="3">
        <f t="shared" si="109"/>
        <v>0.2</v>
      </c>
      <c r="FZ56" s="21">
        <f t="shared" si="190"/>
        <v>0.2</v>
      </c>
      <c r="GB56" s="20" t="s">
        <v>457</v>
      </c>
      <c r="GC56" s="3">
        <v>0</v>
      </c>
      <c r="GD56" s="3" t="str">
        <f t="shared" si="111"/>
        <v/>
      </c>
      <c r="GE56" s="4" t="str">
        <f t="shared" si="191"/>
        <v/>
      </c>
      <c r="GF56" s="3">
        <v>0.45</v>
      </c>
      <c r="GG56" s="3">
        <f t="shared" si="113"/>
        <v>0.45</v>
      </c>
      <c r="GH56" s="4">
        <f t="shared" si="192"/>
        <v>0.45</v>
      </c>
      <c r="GI56" s="3">
        <v>0.15</v>
      </c>
      <c r="GJ56" s="3">
        <f t="shared" si="115"/>
        <v>0.15</v>
      </c>
      <c r="GK56" s="4">
        <f t="shared" si="193"/>
        <v>0.15</v>
      </c>
      <c r="GL56" s="3">
        <v>1.17</v>
      </c>
      <c r="GM56" s="3">
        <f t="shared" si="117"/>
        <v>1.17</v>
      </c>
      <c r="GN56" s="4">
        <f t="shared" si="194"/>
        <v>1.17</v>
      </c>
      <c r="GO56" s="3">
        <v>2.21</v>
      </c>
      <c r="GP56" s="3">
        <f t="shared" si="119"/>
        <v>2.21</v>
      </c>
      <c r="GQ56" s="4">
        <f t="shared" si="195"/>
        <v>2.21</v>
      </c>
      <c r="GR56" s="3">
        <v>0.73</v>
      </c>
      <c r="GS56" s="3">
        <f t="shared" si="121"/>
        <v>0.73</v>
      </c>
      <c r="GT56" s="4">
        <f t="shared" si="196"/>
        <v>0.73</v>
      </c>
      <c r="GU56" s="3">
        <v>0.28000000000000003</v>
      </c>
      <c r="GV56" s="3">
        <f t="shared" si="123"/>
        <v>0.28000000000000003</v>
      </c>
      <c r="GW56" s="4">
        <f t="shared" si="197"/>
        <v>0.28000000000000003</v>
      </c>
      <c r="GX56" s="3">
        <v>2.21</v>
      </c>
      <c r="GY56" s="3">
        <f t="shared" si="125"/>
        <v>2.21</v>
      </c>
      <c r="GZ56" s="21">
        <f t="shared" si="198"/>
        <v>2.21</v>
      </c>
    </row>
    <row r="57" spans="2:208">
      <c r="B57" s="20" t="s">
        <v>458</v>
      </c>
      <c r="C57" s="3">
        <v>3</v>
      </c>
      <c r="D57" s="3">
        <f t="shared" si="128"/>
        <v>3</v>
      </c>
      <c r="E57" s="4">
        <f t="shared" si="129"/>
        <v>3</v>
      </c>
      <c r="F57" s="3">
        <v>4.41</v>
      </c>
      <c r="G57" s="3">
        <f t="shared" si="130"/>
        <v>4.41</v>
      </c>
      <c r="H57" s="4">
        <f t="shared" si="131"/>
        <v>4.41</v>
      </c>
      <c r="I57" s="3">
        <v>5.24</v>
      </c>
      <c r="J57" s="3">
        <f t="shared" si="132"/>
        <v>5.24</v>
      </c>
      <c r="K57" s="4">
        <f t="shared" si="133"/>
        <v>5.24</v>
      </c>
      <c r="L57" s="3">
        <v>5.6</v>
      </c>
      <c r="M57" s="3">
        <f t="shared" si="134"/>
        <v>5.6</v>
      </c>
      <c r="N57" s="4">
        <f t="shared" si="135"/>
        <v>5.6</v>
      </c>
      <c r="O57" s="3">
        <v>4.32</v>
      </c>
      <c r="P57" s="3">
        <f t="shared" si="136"/>
        <v>4.32</v>
      </c>
      <c r="Q57" s="4">
        <f t="shared" si="137"/>
        <v>4.32</v>
      </c>
      <c r="R57" s="3">
        <v>4.83</v>
      </c>
      <c r="S57" s="3">
        <f t="shared" si="138"/>
        <v>4.83</v>
      </c>
      <c r="T57" s="4">
        <f t="shared" si="139"/>
        <v>4.83</v>
      </c>
      <c r="U57" s="3">
        <v>1.72</v>
      </c>
      <c r="V57" s="3">
        <f t="shared" si="140"/>
        <v>1.72</v>
      </c>
      <c r="W57" s="4">
        <f t="shared" si="141"/>
        <v>1.72</v>
      </c>
      <c r="X57" s="3">
        <v>2.29</v>
      </c>
      <c r="Y57" s="3">
        <f t="shared" si="142"/>
        <v>2.29</v>
      </c>
      <c r="Z57" s="21">
        <f t="shared" si="143"/>
        <v>2.29</v>
      </c>
      <c r="AB57" s="20" t="s">
        <v>459</v>
      </c>
      <c r="AC57" s="3">
        <v>2.86</v>
      </c>
      <c r="AD57" s="3">
        <f t="shared" si="144"/>
        <v>2.86</v>
      </c>
      <c r="AE57" s="4">
        <f t="shared" si="145"/>
        <v>2.86</v>
      </c>
      <c r="AF57" s="3">
        <v>5.53</v>
      </c>
      <c r="AG57" s="3">
        <f t="shared" si="146"/>
        <v>5.53</v>
      </c>
      <c r="AH57" s="4">
        <f t="shared" si="147"/>
        <v>5.53</v>
      </c>
      <c r="AI57" s="3">
        <v>5.16</v>
      </c>
      <c r="AJ57" s="3">
        <f t="shared" si="148"/>
        <v>5.16</v>
      </c>
      <c r="AK57" s="4">
        <f t="shared" si="149"/>
        <v>5.16</v>
      </c>
      <c r="AL57" s="3">
        <v>4.09</v>
      </c>
      <c r="AM57" s="3">
        <f t="shared" si="150"/>
        <v>4.09</v>
      </c>
      <c r="AN57" s="4" t="str">
        <f t="shared" si="151"/>
        <v/>
      </c>
      <c r="AO57" s="3">
        <v>0</v>
      </c>
      <c r="AP57" s="3" t="str">
        <f t="shared" si="152"/>
        <v/>
      </c>
      <c r="AQ57" s="4" t="str">
        <f t="shared" si="153"/>
        <v/>
      </c>
      <c r="AR57" s="3">
        <v>0.76</v>
      </c>
      <c r="AS57" s="3">
        <f t="shared" si="154"/>
        <v>0.76</v>
      </c>
      <c r="AT57" s="4" t="str">
        <f t="shared" si="155"/>
        <v/>
      </c>
      <c r="AU57" s="3">
        <v>3.05</v>
      </c>
      <c r="AV57" s="3">
        <f t="shared" si="156"/>
        <v>3.05</v>
      </c>
      <c r="AW57" s="4">
        <f t="shared" si="157"/>
        <v>3.05</v>
      </c>
      <c r="AX57" s="3">
        <v>3.45</v>
      </c>
      <c r="AY57" s="3">
        <f t="shared" si="158"/>
        <v>3.45</v>
      </c>
      <c r="AZ57" s="21">
        <f t="shared" si="31"/>
        <v>3.45</v>
      </c>
      <c r="BB57" s="20" t="s">
        <v>460</v>
      </c>
      <c r="BC57" s="3">
        <v>3.93</v>
      </c>
      <c r="BD57" s="3">
        <f t="shared" si="32"/>
        <v>3.93</v>
      </c>
      <c r="BE57" s="4">
        <f t="shared" si="33"/>
        <v>3.93</v>
      </c>
      <c r="BF57" s="3">
        <v>2.78</v>
      </c>
      <c r="BG57" s="3">
        <f t="shared" si="34"/>
        <v>2.78</v>
      </c>
      <c r="BH57" s="4" t="str">
        <f t="shared" si="35"/>
        <v/>
      </c>
      <c r="BI57" s="3">
        <v>4.13</v>
      </c>
      <c r="BJ57" s="3">
        <f t="shared" si="36"/>
        <v>4.13</v>
      </c>
      <c r="BK57" s="4">
        <f t="shared" si="37"/>
        <v>4.13</v>
      </c>
      <c r="BL57" s="3">
        <v>4.2699999999999996</v>
      </c>
      <c r="BM57" s="3">
        <f t="shared" si="38"/>
        <v>4.2699999999999996</v>
      </c>
      <c r="BN57" s="4">
        <f t="shared" si="39"/>
        <v>4.2699999999999996</v>
      </c>
      <c r="BO57" s="3">
        <v>3.62</v>
      </c>
      <c r="BP57" s="3">
        <f t="shared" si="40"/>
        <v>3.62</v>
      </c>
      <c r="BQ57" s="4">
        <f t="shared" si="41"/>
        <v>3.62</v>
      </c>
      <c r="BR57" s="3">
        <v>3.12</v>
      </c>
      <c r="BS57" s="3">
        <f t="shared" si="42"/>
        <v>3.12</v>
      </c>
      <c r="BT57" s="4">
        <f t="shared" si="43"/>
        <v>3.12</v>
      </c>
      <c r="BU57" s="3">
        <v>1.63</v>
      </c>
      <c r="BV57" s="3">
        <f t="shared" si="44"/>
        <v>1.63</v>
      </c>
      <c r="BW57" s="4">
        <f t="shared" si="45"/>
        <v>1.63</v>
      </c>
      <c r="BX57" s="3">
        <v>1.26</v>
      </c>
      <c r="BY57" s="3">
        <f t="shared" si="46"/>
        <v>1.26</v>
      </c>
      <c r="BZ57" s="21">
        <f t="shared" si="47"/>
        <v>1.26</v>
      </c>
      <c r="CB57" s="20" t="s">
        <v>461</v>
      </c>
      <c r="CC57" s="3">
        <v>0.09</v>
      </c>
      <c r="CD57" s="3">
        <f t="shared" si="48"/>
        <v>0.09</v>
      </c>
      <c r="CE57" s="4" t="str">
        <f t="shared" si="159"/>
        <v/>
      </c>
      <c r="CF57" s="3">
        <v>6.06</v>
      </c>
      <c r="CG57" s="3">
        <f t="shared" si="50"/>
        <v>6.06</v>
      </c>
      <c r="CH57" s="4">
        <f t="shared" si="160"/>
        <v>6.06</v>
      </c>
      <c r="CI57" s="3">
        <v>3.8</v>
      </c>
      <c r="CJ57" s="3">
        <f t="shared" si="52"/>
        <v>3.8</v>
      </c>
      <c r="CK57" s="4">
        <f t="shared" si="161"/>
        <v>3.8</v>
      </c>
      <c r="CL57" s="3">
        <v>5.18</v>
      </c>
      <c r="CM57" s="3">
        <f t="shared" si="54"/>
        <v>5.18</v>
      </c>
      <c r="CN57" s="4">
        <f t="shared" si="162"/>
        <v>5.18</v>
      </c>
      <c r="CO57" s="3">
        <v>3.48</v>
      </c>
      <c r="CP57" s="3">
        <f t="shared" si="56"/>
        <v>3.48</v>
      </c>
      <c r="CQ57" s="4" t="str">
        <f t="shared" si="163"/>
        <v/>
      </c>
      <c r="CR57" s="3">
        <v>1.86</v>
      </c>
      <c r="CS57" s="3">
        <f t="shared" si="58"/>
        <v>1.86</v>
      </c>
      <c r="CT57" s="4">
        <f t="shared" si="164"/>
        <v>1.86</v>
      </c>
      <c r="CU57" s="3">
        <v>3.76</v>
      </c>
      <c r="CV57" s="3">
        <f t="shared" si="60"/>
        <v>3.76</v>
      </c>
      <c r="CW57" s="4">
        <f t="shared" si="165"/>
        <v>3.76</v>
      </c>
      <c r="CX57" s="3">
        <v>3.86</v>
      </c>
      <c r="CY57" s="3">
        <f t="shared" si="62"/>
        <v>3.86</v>
      </c>
      <c r="CZ57" s="21" t="str">
        <f t="shared" si="166"/>
        <v/>
      </c>
      <c r="DB57" s="20" t="s">
        <v>462</v>
      </c>
      <c r="DC57" s="3">
        <v>2.21</v>
      </c>
      <c r="DD57" s="3">
        <f t="shared" si="64"/>
        <v>2.21</v>
      </c>
      <c r="DE57" s="4">
        <f t="shared" si="167"/>
        <v>2.21</v>
      </c>
      <c r="DF57" s="3">
        <v>1.17</v>
      </c>
      <c r="DG57" s="3">
        <f t="shared" si="66"/>
        <v>1.17</v>
      </c>
      <c r="DH57" s="4">
        <f t="shared" si="168"/>
        <v>1.17</v>
      </c>
      <c r="DI57" s="3">
        <v>2.59</v>
      </c>
      <c r="DJ57" s="3">
        <f t="shared" si="68"/>
        <v>2.59</v>
      </c>
      <c r="DK57" s="4">
        <f t="shared" si="169"/>
        <v>2.59</v>
      </c>
      <c r="DL57" s="3">
        <v>3.56</v>
      </c>
      <c r="DM57" s="3">
        <f t="shared" si="127"/>
        <v>3.56</v>
      </c>
      <c r="DN57" s="4">
        <f t="shared" si="170"/>
        <v>3.56</v>
      </c>
      <c r="DO57" s="3">
        <v>1.37</v>
      </c>
      <c r="DP57" s="3">
        <f t="shared" si="71"/>
        <v>1.37</v>
      </c>
      <c r="DQ57" s="4">
        <f t="shared" si="171"/>
        <v>1.37</v>
      </c>
      <c r="DR57" s="3">
        <v>99.99</v>
      </c>
      <c r="DS57" s="3" t="str">
        <f t="shared" si="73"/>
        <v/>
      </c>
      <c r="DT57" s="4" t="str">
        <f t="shared" si="172"/>
        <v/>
      </c>
      <c r="DU57" s="3">
        <v>1.37</v>
      </c>
      <c r="DV57" s="3">
        <f t="shared" si="75"/>
        <v>1.37</v>
      </c>
      <c r="DW57" s="4">
        <f t="shared" si="173"/>
        <v>1.37</v>
      </c>
      <c r="DX57" s="3">
        <v>0</v>
      </c>
      <c r="DY57" s="3" t="str">
        <f t="shared" si="77"/>
        <v/>
      </c>
      <c r="DZ57" s="21" t="str">
        <f t="shared" si="174"/>
        <v/>
      </c>
      <c r="EB57" s="20" t="s">
        <v>463</v>
      </c>
      <c r="EC57" s="3">
        <v>1.37</v>
      </c>
      <c r="ED57" s="3">
        <f t="shared" si="79"/>
        <v>1.37</v>
      </c>
      <c r="EE57" s="4" t="str">
        <f t="shared" si="175"/>
        <v/>
      </c>
      <c r="EF57" s="3">
        <v>0.45</v>
      </c>
      <c r="EG57" s="3">
        <f t="shared" si="81"/>
        <v>0.45</v>
      </c>
      <c r="EH57" s="4" t="str">
        <f t="shared" si="176"/>
        <v/>
      </c>
      <c r="EI57" s="3">
        <v>0.15</v>
      </c>
      <c r="EJ57" s="3">
        <f t="shared" si="83"/>
        <v>0.15</v>
      </c>
      <c r="EK57" s="4">
        <f t="shared" si="177"/>
        <v>0.15</v>
      </c>
      <c r="EL57" s="3">
        <v>3.56</v>
      </c>
      <c r="EM57" s="3">
        <f t="shared" si="85"/>
        <v>3.56</v>
      </c>
      <c r="EN57" s="4" t="str">
        <f t="shared" si="178"/>
        <v/>
      </c>
      <c r="EO57" s="3">
        <v>2.21</v>
      </c>
      <c r="EP57" s="3">
        <f t="shared" si="87"/>
        <v>2.21</v>
      </c>
      <c r="EQ57" s="4">
        <f t="shared" si="179"/>
        <v>2.21</v>
      </c>
      <c r="ER57" s="3">
        <v>1.61</v>
      </c>
      <c r="ES57" s="3">
        <f t="shared" si="89"/>
        <v>1.61</v>
      </c>
      <c r="ET57" s="4">
        <f t="shared" si="180"/>
        <v>1.61</v>
      </c>
      <c r="EU57" s="3">
        <v>0.45</v>
      </c>
      <c r="EV57" s="3">
        <f t="shared" si="91"/>
        <v>0.45</v>
      </c>
      <c r="EW57" s="4" t="str">
        <f t="shared" si="181"/>
        <v/>
      </c>
      <c r="EX57" s="3">
        <v>1.37</v>
      </c>
      <c r="EY57" s="3">
        <f t="shared" si="93"/>
        <v>1.37</v>
      </c>
      <c r="EZ57" s="21">
        <f t="shared" si="182"/>
        <v>1.37</v>
      </c>
      <c r="FB57" s="20" t="s">
        <v>464</v>
      </c>
      <c r="FC57" s="3">
        <v>12.69</v>
      </c>
      <c r="FD57" s="3">
        <f t="shared" si="95"/>
        <v>12.69</v>
      </c>
      <c r="FE57" s="4">
        <f t="shared" si="183"/>
        <v>12.69</v>
      </c>
      <c r="FF57" s="3">
        <v>1.37</v>
      </c>
      <c r="FG57" s="3">
        <f t="shared" si="97"/>
        <v>1.37</v>
      </c>
      <c r="FH57" s="4">
        <f t="shared" si="184"/>
        <v>1.37</v>
      </c>
      <c r="FI57" s="3">
        <v>1.61</v>
      </c>
      <c r="FJ57" s="3">
        <f t="shared" si="99"/>
        <v>1.61</v>
      </c>
      <c r="FK57" s="4">
        <f t="shared" si="185"/>
        <v>1.61</v>
      </c>
      <c r="FL57" s="3">
        <v>3.56</v>
      </c>
      <c r="FM57" s="3">
        <f t="shared" si="101"/>
        <v>3.56</v>
      </c>
      <c r="FN57" s="4">
        <f t="shared" si="186"/>
        <v>3.56</v>
      </c>
      <c r="FO57" s="3">
        <v>1.89</v>
      </c>
      <c r="FP57" s="3">
        <f t="shared" si="103"/>
        <v>1.89</v>
      </c>
      <c r="FQ57" s="4">
        <f t="shared" si="187"/>
        <v>1.89</v>
      </c>
      <c r="FR57" s="3">
        <v>2.59</v>
      </c>
      <c r="FS57" s="3">
        <f t="shared" si="105"/>
        <v>2.59</v>
      </c>
      <c r="FT57" s="4">
        <f t="shared" si="188"/>
        <v>2.59</v>
      </c>
      <c r="FU57" s="3">
        <v>0.2</v>
      </c>
      <c r="FV57" s="3">
        <f t="shared" si="107"/>
        <v>0.2</v>
      </c>
      <c r="FW57" s="4">
        <f t="shared" si="189"/>
        <v>0.2</v>
      </c>
      <c r="FX57" s="3">
        <v>0.2</v>
      </c>
      <c r="FY57" s="3">
        <f t="shared" si="109"/>
        <v>0.2</v>
      </c>
      <c r="FZ57" s="21">
        <f t="shared" si="190"/>
        <v>0.2</v>
      </c>
      <c r="GB57" s="20" t="s">
        <v>465</v>
      </c>
      <c r="GC57" s="3">
        <v>0.85</v>
      </c>
      <c r="GD57" s="3">
        <f t="shared" si="111"/>
        <v>0.85</v>
      </c>
      <c r="GE57" s="4">
        <f t="shared" si="191"/>
        <v>0.85</v>
      </c>
      <c r="GF57" s="3">
        <v>0.39</v>
      </c>
      <c r="GG57" s="3">
        <f t="shared" si="113"/>
        <v>0.39</v>
      </c>
      <c r="GH57" s="4">
        <f t="shared" si="192"/>
        <v>0.39</v>
      </c>
      <c r="GI57" s="3">
        <v>0.15</v>
      </c>
      <c r="GJ57" s="3">
        <f t="shared" si="115"/>
        <v>0.15</v>
      </c>
      <c r="GK57" s="4">
        <f t="shared" si="193"/>
        <v>0.15</v>
      </c>
      <c r="GL57" s="3">
        <v>1.17</v>
      </c>
      <c r="GM57" s="3">
        <f t="shared" si="117"/>
        <v>1.17</v>
      </c>
      <c r="GN57" s="4">
        <f t="shared" si="194"/>
        <v>1.17</v>
      </c>
      <c r="GO57" s="3">
        <v>1.89</v>
      </c>
      <c r="GP57" s="3">
        <f t="shared" si="119"/>
        <v>1.89</v>
      </c>
      <c r="GQ57" s="4">
        <f t="shared" si="195"/>
        <v>1.89</v>
      </c>
      <c r="GR57" s="3">
        <v>0.62</v>
      </c>
      <c r="GS57" s="3">
        <f t="shared" si="121"/>
        <v>0.62</v>
      </c>
      <c r="GT57" s="4">
        <f t="shared" si="196"/>
        <v>0.62</v>
      </c>
      <c r="GU57" s="3">
        <v>0.33</v>
      </c>
      <c r="GV57" s="3">
        <f t="shared" si="123"/>
        <v>0.33</v>
      </c>
      <c r="GW57" s="4">
        <f t="shared" si="197"/>
        <v>0.33</v>
      </c>
      <c r="GX57" s="3">
        <v>2.21</v>
      </c>
      <c r="GY57" s="3">
        <f t="shared" si="125"/>
        <v>2.21</v>
      </c>
      <c r="GZ57" s="21">
        <f t="shared" si="198"/>
        <v>2.21</v>
      </c>
    </row>
    <row r="58" spans="2:208">
      <c r="B58" s="20" t="s">
        <v>466</v>
      </c>
      <c r="C58" s="3">
        <v>3.03</v>
      </c>
      <c r="D58" s="3">
        <f t="shared" si="128"/>
        <v>3.03</v>
      </c>
      <c r="E58" s="4">
        <f t="shared" si="129"/>
        <v>3.03</v>
      </c>
      <c r="F58" s="3">
        <v>4.38</v>
      </c>
      <c r="G58" s="3">
        <f t="shared" si="130"/>
        <v>4.38</v>
      </c>
      <c r="H58" s="4">
        <f t="shared" si="131"/>
        <v>4.38</v>
      </c>
      <c r="I58" s="3">
        <v>5.28</v>
      </c>
      <c r="J58" s="3">
        <f t="shared" si="132"/>
        <v>5.28</v>
      </c>
      <c r="K58" s="4">
        <f t="shared" si="133"/>
        <v>5.28</v>
      </c>
      <c r="L58" s="3">
        <v>5.66</v>
      </c>
      <c r="M58" s="3">
        <f t="shared" si="134"/>
        <v>5.66</v>
      </c>
      <c r="N58" s="4">
        <f t="shared" si="135"/>
        <v>5.66</v>
      </c>
      <c r="O58" s="3">
        <v>0.84</v>
      </c>
      <c r="P58" s="3">
        <f t="shared" si="136"/>
        <v>0.84</v>
      </c>
      <c r="Q58" s="4" t="str">
        <f t="shared" si="137"/>
        <v/>
      </c>
      <c r="R58" s="3">
        <v>4.82</v>
      </c>
      <c r="S58" s="3">
        <f t="shared" si="138"/>
        <v>4.82</v>
      </c>
      <c r="T58" s="4">
        <f t="shared" si="139"/>
        <v>4.82</v>
      </c>
      <c r="U58" s="3">
        <v>1.8</v>
      </c>
      <c r="V58" s="3">
        <f t="shared" si="140"/>
        <v>1.8</v>
      </c>
      <c r="W58" s="4">
        <f t="shared" si="141"/>
        <v>1.8</v>
      </c>
      <c r="X58" s="3">
        <v>2.2599999999999998</v>
      </c>
      <c r="Y58" s="3">
        <f t="shared" si="142"/>
        <v>2.2599999999999998</v>
      </c>
      <c r="Z58" s="21">
        <f t="shared" si="143"/>
        <v>2.2599999999999998</v>
      </c>
      <c r="AB58" s="20" t="s">
        <v>467</v>
      </c>
      <c r="AC58" s="3">
        <v>2.84</v>
      </c>
      <c r="AD58" s="3">
        <f t="shared" si="144"/>
        <v>2.84</v>
      </c>
      <c r="AE58" s="4">
        <f t="shared" si="145"/>
        <v>2.84</v>
      </c>
      <c r="AF58" s="3">
        <v>5.48</v>
      </c>
      <c r="AG58" s="3">
        <f t="shared" si="146"/>
        <v>5.48</v>
      </c>
      <c r="AH58" s="4">
        <f t="shared" si="147"/>
        <v>5.48</v>
      </c>
      <c r="AI58" s="3">
        <v>5.19</v>
      </c>
      <c r="AJ58" s="3">
        <f t="shared" si="148"/>
        <v>5.19</v>
      </c>
      <c r="AK58" s="4">
        <f t="shared" si="149"/>
        <v>5.19</v>
      </c>
      <c r="AL58" s="3">
        <v>6.01</v>
      </c>
      <c r="AM58" s="3">
        <f t="shared" si="150"/>
        <v>6.01</v>
      </c>
      <c r="AN58" s="4">
        <f t="shared" si="151"/>
        <v>6.01</v>
      </c>
      <c r="AO58" s="3">
        <v>5.13</v>
      </c>
      <c r="AP58" s="3">
        <f t="shared" si="152"/>
        <v>5.13</v>
      </c>
      <c r="AQ58" s="4">
        <f t="shared" si="153"/>
        <v>5.13</v>
      </c>
      <c r="AR58" s="3">
        <v>3.72</v>
      </c>
      <c r="AS58" s="3">
        <f t="shared" si="154"/>
        <v>3.72</v>
      </c>
      <c r="AT58" s="4">
        <f t="shared" si="155"/>
        <v>3.72</v>
      </c>
      <c r="AU58" s="3">
        <v>3.02</v>
      </c>
      <c r="AV58" s="3">
        <f t="shared" si="156"/>
        <v>3.02</v>
      </c>
      <c r="AW58" s="4">
        <f t="shared" si="157"/>
        <v>3.02</v>
      </c>
      <c r="AX58" s="3">
        <v>2.57</v>
      </c>
      <c r="AY58" s="3">
        <f t="shared" si="158"/>
        <v>2.57</v>
      </c>
      <c r="AZ58" s="21" t="str">
        <f t="shared" si="31"/>
        <v/>
      </c>
      <c r="BB58" s="20" t="s">
        <v>468</v>
      </c>
      <c r="BC58" s="3">
        <v>3.93</v>
      </c>
      <c r="BD58" s="3">
        <f t="shared" si="32"/>
        <v>3.93</v>
      </c>
      <c r="BE58" s="4">
        <f t="shared" si="33"/>
        <v>3.93</v>
      </c>
      <c r="BF58" s="3">
        <v>4.28</v>
      </c>
      <c r="BG58" s="3">
        <f t="shared" si="34"/>
        <v>4.28</v>
      </c>
      <c r="BH58" s="4">
        <f t="shared" si="35"/>
        <v>4.28</v>
      </c>
      <c r="BI58" s="3">
        <v>4.1900000000000004</v>
      </c>
      <c r="BJ58" s="3">
        <f t="shared" si="36"/>
        <v>4.1900000000000004</v>
      </c>
      <c r="BK58" s="4">
        <f t="shared" si="37"/>
        <v>4.1900000000000004</v>
      </c>
      <c r="BL58" s="3">
        <v>4.29</v>
      </c>
      <c r="BM58" s="3">
        <f t="shared" si="38"/>
        <v>4.29</v>
      </c>
      <c r="BN58" s="4">
        <f t="shared" si="39"/>
        <v>4.29</v>
      </c>
      <c r="BO58" s="3">
        <v>3.61</v>
      </c>
      <c r="BP58" s="3">
        <f t="shared" si="40"/>
        <v>3.61</v>
      </c>
      <c r="BQ58" s="4">
        <f t="shared" si="41"/>
        <v>3.61</v>
      </c>
      <c r="BR58" s="3">
        <v>3.13</v>
      </c>
      <c r="BS58" s="3">
        <f t="shared" si="42"/>
        <v>3.13</v>
      </c>
      <c r="BT58" s="4">
        <f t="shared" si="43"/>
        <v>3.13</v>
      </c>
      <c r="BU58" s="3">
        <v>1.63</v>
      </c>
      <c r="BV58" s="3">
        <f t="shared" si="44"/>
        <v>1.63</v>
      </c>
      <c r="BW58" s="4">
        <f t="shared" si="45"/>
        <v>1.63</v>
      </c>
      <c r="BX58" s="3">
        <v>1.23</v>
      </c>
      <c r="BY58" s="3">
        <f t="shared" si="46"/>
        <v>1.23</v>
      </c>
      <c r="BZ58" s="21">
        <f t="shared" si="47"/>
        <v>1.23</v>
      </c>
      <c r="CB58" s="20" t="s">
        <v>469</v>
      </c>
      <c r="CC58" s="3">
        <v>4.17</v>
      </c>
      <c r="CD58" s="3">
        <f t="shared" si="48"/>
        <v>4.17</v>
      </c>
      <c r="CE58" s="4">
        <f t="shared" si="159"/>
        <v>4.17</v>
      </c>
      <c r="CF58" s="3">
        <v>6.07</v>
      </c>
      <c r="CG58" s="3">
        <f t="shared" si="50"/>
        <v>6.07</v>
      </c>
      <c r="CH58" s="4">
        <f t="shared" si="160"/>
        <v>6.07</v>
      </c>
      <c r="CI58" s="3">
        <v>3.78</v>
      </c>
      <c r="CJ58" s="3">
        <f t="shared" si="52"/>
        <v>3.78</v>
      </c>
      <c r="CK58" s="4">
        <f t="shared" si="161"/>
        <v>3.78</v>
      </c>
      <c r="CL58" s="3">
        <v>2.48</v>
      </c>
      <c r="CM58" s="3">
        <f t="shared" si="54"/>
        <v>2.48</v>
      </c>
      <c r="CN58" s="4" t="str">
        <f t="shared" si="162"/>
        <v/>
      </c>
      <c r="CO58" s="3">
        <v>4.9000000000000004</v>
      </c>
      <c r="CP58" s="3">
        <f t="shared" si="56"/>
        <v>4.9000000000000004</v>
      </c>
      <c r="CQ58" s="4">
        <f t="shared" si="163"/>
        <v>4.9000000000000004</v>
      </c>
      <c r="CR58" s="3">
        <v>1.86</v>
      </c>
      <c r="CS58" s="3">
        <f t="shared" si="58"/>
        <v>1.86</v>
      </c>
      <c r="CT58" s="4">
        <f t="shared" si="164"/>
        <v>1.86</v>
      </c>
      <c r="CU58" s="3">
        <v>3.73</v>
      </c>
      <c r="CV58" s="3">
        <f t="shared" si="60"/>
        <v>3.73</v>
      </c>
      <c r="CW58" s="4">
        <f t="shared" si="165"/>
        <v>3.73</v>
      </c>
      <c r="CX58" s="3">
        <v>3.11</v>
      </c>
      <c r="CY58" s="3">
        <f t="shared" si="62"/>
        <v>3.11</v>
      </c>
      <c r="CZ58" s="21">
        <f t="shared" si="166"/>
        <v>3.11</v>
      </c>
      <c r="DB58" s="20" t="s">
        <v>470</v>
      </c>
      <c r="DC58" s="3">
        <v>2.59</v>
      </c>
      <c r="DD58" s="3">
        <f t="shared" si="64"/>
        <v>2.59</v>
      </c>
      <c r="DE58" s="4">
        <f t="shared" si="167"/>
        <v>2.59</v>
      </c>
      <c r="DF58" s="3">
        <v>1.17</v>
      </c>
      <c r="DG58" s="3">
        <f t="shared" si="66"/>
        <v>1.17</v>
      </c>
      <c r="DH58" s="4">
        <f t="shared" si="168"/>
        <v>1.17</v>
      </c>
      <c r="DI58" s="3">
        <v>2.59</v>
      </c>
      <c r="DJ58" s="3">
        <f t="shared" si="68"/>
        <v>2.59</v>
      </c>
      <c r="DK58" s="4">
        <f t="shared" si="169"/>
        <v>2.59</v>
      </c>
      <c r="DL58" s="3">
        <v>3.56</v>
      </c>
      <c r="DM58" s="3">
        <f t="shared" si="127"/>
        <v>3.56</v>
      </c>
      <c r="DN58" s="4">
        <f t="shared" si="170"/>
        <v>3.56</v>
      </c>
      <c r="DO58" s="3">
        <v>1.61</v>
      </c>
      <c r="DP58" s="3">
        <f t="shared" si="71"/>
        <v>1.61</v>
      </c>
      <c r="DQ58" s="4">
        <f t="shared" si="171"/>
        <v>1.61</v>
      </c>
      <c r="DR58" s="3">
        <v>6.72</v>
      </c>
      <c r="DS58" s="3">
        <f t="shared" si="73"/>
        <v>6.72</v>
      </c>
      <c r="DT58" s="4">
        <f t="shared" si="172"/>
        <v>6.72</v>
      </c>
      <c r="DU58" s="3">
        <v>1.17</v>
      </c>
      <c r="DV58" s="3">
        <f t="shared" si="75"/>
        <v>1.17</v>
      </c>
      <c r="DW58" s="4">
        <f t="shared" si="173"/>
        <v>1.17</v>
      </c>
      <c r="DX58" s="3">
        <v>3.04</v>
      </c>
      <c r="DY58" s="3">
        <f t="shared" si="77"/>
        <v>3.04</v>
      </c>
      <c r="DZ58" s="21">
        <f t="shared" si="174"/>
        <v>3.04</v>
      </c>
      <c r="EB58" s="20" t="s">
        <v>471</v>
      </c>
      <c r="EC58" s="3">
        <v>0.53</v>
      </c>
      <c r="ED58" s="3">
        <f t="shared" si="79"/>
        <v>0.53</v>
      </c>
      <c r="EE58" s="4">
        <f t="shared" si="175"/>
        <v>0.53</v>
      </c>
      <c r="EF58" s="3">
        <v>0.53</v>
      </c>
      <c r="EG58" s="3">
        <f t="shared" si="81"/>
        <v>0.53</v>
      </c>
      <c r="EH58" s="4" t="str">
        <f t="shared" si="176"/>
        <v/>
      </c>
      <c r="EI58" s="3">
        <v>0.17</v>
      </c>
      <c r="EJ58" s="3">
        <f t="shared" si="83"/>
        <v>0.17</v>
      </c>
      <c r="EK58" s="4">
        <f t="shared" si="177"/>
        <v>0.17</v>
      </c>
      <c r="EL58" s="3">
        <v>1.61</v>
      </c>
      <c r="EM58" s="3">
        <f t="shared" si="85"/>
        <v>1.61</v>
      </c>
      <c r="EN58" s="4">
        <f t="shared" si="178"/>
        <v>1.61</v>
      </c>
      <c r="EO58" s="3">
        <v>0.62</v>
      </c>
      <c r="EP58" s="3">
        <f t="shared" si="87"/>
        <v>0.62</v>
      </c>
      <c r="EQ58" s="4">
        <f t="shared" si="179"/>
        <v>0.62</v>
      </c>
      <c r="ER58" s="3">
        <v>1.89</v>
      </c>
      <c r="ES58" s="3">
        <f t="shared" si="89"/>
        <v>1.89</v>
      </c>
      <c r="ET58" s="4">
        <f t="shared" si="180"/>
        <v>1.89</v>
      </c>
      <c r="EU58" s="3">
        <v>0.62</v>
      </c>
      <c r="EV58" s="3">
        <f t="shared" si="91"/>
        <v>0.62</v>
      </c>
      <c r="EW58" s="4">
        <f t="shared" si="181"/>
        <v>0.62</v>
      </c>
      <c r="EX58" s="3">
        <v>1.37</v>
      </c>
      <c r="EY58" s="3">
        <f t="shared" si="93"/>
        <v>1.37</v>
      </c>
      <c r="EZ58" s="21">
        <f t="shared" si="182"/>
        <v>1.37</v>
      </c>
      <c r="FB58" s="20" t="s">
        <v>472</v>
      </c>
      <c r="FC58" s="3">
        <v>14.87</v>
      </c>
      <c r="FD58" s="3">
        <f t="shared" si="95"/>
        <v>14.87</v>
      </c>
      <c r="FE58" s="4" t="str">
        <f t="shared" si="183"/>
        <v/>
      </c>
      <c r="FF58" s="3">
        <v>0</v>
      </c>
      <c r="FG58" s="3" t="str">
        <f t="shared" si="97"/>
        <v/>
      </c>
      <c r="FH58" s="4" t="str">
        <f t="shared" si="184"/>
        <v/>
      </c>
      <c r="FI58" s="3">
        <v>1.61</v>
      </c>
      <c r="FJ58" s="3">
        <f t="shared" si="99"/>
        <v>1.61</v>
      </c>
      <c r="FK58" s="4">
        <f t="shared" si="185"/>
        <v>1.61</v>
      </c>
      <c r="FL58" s="3">
        <v>3.56</v>
      </c>
      <c r="FM58" s="3">
        <f t="shared" si="101"/>
        <v>3.56</v>
      </c>
      <c r="FN58" s="4">
        <f t="shared" si="186"/>
        <v>3.56</v>
      </c>
      <c r="FO58" s="3">
        <v>0</v>
      </c>
      <c r="FP58" s="3" t="str">
        <f t="shared" si="103"/>
        <v/>
      </c>
      <c r="FQ58" s="4" t="str">
        <f t="shared" si="187"/>
        <v/>
      </c>
      <c r="FR58" s="3">
        <v>2.59</v>
      </c>
      <c r="FS58" s="3">
        <f t="shared" si="105"/>
        <v>2.59</v>
      </c>
      <c r="FT58" s="4">
        <f t="shared" si="188"/>
        <v>2.59</v>
      </c>
      <c r="FU58" s="3">
        <v>0.24</v>
      </c>
      <c r="FV58" s="3">
        <f t="shared" si="107"/>
        <v>0.24</v>
      </c>
      <c r="FW58" s="4">
        <f t="shared" si="189"/>
        <v>0.24</v>
      </c>
      <c r="FX58" s="3">
        <v>0.2</v>
      </c>
      <c r="FY58" s="3">
        <f t="shared" si="109"/>
        <v>0.2</v>
      </c>
      <c r="FZ58" s="21">
        <f t="shared" si="190"/>
        <v>0.2</v>
      </c>
      <c r="GB58" s="20" t="s">
        <v>473</v>
      </c>
      <c r="GC58" s="3">
        <v>0.85</v>
      </c>
      <c r="GD58" s="3">
        <f t="shared" si="111"/>
        <v>0.85</v>
      </c>
      <c r="GE58" s="4">
        <f t="shared" si="191"/>
        <v>0.85</v>
      </c>
      <c r="GF58" s="3">
        <v>7.88</v>
      </c>
      <c r="GG58" s="3">
        <f t="shared" si="113"/>
        <v>7.88</v>
      </c>
      <c r="GH58" s="4" t="str">
        <f t="shared" si="192"/>
        <v/>
      </c>
      <c r="GI58" s="3">
        <v>0.15</v>
      </c>
      <c r="GJ58" s="3">
        <f t="shared" si="115"/>
        <v>0.15</v>
      </c>
      <c r="GK58" s="4">
        <f t="shared" si="193"/>
        <v>0.15</v>
      </c>
      <c r="GL58" s="3">
        <v>1.17</v>
      </c>
      <c r="GM58" s="3">
        <f t="shared" si="117"/>
        <v>1.17</v>
      </c>
      <c r="GN58" s="4">
        <f t="shared" si="194"/>
        <v>1.17</v>
      </c>
      <c r="GO58" s="3">
        <v>0</v>
      </c>
      <c r="GP58" s="3" t="str">
        <f t="shared" si="119"/>
        <v/>
      </c>
      <c r="GQ58" s="4" t="str">
        <f t="shared" si="195"/>
        <v/>
      </c>
      <c r="GR58" s="3">
        <v>0.73</v>
      </c>
      <c r="GS58" s="3">
        <f t="shared" si="121"/>
        <v>0.73</v>
      </c>
      <c r="GT58" s="4">
        <f t="shared" si="196"/>
        <v>0.73</v>
      </c>
      <c r="GU58" s="3">
        <v>0.24</v>
      </c>
      <c r="GV58" s="3">
        <f t="shared" si="123"/>
        <v>0.24</v>
      </c>
      <c r="GW58" s="4" t="str">
        <f t="shared" si="197"/>
        <v/>
      </c>
      <c r="GX58" s="3">
        <v>3.04</v>
      </c>
      <c r="GY58" s="3">
        <f t="shared" si="125"/>
        <v>3.04</v>
      </c>
      <c r="GZ58" s="21">
        <f t="shared" si="198"/>
        <v>3.04</v>
      </c>
    </row>
    <row r="59" spans="2:208">
      <c r="B59" s="20" t="s">
        <v>474</v>
      </c>
      <c r="C59" s="3">
        <v>2.95</v>
      </c>
      <c r="D59" s="3">
        <f t="shared" si="128"/>
        <v>2.95</v>
      </c>
      <c r="E59" s="4">
        <f t="shared" si="129"/>
        <v>2.95</v>
      </c>
      <c r="F59" s="3">
        <v>4.42</v>
      </c>
      <c r="G59" s="3">
        <f t="shared" si="130"/>
        <v>4.42</v>
      </c>
      <c r="H59" s="4">
        <f t="shared" si="131"/>
        <v>4.42</v>
      </c>
      <c r="I59" s="3">
        <v>5.26</v>
      </c>
      <c r="J59" s="3">
        <f t="shared" si="132"/>
        <v>5.26</v>
      </c>
      <c r="K59" s="4">
        <f t="shared" si="133"/>
        <v>5.26</v>
      </c>
      <c r="L59" s="3">
        <v>5.64</v>
      </c>
      <c r="M59" s="3">
        <f t="shared" si="134"/>
        <v>5.64</v>
      </c>
      <c r="N59" s="4">
        <f t="shared" si="135"/>
        <v>5.64</v>
      </c>
      <c r="O59" s="3">
        <v>4.3099999999999996</v>
      </c>
      <c r="P59" s="3">
        <f t="shared" si="136"/>
        <v>4.3099999999999996</v>
      </c>
      <c r="Q59" s="4">
        <f t="shared" si="137"/>
        <v>4.3099999999999996</v>
      </c>
      <c r="R59" s="3">
        <v>4.84</v>
      </c>
      <c r="S59" s="3">
        <f t="shared" si="138"/>
        <v>4.84</v>
      </c>
      <c r="T59" s="4">
        <f t="shared" si="139"/>
        <v>4.84</v>
      </c>
      <c r="U59" s="3">
        <v>1.75</v>
      </c>
      <c r="V59" s="3">
        <f t="shared" si="140"/>
        <v>1.75</v>
      </c>
      <c r="W59" s="4">
        <f t="shared" si="141"/>
        <v>1.75</v>
      </c>
      <c r="X59" s="3">
        <v>1.66</v>
      </c>
      <c r="Y59" s="3">
        <f t="shared" si="142"/>
        <v>1.66</v>
      </c>
      <c r="Z59" s="21" t="str">
        <f t="shared" si="143"/>
        <v/>
      </c>
      <c r="AB59" s="20" t="s">
        <v>475</v>
      </c>
      <c r="AC59" s="3">
        <v>2.85</v>
      </c>
      <c r="AD59" s="3">
        <f t="shared" si="144"/>
        <v>2.85</v>
      </c>
      <c r="AE59" s="4">
        <f t="shared" si="145"/>
        <v>2.85</v>
      </c>
      <c r="AF59" s="3">
        <v>5.45</v>
      </c>
      <c r="AG59" s="3">
        <f t="shared" si="146"/>
        <v>5.45</v>
      </c>
      <c r="AH59" s="4">
        <f t="shared" si="147"/>
        <v>5.45</v>
      </c>
      <c r="AI59" s="3">
        <v>5.14</v>
      </c>
      <c r="AJ59" s="3">
        <f t="shared" si="148"/>
        <v>5.14</v>
      </c>
      <c r="AK59" s="4">
        <f t="shared" si="149"/>
        <v>5.14</v>
      </c>
      <c r="AL59" s="3">
        <v>6.05</v>
      </c>
      <c r="AM59" s="3">
        <f t="shared" si="150"/>
        <v>6.05</v>
      </c>
      <c r="AN59" s="4">
        <f t="shared" si="151"/>
        <v>6.05</v>
      </c>
      <c r="AO59" s="3">
        <v>0</v>
      </c>
      <c r="AP59" s="3" t="str">
        <f t="shared" si="152"/>
        <v/>
      </c>
      <c r="AQ59" s="4" t="str">
        <f t="shared" si="153"/>
        <v/>
      </c>
      <c r="AR59" s="3">
        <v>3.73</v>
      </c>
      <c r="AS59" s="3">
        <f t="shared" si="154"/>
        <v>3.73</v>
      </c>
      <c r="AT59" s="4">
        <f t="shared" si="155"/>
        <v>3.73</v>
      </c>
      <c r="AU59" s="3">
        <v>2.93</v>
      </c>
      <c r="AV59" s="3">
        <f t="shared" si="156"/>
        <v>2.93</v>
      </c>
      <c r="AW59" s="4">
        <f t="shared" si="157"/>
        <v>2.93</v>
      </c>
      <c r="AX59" s="3">
        <v>2.81</v>
      </c>
      <c r="AY59" s="3">
        <f t="shared" si="158"/>
        <v>2.81</v>
      </c>
      <c r="AZ59" s="21">
        <f t="shared" si="31"/>
        <v>2.81</v>
      </c>
      <c r="BB59" s="20" t="s">
        <v>476</v>
      </c>
      <c r="BC59" s="3">
        <v>3.93</v>
      </c>
      <c r="BD59" s="3">
        <f t="shared" si="32"/>
        <v>3.93</v>
      </c>
      <c r="BE59" s="4">
        <f t="shared" si="33"/>
        <v>3.93</v>
      </c>
      <c r="BF59" s="3">
        <v>4.26</v>
      </c>
      <c r="BG59" s="3">
        <f t="shared" si="34"/>
        <v>4.26</v>
      </c>
      <c r="BH59" s="4">
        <f t="shared" si="35"/>
        <v>4.26</v>
      </c>
      <c r="BI59" s="3">
        <v>4.18</v>
      </c>
      <c r="BJ59" s="3">
        <f t="shared" si="36"/>
        <v>4.18</v>
      </c>
      <c r="BK59" s="4">
        <f t="shared" si="37"/>
        <v>4.18</v>
      </c>
      <c r="BL59" s="3">
        <v>4.3</v>
      </c>
      <c r="BM59" s="3">
        <f t="shared" si="38"/>
        <v>4.3</v>
      </c>
      <c r="BN59" s="4">
        <f t="shared" si="39"/>
        <v>4.3</v>
      </c>
      <c r="BO59" s="3">
        <v>3.58</v>
      </c>
      <c r="BP59" s="3">
        <f t="shared" si="40"/>
        <v>3.58</v>
      </c>
      <c r="BQ59" s="4">
        <f t="shared" si="41"/>
        <v>3.58</v>
      </c>
      <c r="BR59" s="3">
        <v>3.12</v>
      </c>
      <c r="BS59" s="3">
        <f t="shared" si="42"/>
        <v>3.12</v>
      </c>
      <c r="BT59" s="4">
        <f t="shared" si="43"/>
        <v>3.12</v>
      </c>
      <c r="BU59" s="3">
        <v>1.62</v>
      </c>
      <c r="BV59" s="3">
        <f t="shared" si="44"/>
        <v>1.62</v>
      </c>
      <c r="BW59" s="4">
        <f t="shared" si="45"/>
        <v>1.62</v>
      </c>
      <c r="BX59" s="3">
        <v>1.21</v>
      </c>
      <c r="BY59" s="3">
        <f t="shared" si="46"/>
        <v>1.21</v>
      </c>
      <c r="BZ59" s="21">
        <f t="shared" si="47"/>
        <v>1.21</v>
      </c>
      <c r="CB59" s="20" t="s">
        <v>477</v>
      </c>
      <c r="CC59" s="3">
        <v>4.1500000000000004</v>
      </c>
      <c r="CD59" s="3">
        <f t="shared" si="48"/>
        <v>4.1500000000000004</v>
      </c>
      <c r="CE59" s="4">
        <f t="shared" si="159"/>
        <v>4.1500000000000004</v>
      </c>
      <c r="CF59" s="3">
        <v>6.06</v>
      </c>
      <c r="CG59" s="3">
        <f t="shared" si="50"/>
        <v>6.06</v>
      </c>
      <c r="CH59" s="4">
        <f t="shared" si="160"/>
        <v>6.06</v>
      </c>
      <c r="CI59" s="3">
        <v>3.78</v>
      </c>
      <c r="CJ59" s="3">
        <f t="shared" si="52"/>
        <v>3.78</v>
      </c>
      <c r="CK59" s="4">
        <f t="shared" si="161"/>
        <v>3.78</v>
      </c>
      <c r="CL59" s="3">
        <v>5.18</v>
      </c>
      <c r="CM59" s="3">
        <f t="shared" si="54"/>
        <v>5.18</v>
      </c>
      <c r="CN59" s="4">
        <f t="shared" si="162"/>
        <v>5.18</v>
      </c>
      <c r="CO59" s="3">
        <v>5.42</v>
      </c>
      <c r="CP59" s="3">
        <f t="shared" si="56"/>
        <v>5.42</v>
      </c>
      <c r="CQ59" s="4">
        <f t="shared" si="163"/>
        <v>5.42</v>
      </c>
      <c r="CR59" s="3">
        <v>1.86</v>
      </c>
      <c r="CS59" s="3">
        <f t="shared" si="58"/>
        <v>1.86</v>
      </c>
      <c r="CT59" s="4">
        <f t="shared" si="164"/>
        <v>1.86</v>
      </c>
      <c r="CU59" s="3">
        <v>3.76</v>
      </c>
      <c r="CV59" s="3">
        <f t="shared" si="60"/>
        <v>3.76</v>
      </c>
      <c r="CW59" s="4">
        <f t="shared" si="165"/>
        <v>3.76</v>
      </c>
      <c r="CX59" s="3">
        <v>0</v>
      </c>
      <c r="CY59" s="3" t="str">
        <f t="shared" si="62"/>
        <v/>
      </c>
      <c r="CZ59" s="21" t="str">
        <f t="shared" si="166"/>
        <v/>
      </c>
      <c r="DB59" s="20" t="s">
        <v>478</v>
      </c>
      <c r="DC59" s="3">
        <v>2.59</v>
      </c>
      <c r="DD59" s="3">
        <f t="shared" si="64"/>
        <v>2.59</v>
      </c>
      <c r="DE59" s="4">
        <f t="shared" si="167"/>
        <v>2.59</v>
      </c>
      <c r="DF59" s="3">
        <v>0</v>
      </c>
      <c r="DG59" s="3" t="str">
        <f t="shared" si="66"/>
        <v/>
      </c>
      <c r="DH59" s="4" t="str">
        <f t="shared" si="168"/>
        <v/>
      </c>
      <c r="DI59" s="3">
        <v>2.59</v>
      </c>
      <c r="DJ59" s="3">
        <f t="shared" si="68"/>
        <v>2.59</v>
      </c>
      <c r="DK59" s="4">
        <f t="shared" si="169"/>
        <v>2.59</v>
      </c>
      <c r="DL59" s="3">
        <v>3.04</v>
      </c>
      <c r="DM59" s="3">
        <f t="shared" si="127"/>
        <v>3.04</v>
      </c>
      <c r="DN59" s="4">
        <f t="shared" si="170"/>
        <v>3.04</v>
      </c>
      <c r="DO59" s="3">
        <v>1.37</v>
      </c>
      <c r="DP59" s="3">
        <f t="shared" si="71"/>
        <v>1.37</v>
      </c>
      <c r="DQ59" s="4">
        <f t="shared" si="171"/>
        <v>1.37</v>
      </c>
      <c r="DR59" s="3">
        <v>1.17</v>
      </c>
      <c r="DS59" s="3">
        <f t="shared" si="73"/>
        <v>1.17</v>
      </c>
      <c r="DT59" s="4">
        <f t="shared" si="172"/>
        <v>1.17</v>
      </c>
      <c r="DU59" s="3">
        <v>1.37</v>
      </c>
      <c r="DV59" s="3">
        <f t="shared" si="75"/>
        <v>1.37</v>
      </c>
      <c r="DW59" s="4">
        <f t="shared" si="173"/>
        <v>1.37</v>
      </c>
      <c r="DX59" s="3">
        <v>0</v>
      </c>
      <c r="DY59" s="3" t="str">
        <f t="shared" si="77"/>
        <v/>
      </c>
      <c r="DZ59" s="21" t="str">
        <f t="shared" si="174"/>
        <v/>
      </c>
      <c r="EB59" s="20" t="s">
        <v>479</v>
      </c>
      <c r="EC59" s="3">
        <v>0.45</v>
      </c>
      <c r="ED59" s="3">
        <f t="shared" si="79"/>
        <v>0.45</v>
      </c>
      <c r="EE59" s="4">
        <f t="shared" si="175"/>
        <v>0.45</v>
      </c>
      <c r="EF59" s="3">
        <v>3.56</v>
      </c>
      <c r="EG59" s="3">
        <f t="shared" si="81"/>
        <v>3.56</v>
      </c>
      <c r="EH59" s="4">
        <f t="shared" si="176"/>
        <v>3.56</v>
      </c>
      <c r="EI59" s="3">
        <v>0.15</v>
      </c>
      <c r="EJ59" s="3">
        <f t="shared" si="83"/>
        <v>0.15</v>
      </c>
      <c r="EK59" s="4">
        <f t="shared" si="177"/>
        <v>0.15</v>
      </c>
      <c r="EL59" s="3">
        <v>1.61</v>
      </c>
      <c r="EM59" s="3">
        <f t="shared" si="85"/>
        <v>1.61</v>
      </c>
      <c r="EN59" s="4">
        <f t="shared" si="178"/>
        <v>1.61</v>
      </c>
      <c r="EO59" s="3">
        <v>17.43</v>
      </c>
      <c r="EP59" s="3">
        <f t="shared" si="87"/>
        <v>17.43</v>
      </c>
      <c r="EQ59" s="4" t="str">
        <f t="shared" si="179"/>
        <v/>
      </c>
      <c r="ER59" s="3">
        <v>1.89</v>
      </c>
      <c r="ES59" s="3">
        <f t="shared" si="89"/>
        <v>1.89</v>
      </c>
      <c r="ET59" s="4">
        <f t="shared" si="180"/>
        <v>1.89</v>
      </c>
      <c r="EU59" s="3">
        <v>0.73</v>
      </c>
      <c r="EV59" s="3">
        <f t="shared" si="91"/>
        <v>0.73</v>
      </c>
      <c r="EW59" s="4">
        <f t="shared" si="181"/>
        <v>0.73</v>
      </c>
      <c r="EX59" s="3">
        <v>1.17</v>
      </c>
      <c r="EY59" s="3">
        <f t="shared" si="93"/>
        <v>1.17</v>
      </c>
      <c r="EZ59" s="21">
        <f t="shared" si="182"/>
        <v>1.17</v>
      </c>
      <c r="FB59" s="20" t="s">
        <v>480</v>
      </c>
      <c r="FC59" s="3">
        <v>12.69</v>
      </c>
      <c r="FD59" s="3">
        <f t="shared" si="95"/>
        <v>12.69</v>
      </c>
      <c r="FE59" s="4">
        <f t="shared" si="183"/>
        <v>12.69</v>
      </c>
      <c r="FF59" s="3">
        <v>1.37</v>
      </c>
      <c r="FG59" s="3">
        <f t="shared" si="97"/>
        <v>1.37</v>
      </c>
      <c r="FH59" s="4">
        <f t="shared" si="184"/>
        <v>1.37</v>
      </c>
      <c r="FI59" s="3">
        <v>1.89</v>
      </c>
      <c r="FJ59" s="3">
        <f t="shared" si="99"/>
        <v>1.89</v>
      </c>
      <c r="FK59" s="4">
        <f t="shared" si="185"/>
        <v>1.89</v>
      </c>
      <c r="FL59" s="3">
        <v>3.56</v>
      </c>
      <c r="FM59" s="3">
        <f t="shared" si="101"/>
        <v>3.56</v>
      </c>
      <c r="FN59" s="4">
        <f t="shared" si="186"/>
        <v>3.56</v>
      </c>
      <c r="FO59" s="3">
        <v>1.37</v>
      </c>
      <c r="FP59" s="3">
        <f t="shared" si="103"/>
        <v>1.37</v>
      </c>
      <c r="FQ59" s="4" t="str">
        <f t="shared" si="187"/>
        <v/>
      </c>
      <c r="FR59" s="3">
        <v>2.59</v>
      </c>
      <c r="FS59" s="3">
        <f t="shared" si="105"/>
        <v>2.59</v>
      </c>
      <c r="FT59" s="4">
        <f t="shared" si="188"/>
        <v>2.59</v>
      </c>
      <c r="FU59" s="3">
        <v>0.2</v>
      </c>
      <c r="FV59" s="3">
        <f t="shared" si="107"/>
        <v>0.2</v>
      </c>
      <c r="FW59" s="4">
        <f t="shared" si="189"/>
        <v>0.2</v>
      </c>
      <c r="FX59" s="3">
        <v>0.24</v>
      </c>
      <c r="FY59" s="3">
        <f t="shared" si="109"/>
        <v>0.24</v>
      </c>
      <c r="FZ59" s="21">
        <f t="shared" si="190"/>
        <v>0.24</v>
      </c>
      <c r="GB59" s="20" t="s">
        <v>481</v>
      </c>
      <c r="GC59" s="3">
        <v>0.85</v>
      </c>
      <c r="GD59" s="3">
        <f t="shared" si="111"/>
        <v>0.85</v>
      </c>
      <c r="GE59" s="4">
        <f t="shared" si="191"/>
        <v>0.85</v>
      </c>
      <c r="GF59" s="3">
        <v>1.37</v>
      </c>
      <c r="GG59" s="3">
        <f t="shared" si="113"/>
        <v>1.37</v>
      </c>
      <c r="GH59" s="4">
        <f t="shared" si="192"/>
        <v>1.37</v>
      </c>
      <c r="GI59" s="3">
        <v>0.11</v>
      </c>
      <c r="GJ59" s="3">
        <f t="shared" si="115"/>
        <v>0.11</v>
      </c>
      <c r="GK59" s="4" t="str">
        <f t="shared" si="193"/>
        <v/>
      </c>
      <c r="GL59" s="3">
        <v>0</v>
      </c>
      <c r="GM59" s="3" t="str">
        <f t="shared" si="117"/>
        <v/>
      </c>
      <c r="GN59" s="4" t="str">
        <f t="shared" si="194"/>
        <v/>
      </c>
      <c r="GO59" s="3">
        <v>2.21</v>
      </c>
      <c r="GP59" s="3">
        <f t="shared" si="119"/>
        <v>2.21</v>
      </c>
      <c r="GQ59" s="4">
        <f t="shared" si="195"/>
        <v>2.21</v>
      </c>
      <c r="GR59" s="3">
        <v>0.73</v>
      </c>
      <c r="GS59" s="3">
        <f t="shared" si="121"/>
        <v>0.73</v>
      </c>
      <c r="GT59" s="4">
        <f t="shared" si="196"/>
        <v>0.73</v>
      </c>
      <c r="GU59" s="3">
        <v>0.28000000000000003</v>
      </c>
      <c r="GV59" s="3">
        <f t="shared" si="123"/>
        <v>0.28000000000000003</v>
      </c>
      <c r="GW59" s="4">
        <f t="shared" si="197"/>
        <v>0.28000000000000003</v>
      </c>
      <c r="GX59" s="3">
        <v>2.59</v>
      </c>
      <c r="GY59" s="3">
        <f t="shared" si="125"/>
        <v>2.59</v>
      </c>
      <c r="GZ59" s="21">
        <f t="shared" si="198"/>
        <v>2.59</v>
      </c>
    </row>
    <row r="60" spans="2:208">
      <c r="B60" s="20" t="s">
        <v>482</v>
      </c>
      <c r="C60" s="3">
        <v>0.01</v>
      </c>
      <c r="D60" s="3">
        <f t="shared" si="128"/>
        <v>0.01</v>
      </c>
      <c r="E60" s="4" t="str">
        <f t="shared" si="129"/>
        <v/>
      </c>
      <c r="F60" s="3">
        <v>4.42</v>
      </c>
      <c r="G60" s="3">
        <f t="shared" si="130"/>
        <v>4.42</v>
      </c>
      <c r="H60" s="4">
        <f t="shared" si="131"/>
        <v>4.42</v>
      </c>
      <c r="I60" s="3">
        <v>5.31</v>
      </c>
      <c r="J60" s="3">
        <f t="shared" si="132"/>
        <v>5.31</v>
      </c>
      <c r="K60" s="4">
        <f t="shared" si="133"/>
        <v>5.31</v>
      </c>
      <c r="L60" s="3">
        <v>5.65</v>
      </c>
      <c r="M60" s="3">
        <f t="shared" si="134"/>
        <v>5.65</v>
      </c>
      <c r="N60" s="4">
        <f t="shared" si="135"/>
        <v>5.65</v>
      </c>
      <c r="O60" s="3">
        <v>4.3</v>
      </c>
      <c r="P60" s="3">
        <f t="shared" si="136"/>
        <v>4.3</v>
      </c>
      <c r="Q60" s="4">
        <f t="shared" si="137"/>
        <v>4.3</v>
      </c>
      <c r="R60" s="3">
        <v>4.8600000000000003</v>
      </c>
      <c r="S60" s="3">
        <f t="shared" si="138"/>
        <v>4.8600000000000003</v>
      </c>
      <c r="T60" s="4">
        <f t="shared" si="139"/>
        <v>4.8600000000000003</v>
      </c>
      <c r="U60" s="3">
        <v>1.78</v>
      </c>
      <c r="V60" s="3">
        <f t="shared" si="140"/>
        <v>1.78</v>
      </c>
      <c r="W60" s="4">
        <f t="shared" si="141"/>
        <v>1.78</v>
      </c>
      <c r="X60" s="3">
        <v>2.23</v>
      </c>
      <c r="Y60" s="3">
        <f t="shared" si="142"/>
        <v>2.23</v>
      </c>
      <c r="Z60" s="21">
        <f t="shared" si="143"/>
        <v>2.23</v>
      </c>
      <c r="AB60" s="20" t="s">
        <v>483</v>
      </c>
      <c r="AC60" s="3">
        <v>2.85</v>
      </c>
      <c r="AD60" s="3">
        <f t="shared" si="144"/>
        <v>2.85</v>
      </c>
      <c r="AE60" s="4">
        <f t="shared" si="145"/>
        <v>2.85</v>
      </c>
      <c r="AF60" s="3">
        <v>5.43</v>
      </c>
      <c r="AG60" s="3">
        <f t="shared" si="146"/>
        <v>5.43</v>
      </c>
      <c r="AH60" s="4">
        <f t="shared" si="147"/>
        <v>5.43</v>
      </c>
      <c r="AI60" s="3">
        <v>5.16</v>
      </c>
      <c r="AJ60" s="3">
        <f t="shared" si="148"/>
        <v>5.16</v>
      </c>
      <c r="AK60" s="4">
        <f t="shared" si="149"/>
        <v>5.16</v>
      </c>
      <c r="AL60" s="3">
        <v>6.01</v>
      </c>
      <c r="AM60" s="3">
        <f t="shared" si="150"/>
        <v>6.01</v>
      </c>
      <c r="AN60" s="4">
        <f t="shared" si="151"/>
        <v>6.01</v>
      </c>
      <c r="AO60" s="3">
        <v>0</v>
      </c>
      <c r="AP60" s="3" t="str">
        <f t="shared" si="152"/>
        <v/>
      </c>
      <c r="AQ60" s="4" t="str">
        <f t="shared" si="153"/>
        <v/>
      </c>
      <c r="AR60" s="3">
        <v>3.72</v>
      </c>
      <c r="AS60" s="3">
        <f t="shared" si="154"/>
        <v>3.72</v>
      </c>
      <c r="AT60" s="4">
        <f t="shared" si="155"/>
        <v>3.72</v>
      </c>
      <c r="AU60" s="3">
        <v>3.06</v>
      </c>
      <c r="AV60" s="3">
        <f t="shared" si="156"/>
        <v>3.06</v>
      </c>
      <c r="AW60" s="4">
        <f t="shared" si="157"/>
        <v>3.06</v>
      </c>
      <c r="AX60" s="3">
        <v>2.4300000000000002</v>
      </c>
      <c r="AY60" s="3">
        <f t="shared" si="158"/>
        <v>2.4300000000000002</v>
      </c>
      <c r="AZ60" s="21" t="str">
        <f t="shared" si="31"/>
        <v/>
      </c>
      <c r="BB60" s="20" t="s">
        <v>484</v>
      </c>
      <c r="BC60" s="3">
        <v>3.9</v>
      </c>
      <c r="BD60" s="3">
        <f t="shared" si="32"/>
        <v>3.9</v>
      </c>
      <c r="BE60" s="4">
        <f t="shared" si="33"/>
        <v>3.9</v>
      </c>
      <c r="BF60" s="3">
        <v>4.28</v>
      </c>
      <c r="BG60" s="3">
        <f t="shared" si="34"/>
        <v>4.28</v>
      </c>
      <c r="BH60" s="4">
        <f t="shared" si="35"/>
        <v>4.28</v>
      </c>
      <c r="BI60" s="3">
        <v>4.09</v>
      </c>
      <c r="BJ60" s="3">
        <f t="shared" si="36"/>
        <v>4.09</v>
      </c>
      <c r="BK60" s="4">
        <f t="shared" si="37"/>
        <v>4.09</v>
      </c>
      <c r="BL60" s="3">
        <v>4.3099999999999996</v>
      </c>
      <c r="BM60" s="3">
        <f t="shared" si="38"/>
        <v>4.3099999999999996</v>
      </c>
      <c r="BN60" s="4">
        <f t="shared" si="39"/>
        <v>4.3099999999999996</v>
      </c>
      <c r="BO60" s="3">
        <v>0.92</v>
      </c>
      <c r="BP60" s="3">
        <f t="shared" si="40"/>
        <v>0.92</v>
      </c>
      <c r="BQ60" s="4" t="str">
        <f t="shared" si="41"/>
        <v/>
      </c>
      <c r="BR60" s="3">
        <v>3.16</v>
      </c>
      <c r="BS60" s="3">
        <f t="shared" si="42"/>
        <v>3.16</v>
      </c>
      <c r="BT60" s="4">
        <f t="shared" si="43"/>
        <v>3.16</v>
      </c>
      <c r="BU60" s="3">
        <v>1.61</v>
      </c>
      <c r="BV60" s="3">
        <f t="shared" si="44"/>
        <v>1.61</v>
      </c>
      <c r="BW60" s="4">
        <f t="shared" si="45"/>
        <v>1.61</v>
      </c>
      <c r="BX60" s="3">
        <v>1.26</v>
      </c>
      <c r="BY60" s="3">
        <f t="shared" si="46"/>
        <v>1.26</v>
      </c>
      <c r="BZ60" s="21">
        <f t="shared" si="47"/>
        <v>1.26</v>
      </c>
      <c r="CB60" s="20" t="s">
        <v>485</v>
      </c>
      <c r="CC60" s="3">
        <v>4.16</v>
      </c>
      <c r="CD60" s="3">
        <f t="shared" si="48"/>
        <v>4.16</v>
      </c>
      <c r="CE60" s="4">
        <f t="shared" si="159"/>
        <v>4.16</v>
      </c>
      <c r="CF60" s="3">
        <v>6.08</v>
      </c>
      <c r="CG60" s="3">
        <f t="shared" si="50"/>
        <v>6.08</v>
      </c>
      <c r="CH60" s="4">
        <f t="shared" si="160"/>
        <v>6.08</v>
      </c>
      <c r="CI60" s="3">
        <v>3.78</v>
      </c>
      <c r="CJ60" s="3">
        <f t="shared" si="52"/>
        <v>3.78</v>
      </c>
      <c r="CK60" s="4">
        <f t="shared" si="161"/>
        <v>3.78</v>
      </c>
      <c r="CL60" s="3">
        <v>5.15</v>
      </c>
      <c r="CM60" s="3">
        <f t="shared" si="54"/>
        <v>5.15</v>
      </c>
      <c r="CN60" s="4">
        <f t="shared" si="162"/>
        <v>5.15</v>
      </c>
      <c r="CO60" s="3">
        <v>5.46</v>
      </c>
      <c r="CP60" s="3">
        <f t="shared" si="56"/>
        <v>5.46</v>
      </c>
      <c r="CQ60" s="4">
        <f t="shared" si="163"/>
        <v>5.46</v>
      </c>
      <c r="CR60" s="3">
        <v>1.83</v>
      </c>
      <c r="CS60" s="3">
        <f t="shared" si="58"/>
        <v>1.83</v>
      </c>
      <c r="CT60" s="4">
        <f t="shared" si="164"/>
        <v>1.83</v>
      </c>
      <c r="CU60" s="3">
        <v>0.06</v>
      </c>
      <c r="CV60" s="3">
        <f t="shared" si="60"/>
        <v>0.06</v>
      </c>
      <c r="CW60" s="4" t="str">
        <f t="shared" si="165"/>
        <v/>
      </c>
      <c r="CX60" s="3">
        <v>3.1</v>
      </c>
      <c r="CY60" s="3">
        <f t="shared" si="62"/>
        <v>3.1</v>
      </c>
      <c r="CZ60" s="21">
        <f t="shared" si="166"/>
        <v>3.1</v>
      </c>
      <c r="DB60" s="20" t="s">
        <v>486</v>
      </c>
      <c r="DC60" s="3">
        <v>14.87</v>
      </c>
      <c r="DD60" s="3">
        <f t="shared" si="64"/>
        <v>14.87</v>
      </c>
      <c r="DE60" s="4" t="str">
        <f t="shared" si="167"/>
        <v/>
      </c>
      <c r="DF60" s="3">
        <v>0.73</v>
      </c>
      <c r="DG60" s="3">
        <f t="shared" si="66"/>
        <v>0.73</v>
      </c>
      <c r="DH60" s="4">
        <f t="shared" si="168"/>
        <v>0.73</v>
      </c>
      <c r="DI60" s="3">
        <v>0</v>
      </c>
      <c r="DJ60" s="3" t="str">
        <f t="shared" si="68"/>
        <v/>
      </c>
      <c r="DK60" s="4" t="str">
        <f t="shared" si="169"/>
        <v/>
      </c>
      <c r="DL60" s="3">
        <v>2.59</v>
      </c>
      <c r="DM60" s="3">
        <f t="shared" si="127"/>
        <v>2.59</v>
      </c>
      <c r="DN60" s="4">
        <f t="shared" si="170"/>
        <v>2.59</v>
      </c>
      <c r="DO60" s="3">
        <v>1.61</v>
      </c>
      <c r="DP60" s="3">
        <f t="shared" si="71"/>
        <v>1.61</v>
      </c>
      <c r="DQ60" s="4">
        <f t="shared" si="171"/>
        <v>1.61</v>
      </c>
      <c r="DR60" s="3">
        <v>99.99</v>
      </c>
      <c r="DS60" s="3" t="str">
        <f t="shared" si="73"/>
        <v/>
      </c>
      <c r="DT60" s="4" t="str">
        <f t="shared" si="172"/>
        <v/>
      </c>
      <c r="DU60" s="3">
        <v>0.53</v>
      </c>
      <c r="DV60" s="3">
        <f t="shared" si="75"/>
        <v>0.53</v>
      </c>
      <c r="DW60" s="4" t="str">
        <f t="shared" si="173"/>
        <v/>
      </c>
      <c r="DX60" s="3">
        <v>2.59</v>
      </c>
      <c r="DY60" s="3">
        <f t="shared" si="77"/>
        <v>2.59</v>
      </c>
      <c r="DZ60" s="21">
        <f t="shared" si="174"/>
        <v>2.59</v>
      </c>
      <c r="EB60" s="20" t="s">
        <v>487</v>
      </c>
      <c r="EC60" s="3">
        <v>0.45</v>
      </c>
      <c r="ED60" s="3">
        <f t="shared" si="79"/>
        <v>0.45</v>
      </c>
      <c r="EE60" s="4">
        <f t="shared" si="175"/>
        <v>0.45</v>
      </c>
      <c r="EF60" s="3">
        <v>3.56</v>
      </c>
      <c r="EG60" s="3">
        <f t="shared" si="81"/>
        <v>3.56</v>
      </c>
      <c r="EH60" s="4">
        <f t="shared" si="176"/>
        <v>3.56</v>
      </c>
      <c r="EI60" s="3">
        <v>0.33</v>
      </c>
      <c r="EJ60" s="3">
        <f t="shared" si="83"/>
        <v>0.33</v>
      </c>
      <c r="EK60" s="4">
        <f t="shared" si="177"/>
        <v>0.33</v>
      </c>
      <c r="EL60" s="3">
        <v>3.56</v>
      </c>
      <c r="EM60" s="3">
        <f t="shared" si="85"/>
        <v>3.56</v>
      </c>
      <c r="EN60" s="4" t="str">
        <f t="shared" si="178"/>
        <v/>
      </c>
      <c r="EO60" s="3">
        <v>2.21</v>
      </c>
      <c r="EP60" s="3">
        <f t="shared" si="87"/>
        <v>2.21</v>
      </c>
      <c r="EQ60" s="4">
        <f t="shared" si="179"/>
        <v>2.21</v>
      </c>
      <c r="ER60" s="3">
        <v>2.21</v>
      </c>
      <c r="ES60" s="3">
        <f t="shared" si="89"/>
        <v>2.21</v>
      </c>
      <c r="ET60" s="4">
        <f t="shared" si="180"/>
        <v>2.21</v>
      </c>
      <c r="EU60" s="3">
        <v>0.73</v>
      </c>
      <c r="EV60" s="3">
        <f t="shared" si="91"/>
        <v>0.73</v>
      </c>
      <c r="EW60" s="4">
        <f t="shared" si="181"/>
        <v>0.73</v>
      </c>
      <c r="EX60" s="3">
        <v>1.17</v>
      </c>
      <c r="EY60" s="3">
        <f t="shared" si="93"/>
        <v>1.17</v>
      </c>
      <c r="EZ60" s="21">
        <f t="shared" si="182"/>
        <v>1.17</v>
      </c>
      <c r="FB60" s="20" t="s">
        <v>488</v>
      </c>
      <c r="FC60" s="3">
        <v>14.87</v>
      </c>
      <c r="FD60" s="3">
        <f t="shared" si="95"/>
        <v>14.87</v>
      </c>
      <c r="FE60" s="4" t="str">
        <f t="shared" si="183"/>
        <v/>
      </c>
      <c r="FF60" s="3">
        <v>1.17</v>
      </c>
      <c r="FG60" s="3">
        <f t="shared" si="97"/>
        <v>1.17</v>
      </c>
      <c r="FH60" s="4">
        <f t="shared" si="184"/>
        <v>1.17</v>
      </c>
      <c r="FI60" s="3">
        <v>1.61</v>
      </c>
      <c r="FJ60" s="3">
        <f t="shared" si="99"/>
        <v>1.61</v>
      </c>
      <c r="FK60" s="4">
        <f t="shared" si="185"/>
        <v>1.61</v>
      </c>
      <c r="FL60" s="3">
        <v>3.04</v>
      </c>
      <c r="FM60" s="3">
        <f t="shared" si="101"/>
        <v>3.04</v>
      </c>
      <c r="FN60" s="4">
        <f t="shared" si="186"/>
        <v>3.04</v>
      </c>
      <c r="FO60" s="3">
        <v>1.89</v>
      </c>
      <c r="FP60" s="3">
        <f t="shared" si="103"/>
        <v>1.89</v>
      </c>
      <c r="FQ60" s="4">
        <f t="shared" si="187"/>
        <v>1.89</v>
      </c>
      <c r="FR60" s="3">
        <v>2.59</v>
      </c>
      <c r="FS60" s="3">
        <f t="shared" si="105"/>
        <v>2.59</v>
      </c>
      <c r="FT60" s="4">
        <f t="shared" si="188"/>
        <v>2.59</v>
      </c>
      <c r="FU60" s="3">
        <v>0.24</v>
      </c>
      <c r="FV60" s="3">
        <f t="shared" si="107"/>
        <v>0.24</v>
      </c>
      <c r="FW60" s="4">
        <f t="shared" si="189"/>
        <v>0.24</v>
      </c>
      <c r="FX60" s="3">
        <v>0.2</v>
      </c>
      <c r="FY60" s="3">
        <f t="shared" si="109"/>
        <v>0.2</v>
      </c>
      <c r="FZ60" s="21">
        <f t="shared" si="190"/>
        <v>0.2</v>
      </c>
      <c r="GB60" s="20" t="s">
        <v>489</v>
      </c>
      <c r="GC60" s="3">
        <v>0.85</v>
      </c>
      <c r="GD60" s="3">
        <f t="shared" si="111"/>
        <v>0.85</v>
      </c>
      <c r="GE60" s="4">
        <f t="shared" si="191"/>
        <v>0.85</v>
      </c>
      <c r="GF60" s="3">
        <v>0.45</v>
      </c>
      <c r="GG60" s="3">
        <f t="shared" si="113"/>
        <v>0.45</v>
      </c>
      <c r="GH60" s="4">
        <f t="shared" si="192"/>
        <v>0.45</v>
      </c>
      <c r="GI60" s="3">
        <v>0.15</v>
      </c>
      <c r="GJ60" s="3">
        <f t="shared" si="115"/>
        <v>0.15</v>
      </c>
      <c r="GK60" s="4">
        <f t="shared" si="193"/>
        <v>0.15</v>
      </c>
      <c r="GL60" s="3">
        <v>1.17</v>
      </c>
      <c r="GM60" s="3">
        <f t="shared" si="117"/>
        <v>1.17</v>
      </c>
      <c r="GN60" s="4">
        <f t="shared" si="194"/>
        <v>1.17</v>
      </c>
      <c r="GO60" s="3">
        <v>2.21</v>
      </c>
      <c r="GP60" s="3">
        <f t="shared" si="119"/>
        <v>2.21</v>
      </c>
      <c r="GQ60" s="4">
        <f t="shared" si="195"/>
        <v>2.21</v>
      </c>
      <c r="GR60" s="3">
        <v>0.73</v>
      </c>
      <c r="GS60" s="3">
        <f t="shared" si="121"/>
        <v>0.73</v>
      </c>
      <c r="GT60" s="4">
        <f t="shared" si="196"/>
        <v>0.73</v>
      </c>
      <c r="GU60" s="3">
        <v>0.24</v>
      </c>
      <c r="GV60" s="3">
        <f t="shared" si="123"/>
        <v>0.24</v>
      </c>
      <c r="GW60" s="4" t="str">
        <f t="shared" si="197"/>
        <v/>
      </c>
      <c r="GX60" s="3">
        <v>1.89</v>
      </c>
      <c r="GY60" s="3">
        <f t="shared" si="125"/>
        <v>1.89</v>
      </c>
      <c r="GZ60" s="21">
        <f t="shared" si="198"/>
        <v>1.89</v>
      </c>
    </row>
    <row r="61" spans="2:208">
      <c r="B61" s="20" t="s">
        <v>490</v>
      </c>
      <c r="C61" s="3">
        <v>3.04</v>
      </c>
      <c r="D61" s="3">
        <f t="shared" si="128"/>
        <v>3.04</v>
      </c>
      <c r="E61" s="4">
        <f t="shared" si="129"/>
        <v>3.04</v>
      </c>
      <c r="F61" s="3">
        <v>4.3600000000000003</v>
      </c>
      <c r="G61" s="3">
        <f t="shared" si="130"/>
        <v>4.3600000000000003</v>
      </c>
      <c r="H61" s="4">
        <f t="shared" si="131"/>
        <v>4.3600000000000003</v>
      </c>
      <c r="I61" s="3">
        <v>5.33</v>
      </c>
      <c r="J61" s="3">
        <f t="shared" si="132"/>
        <v>5.33</v>
      </c>
      <c r="K61" s="4">
        <f t="shared" si="133"/>
        <v>5.33</v>
      </c>
      <c r="L61" s="3">
        <v>5.62</v>
      </c>
      <c r="M61" s="3">
        <f t="shared" si="134"/>
        <v>5.62</v>
      </c>
      <c r="N61" s="4">
        <f t="shared" si="135"/>
        <v>5.62</v>
      </c>
      <c r="O61" s="3">
        <v>4.32</v>
      </c>
      <c r="P61" s="3">
        <f t="shared" si="136"/>
        <v>4.32</v>
      </c>
      <c r="Q61" s="4">
        <f t="shared" si="137"/>
        <v>4.32</v>
      </c>
      <c r="R61" s="3">
        <v>4.8099999999999996</v>
      </c>
      <c r="S61" s="3">
        <f t="shared" si="138"/>
        <v>4.8099999999999996</v>
      </c>
      <c r="T61" s="4">
        <f t="shared" si="139"/>
        <v>4.8099999999999996</v>
      </c>
      <c r="U61" s="3">
        <v>1.75</v>
      </c>
      <c r="V61" s="3">
        <f t="shared" si="140"/>
        <v>1.75</v>
      </c>
      <c r="W61" s="4">
        <f t="shared" si="141"/>
        <v>1.75</v>
      </c>
      <c r="X61" s="3">
        <v>2.4900000000000002</v>
      </c>
      <c r="Y61" s="3">
        <f t="shared" si="142"/>
        <v>2.4900000000000002</v>
      </c>
      <c r="Z61" s="21">
        <f t="shared" si="143"/>
        <v>2.4900000000000002</v>
      </c>
      <c r="AB61" s="20" t="s">
        <v>491</v>
      </c>
      <c r="AC61" s="3">
        <v>2.85</v>
      </c>
      <c r="AD61" s="3">
        <f t="shared" si="144"/>
        <v>2.85</v>
      </c>
      <c r="AE61" s="4">
        <f t="shared" si="145"/>
        <v>2.85</v>
      </c>
      <c r="AF61" s="3">
        <v>5.49</v>
      </c>
      <c r="AG61" s="3">
        <f t="shared" si="146"/>
        <v>5.49</v>
      </c>
      <c r="AH61" s="4">
        <f t="shared" si="147"/>
        <v>5.49</v>
      </c>
      <c r="AI61" s="3">
        <v>5.19</v>
      </c>
      <c r="AJ61" s="3">
        <f t="shared" si="148"/>
        <v>5.19</v>
      </c>
      <c r="AK61" s="4">
        <f t="shared" si="149"/>
        <v>5.19</v>
      </c>
      <c r="AL61" s="3">
        <v>6.06</v>
      </c>
      <c r="AM61" s="3">
        <f t="shared" si="150"/>
        <v>6.06</v>
      </c>
      <c r="AN61" s="4">
        <f t="shared" si="151"/>
        <v>6.06</v>
      </c>
      <c r="AO61" s="3">
        <v>0</v>
      </c>
      <c r="AP61" s="3" t="str">
        <f t="shared" si="152"/>
        <v/>
      </c>
      <c r="AQ61" s="4" t="str">
        <f t="shared" si="153"/>
        <v/>
      </c>
      <c r="AR61" s="3">
        <v>0.62</v>
      </c>
      <c r="AS61" s="3">
        <f t="shared" si="154"/>
        <v>0.62</v>
      </c>
      <c r="AT61" s="4" t="str">
        <f t="shared" si="155"/>
        <v/>
      </c>
      <c r="AU61" s="3">
        <v>3.02</v>
      </c>
      <c r="AV61" s="3">
        <f t="shared" si="156"/>
        <v>3.02</v>
      </c>
      <c r="AW61" s="4">
        <f t="shared" si="157"/>
        <v>3.02</v>
      </c>
      <c r="AX61" s="3">
        <v>3.44</v>
      </c>
      <c r="AY61" s="3">
        <f t="shared" si="158"/>
        <v>3.44</v>
      </c>
      <c r="AZ61" s="21">
        <f t="shared" si="31"/>
        <v>3.44</v>
      </c>
      <c r="BB61" s="20" t="s">
        <v>492</v>
      </c>
      <c r="BC61" s="3">
        <v>3.91</v>
      </c>
      <c r="BD61" s="3">
        <f t="shared" si="32"/>
        <v>3.91</v>
      </c>
      <c r="BE61" s="4">
        <f t="shared" si="33"/>
        <v>3.91</v>
      </c>
      <c r="BF61" s="3">
        <v>4.25</v>
      </c>
      <c r="BG61" s="3">
        <f t="shared" si="34"/>
        <v>4.25</v>
      </c>
      <c r="BH61" s="4">
        <f t="shared" si="35"/>
        <v>4.25</v>
      </c>
      <c r="BI61" s="3">
        <v>4.13</v>
      </c>
      <c r="BJ61" s="3">
        <f t="shared" si="36"/>
        <v>4.13</v>
      </c>
      <c r="BK61" s="4">
        <f t="shared" si="37"/>
        <v>4.13</v>
      </c>
      <c r="BL61" s="3">
        <v>4.3099999999999996</v>
      </c>
      <c r="BM61" s="3">
        <f t="shared" si="38"/>
        <v>4.3099999999999996</v>
      </c>
      <c r="BN61" s="4">
        <f t="shared" si="39"/>
        <v>4.3099999999999996</v>
      </c>
      <c r="BO61" s="3">
        <v>3.59</v>
      </c>
      <c r="BP61" s="3">
        <f t="shared" si="40"/>
        <v>3.59</v>
      </c>
      <c r="BQ61" s="4">
        <f t="shared" si="41"/>
        <v>3.59</v>
      </c>
      <c r="BR61" s="3">
        <v>3.12</v>
      </c>
      <c r="BS61" s="3">
        <f t="shared" si="42"/>
        <v>3.12</v>
      </c>
      <c r="BT61" s="4">
        <f t="shared" si="43"/>
        <v>3.12</v>
      </c>
      <c r="BU61" s="3">
        <v>1.67</v>
      </c>
      <c r="BV61" s="3">
        <f t="shared" si="44"/>
        <v>1.67</v>
      </c>
      <c r="BW61" s="4">
        <f t="shared" si="45"/>
        <v>1.67</v>
      </c>
      <c r="BX61" s="3">
        <v>1.22</v>
      </c>
      <c r="BY61" s="3">
        <f t="shared" si="46"/>
        <v>1.22</v>
      </c>
      <c r="BZ61" s="21">
        <f t="shared" si="47"/>
        <v>1.22</v>
      </c>
      <c r="CB61" s="20" t="s">
        <v>493</v>
      </c>
      <c r="CC61" s="3">
        <v>4.18</v>
      </c>
      <c r="CD61" s="3">
        <f t="shared" si="48"/>
        <v>4.18</v>
      </c>
      <c r="CE61" s="4">
        <f t="shared" si="159"/>
        <v>4.18</v>
      </c>
      <c r="CF61" s="3">
        <v>6.06</v>
      </c>
      <c r="CG61" s="3">
        <f t="shared" si="50"/>
        <v>6.06</v>
      </c>
      <c r="CH61" s="4">
        <f t="shared" si="160"/>
        <v>6.06</v>
      </c>
      <c r="CI61" s="3">
        <v>3.77</v>
      </c>
      <c r="CJ61" s="3">
        <f t="shared" si="52"/>
        <v>3.77</v>
      </c>
      <c r="CK61" s="4">
        <f t="shared" si="161"/>
        <v>3.77</v>
      </c>
      <c r="CL61" s="3">
        <v>5.61</v>
      </c>
      <c r="CM61" s="3">
        <f t="shared" si="54"/>
        <v>5.61</v>
      </c>
      <c r="CN61" s="4">
        <f t="shared" si="162"/>
        <v>5.61</v>
      </c>
      <c r="CO61" s="3">
        <v>5.45</v>
      </c>
      <c r="CP61" s="3">
        <f t="shared" si="56"/>
        <v>5.45</v>
      </c>
      <c r="CQ61" s="4">
        <f t="shared" si="163"/>
        <v>5.45</v>
      </c>
      <c r="CR61" s="3">
        <v>1.84</v>
      </c>
      <c r="CS61" s="3">
        <f t="shared" si="58"/>
        <v>1.84</v>
      </c>
      <c r="CT61" s="4">
        <f t="shared" si="164"/>
        <v>1.84</v>
      </c>
      <c r="CU61" s="3">
        <v>3.75</v>
      </c>
      <c r="CV61" s="3">
        <f t="shared" si="60"/>
        <v>3.75</v>
      </c>
      <c r="CW61" s="4">
        <f t="shared" si="165"/>
        <v>3.75</v>
      </c>
      <c r="CX61" s="3">
        <v>0</v>
      </c>
      <c r="CY61" s="3" t="str">
        <f t="shared" si="62"/>
        <v/>
      </c>
      <c r="CZ61" s="21" t="str">
        <f t="shared" si="166"/>
        <v/>
      </c>
      <c r="DB61" s="20" t="s">
        <v>494</v>
      </c>
      <c r="DC61" s="3">
        <v>2.59</v>
      </c>
      <c r="DD61" s="3">
        <f t="shared" si="64"/>
        <v>2.59</v>
      </c>
      <c r="DE61" s="4">
        <f t="shared" si="167"/>
        <v>2.59</v>
      </c>
      <c r="DF61" s="3">
        <v>1.17</v>
      </c>
      <c r="DG61" s="3">
        <f t="shared" si="66"/>
        <v>1.17</v>
      </c>
      <c r="DH61" s="4">
        <f t="shared" si="168"/>
        <v>1.17</v>
      </c>
      <c r="DI61" s="3">
        <v>2.59</v>
      </c>
      <c r="DJ61" s="3">
        <f t="shared" si="68"/>
        <v>2.59</v>
      </c>
      <c r="DK61" s="4">
        <f t="shared" si="169"/>
        <v>2.59</v>
      </c>
      <c r="DL61" s="3">
        <v>3.04</v>
      </c>
      <c r="DM61" s="3">
        <f t="shared" si="127"/>
        <v>3.04</v>
      </c>
      <c r="DN61" s="4">
        <f t="shared" si="170"/>
        <v>3.04</v>
      </c>
      <c r="DO61" s="3">
        <v>1.37</v>
      </c>
      <c r="DP61" s="3">
        <f t="shared" si="71"/>
        <v>1.37</v>
      </c>
      <c r="DQ61" s="4">
        <f t="shared" si="171"/>
        <v>1.37</v>
      </c>
      <c r="DR61" s="3">
        <v>99.99</v>
      </c>
      <c r="DS61" s="3" t="str">
        <f t="shared" si="73"/>
        <v/>
      </c>
      <c r="DT61" s="4" t="str">
        <f t="shared" si="172"/>
        <v/>
      </c>
      <c r="DU61" s="3">
        <v>1.17</v>
      </c>
      <c r="DV61" s="3">
        <f t="shared" si="75"/>
        <v>1.17</v>
      </c>
      <c r="DW61" s="4">
        <f t="shared" si="173"/>
        <v>1.17</v>
      </c>
      <c r="DX61" s="3">
        <v>0</v>
      </c>
      <c r="DY61" s="3" t="str">
        <f t="shared" si="77"/>
        <v/>
      </c>
      <c r="DZ61" s="21" t="str">
        <f t="shared" si="174"/>
        <v/>
      </c>
      <c r="EB61" s="20" t="s">
        <v>495</v>
      </c>
      <c r="EC61" s="3">
        <v>0.62</v>
      </c>
      <c r="ED61" s="3">
        <f t="shared" si="79"/>
        <v>0.62</v>
      </c>
      <c r="EE61" s="4">
        <f t="shared" si="175"/>
        <v>0.62</v>
      </c>
      <c r="EF61" s="3">
        <v>0.73</v>
      </c>
      <c r="EG61" s="3">
        <f t="shared" si="81"/>
        <v>0.73</v>
      </c>
      <c r="EH61" s="4" t="str">
        <f t="shared" si="176"/>
        <v/>
      </c>
      <c r="EI61" s="3">
        <v>0.39</v>
      </c>
      <c r="EJ61" s="3">
        <f t="shared" si="83"/>
        <v>0.39</v>
      </c>
      <c r="EK61" s="4">
        <f t="shared" si="177"/>
        <v>0.39</v>
      </c>
      <c r="EL61" s="3">
        <v>1.61</v>
      </c>
      <c r="EM61" s="3">
        <f t="shared" si="85"/>
        <v>1.61</v>
      </c>
      <c r="EN61" s="4">
        <f t="shared" si="178"/>
        <v>1.61</v>
      </c>
      <c r="EO61" s="3">
        <v>2.21</v>
      </c>
      <c r="EP61" s="3">
        <f t="shared" si="87"/>
        <v>2.21</v>
      </c>
      <c r="EQ61" s="4">
        <f t="shared" si="179"/>
        <v>2.21</v>
      </c>
      <c r="ER61" s="3">
        <v>1.89</v>
      </c>
      <c r="ES61" s="3">
        <f t="shared" si="89"/>
        <v>1.89</v>
      </c>
      <c r="ET61" s="4">
        <f t="shared" si="180"/>
        <v>1.89</v>
      </c>
      <c r="EU61" s="3">
        <v>0.73</v>
      </c>
      <c r="EV61" s="3">
        <f t="shared" si="91"/>
        <v>0.73</v>
      </c>
      <c r="EW61" s="4">
        <f t="shared" si="181"/>
        <v>0.73</v>
      </c>
      <c r="EX61" s="3">
        <v>1.17</v>
      </c>
      <c r="EY61" s="3">
        <f t="shared" si="93"/>
        <v>1.17</v>
      </c>
      <c r="EZ61" s="21">
        <f t="shared" si="182"/>
        <v>1.17</v>
      </c>
      <c r="FB61" s="20" t="s">
        <v>496</v>
      </c>
      <c r="FC61" s="3">
        <v>14.87</v>
      </c>
      <c r="FD61" s="3">
        <f t="shared" si="95"/>
        <v>14.87</v>
      </c>
      <c r="FE61" s="4" t="str">
        <f t="shared" si="183"/>
        <v/>
      </c>
      <c r="FF61" s="3">
        <v>0</v>
      </c>
      <c r="FG61" s="3" t="str">
        <f t="shared" si="97"/>
        <v/>
      </c>
      <c r="FH61" s="4" t="str">
        <f t="shared" si="184"/>
        <v/>
      </c>
      <c r="FI61" s="3">
        <v>0.17</v>
      </c>
      <c r="FJ61" s="3">
        <f t="shared" si="99"/>
        <v>0.17</v>
      </c>
      <c r="FK61" s="4">
        <f t="shared" si="185"/>
        <v>0.17</v>
      </c>
      <c r="FL61" s="3">
        <v>3.56</v>
      </c>
      <c r="FM61" s="3">
        <f t="shared" si="101"/>
        <v>3.56</v>
      </c>
      <c r="FN61" s="4">
        <f t="shared" si="186"/>
        <v>3.56</v>
      </c>
      <c r="FO61" s="3">
        <v>1.61</v>
      </c>
      <c r="FP61" s="3">
        <f t="shared" si="103"/>
        <v>1.61</v>
      </c>
      <c r="FQ61" s="4">
        <f t="shared" si="187"/>
        <v>1.61</v>
      </c>
      <c r="FR61" s="3">
        <v>2.21</v>
      </c>
      <c r="FS61" s="3">
        <f t="shared" si="105"/>
        <v>2.21</v>
      </c>
      <c r="FT61" s="4">
        <f t="shared" si="188"/>
        <v>2.21</v>
      </c>
      <c r="FU61" s="3">
        <v>0.24</v>
      </c>
      <c r="FV61" s="3">
        <f t="shared" si="107"/>
        <v>0.24</v>
      </c>
      <c r="FW61" s="4">
        <f t="shared" si="189"/>
        <v>0.24</v>
      </c>
      <c r="FX61" s="3">
        <v>0.2</v>
      </c>
      <c r="FY61" s="3">
        <f t="shared" si="109"/>
        <v>0.2</v>
      </c>
      <c r="FZ61" s="21">
        <f t="shared" si="190"/>
        <v>0.2</v>
      </c>
      <c r="GB61" s="20" t="s">
        <v>497</v>
      </c>
      <c r="GC61" s="3">
        <v>0.85</v>
      </c>
      <c r="GD61" s="3">
        <f t="shared" si="111"/>
        <v>0.85</v>
      </c>
      <c r="GE61" s="4">
        <f t="shared" si="191"/>
        <v>0.85</v>
      </c>
      <c r="GF61" s="3">
        <v>0.45</v>
      </c>
      <c r="GG61" s="3">
        <f t="shared" si="113"/>
        <v>0.45</v>
      </c>
      <c r="GH61" s="4">
        <f t="shared" si="192"/>
        <v>0.45</v>
      </c>
      <c r="GI61" s="3">
        <v>0.15</v>
      </c>
      <c r="GJ61" s="3">
        <f t="shared" si="115"/>
        <v>0.15</v>
      </c>
      <c r="GK61" s="4">
        <f t="shared" si="193"/>
        <v>0.15</v>
      </c>
      <c r="GL61" s="3">
        <v>1.17</v>
      </c>
      <c r="GM61" s="3">
        <f t="shared" si="117"/>
        <v>1.17</v>
      </c>
      <c r="GN61" s="4">
        <f t="shared" si="194"/>
        <v>1.17</v>
      </c>
      <c r="GO61" s="3">
        <v>2.21</v>
      </c>
      <c r="GP61" s="3">
        <f t="shared" si="119"/>
        <v>2.21</v>
      </c>
      <c r="GQ61" s="4">
        <f t="shared" si="195"/>
        <v>2.21</v>
      </c>
      <c r="GR61" s="3">
        <v>0.73</v>
      </c>
      <c r="GS61" s="3">
        <f t="shared" si="121"/>
        <v>0.73</v>
      </c>
      <c r="GT61" s="4">
        <f t="shared" si="196"/>
        <v>0.73</v>
      </c>
      <c r="GU61" s="3">
        <v>0.28000000000000003</v>
      </c>
      <c r="GV61" s="3">
        <f t="shared" si="123"/>
        <v>0.28000000000000003</v>
      </c>
      <c r="GW61" s="4">
        <f t="shared" si="197"/>
        <v>0.28000000000000003</v>
      </c>
      <c r="GX61" s="3">
        <v>1.89</v>
      </c>
      <c r="GY61" s="3">
        <f t="shared" si="125"/>
        <v>1.89</v>
      </c>
      <c r="GZ61" s="21">
        <f t="shared" si="198"/>
        <v>1.89</v>
      </c>
    </row>
    <row r="62" spans="2:208" ht="15.75" thickBot="1">
      <c r="B62" s="20" t="s">
        <v>498</v>
      </c>
      <c r="C62" s="3">
        <v>3.01</v>
      </c>
      <c r="D62" s="3">
        <f t="shared" si="128"/>
        <v>3.01</v>
      </c>
      <c r="E62" s="4">
        <f t="shared" si="129"/>
        <v>3.01</v>
      </c>
      <c r="F62" s="3">
        <v>4.38</v>
      </c>
      <c r="G62" s="3">
        <f t="shared" si="130"/>
        <v>4.38</v>
      </c>
      <c r="H62" s="4">
        <f t="shared" si="131"/>
        <v>4.38</v>
      </c>
      <c r="I62" s="3">
        <v>5.34</v>
      </c>
      <c r="J62" s="3">
        <f t="shared" si="132"/>
        <v>5.34</v>
      </c>
      <c r="K62" s="4">
        <f t="shared" si="133"/>
        <v>5.34</v>
      </c>
      <c r="L62" s="3">
        <v>5.6</v>
      </c>
      <c r="M62" s="3">
        <f t="shared" si="134"/>
        <v>5.6</v>
      </c>
      <c r="N62" s="4">
        <f t="shared" si="135"/>
        <v>5.6</v>
      </c>
      <c r="O62" s="3">
        <v>4.32</v>
      </c>
      <c r="P62" s="3">
        <f t="shared" si="136"/>
        <v>4.32</v>
      </c>
      <c r="Q62" s="4">
        <f t="shared" si="137"/>
        <v>4.32</v>
      </c>
      <c r="R62" s="3">
        <v>4.84</v>
      </c>
      <c r="S62" s="3">
        <f t="shared" si="138"/>
        <v>4.84</v>
      </c>
      <c r="T62" s="4">
        <f t="shared" si="139"/>
        <v>4.84</v>
      </c>
      <c r="U62" s="3">
        <v>1.76</v>
      </c>
      <c r="V62" s="3">
        <f t="shared" si="140"/>
        <v>1.76</v>
      </c>
      <c r="W62" s="4">
        <f t="shared" si="141"/>
        <v>1.76</v>
      </c>
      <c r="X62" s="3">
        <v>1.64</v>
      </c>
      <c r="Y62" s="3">
        <f t="shared" si="142"/>
        <v>1.64</v>
      </c>
      <c r="Z62" s="21" t="str">
        <f t="shared" si="143"/>
        <v/>
      </c>
      <c r="AB62" s="20" t="s">
        <v>499</v>
      </c>
      <c r="AC62" s="3">
        <v>2.85</v>
      </c>
      <c r="AD62" s="3">
        <f t="shared" si="144"/>
        <v>2.85</v>
      </c>
      <c r="AE62" s="4">
        <f t="shared" si="145"/>
        <v>2.85</v>
      </c>
      <c r="AF62" s="3">
        <v>5.4</v>
      </c>
      <c r="AG62" s="3">
        <f t="shared" si="146"/>
        <v>5.4</v>
      </c>
      <c r="AH62" s="4">
        <f t="shared" si="147"/>
        <v>5.4</v>
      </c>
      <c r="AI62" s="3">
        <v>5.17</v>
      </c>
      <c r="AJ62" s="3">
        <f t="shared" si="148"/>
        <v>5.17</v>
      </c>
      <c r="AK62" s="4">
        <f t="shared" si="149"/>
        <v>5.17</v>
      </c>
      <c r="AL62" s="3">
        <v>0.24</v>
      </c>
      <c r="AM62" s="3">
        <f t="shared" si="150"/>
        <v>0.24</v>
      </c>
      <c r="AN62" s="4" t="str">
        <f t="shared" si="151"/>
        <v/>
      </c>
      <c r="AO62" s="3">
        <v>0</v>
      </c>
      <c r="AP62" s="3" t="str">
        <f t="shared" si="152"/>
        <v/>
      </c>
      <c r="AQ62" s="4" t="str">
        <f t="shared" si="153"/>
        <v/>
      </c>
      <c r="AR62" s="3">
        <v>3.73</v>
      </c>
      <c r="AS62" s="3">
        <f t="shared" si="154"/>
        <v>3.73</v>
      </c>
      <c r="AT62" s="4">
        <f t="shared" si="155"/>
        <v>3.73</v>
      </c>
      <c r="AU62" s="3">
        <v>3.05</v>
      </c>
      <c r="AV62" s="3">
        <f t="shared" si="156"/>
        <v>3.05</v>
      </c>
      <c r="AW62" s="4">
        <f t="shared" si="157"/>
        <v>3.05</v>
      </c>
      <c r="AX62" s="3">
        <v>3.46</v>
      </c>
      <c r="AY62" s="3">
        <f t="shared" si="158"/>
        <v>3.46</v>
      </c>
      <c r="AZ62" s="21">
        <f t="shared" si="31"/>
        <v>3.46</v>
      </c>
      <c r="BB62" s="20" t="s">
        <v>500</v>
      </c>
      <c r="BC62" s="3">
        <v>2.88</v>
      </c>
      <c r="BD62" s="3">
        <f t="shared" si="32"/>
        <v>2.88</v>
      </c>
      <c r="BE62" s="4" t="str">
        <f t="shared" si="33"/>
        <v/>
      </c>
      <c r="BF62" s="3">
        <v>4.25</v>
      </c>
      <c r="BG62" s="3">
        <f t="shared" si="34"/>
        <v>4.25</v>
      </c>
      <c r="BH62" s="4">
        <f t="shared" si="35"/>
        <v>4.25</v>
      </c>
      <c r="BI62" s="3">
        <v>4.1500000000000004</v>
      </c>
      <c r="BJ62" s="3">
        <f t="shared" si="36"/>
        <v>4.1500000000000004</v>
      </c>
      <c r="BK62" s="4">
        <f t="shared" si="37"/>
        <v>4.1500000000000004</v>
      </c>
      <c r="BL62" s="3">
        <v>4.3099999999999996</v>
      </c>
      <c r="BM62" s="3">
        <f t="shared" si="38"/>
        <v>4.3099999999999996</v>
      </c>
      <c r="BN62" s="4">
        <f t="shared" si="39"/>
        <v>4.3099999999999996</v>
      </c>
      <c r="BO62" s="3">
        <v>3.6</v>
      </c>
      <c r="BP62" s="3">
        <f t="shared" si="40"/>
        <v>3.6</v>
      </c>
      <c r="BQ62" s="4">
        <f t="shared" si="41"/>
        <v>3.6</v>
      </c>
      <c r="BR62" s="3">
        <v>3.13</v>
      </c>
      <c r="BS62" s="3">
        <f t="shared" si="42"/>
        <v>3.13</v>
      </c>
      <c r="BT62" s="4">
        <f t="shared" si="43"/>
        <v>3.13</v>
      </c>
      <c r="BU62" s="3">
        <v>1.63</v>
      </c>
      <c r="BV62" s="3">
        <f t="shared" si="44"/>
        <v>1.63</v>
      </c>
      <c r="BW62" s="4">
        <f t="shared" si="45"/>
        <v>1.63</v>
      </c>
      <c r="BX62" s="3">
        <v>1.23</v>
      </c>
      <c r="BY62" s="3">
        <f t="shared" si="46"/>
        <v>1.23</v>
      </c>
      <c r="BZ62" s="21">
        <f t="shared" si="47"/>
        <v>1.23</v>
      </c>
      <c r="CB62" s="20" t="s">
        <v>501</v>
      </c>
      <c r="CC62" s="3">
        <v>4.1500000000000004</v>
      </c>
      <c r="CD62" s="3">
        <f t="shared" si="48"/>
        <v>4.1500000000000004</v>
      </c>
      <c r="CE62" s="4">
        <f t="shared" si="159"/>
        <v>4.1500000000000004</v>
      </c>
      <c r="CF62" s="3">
        <v>6.09</v>
      </c>
      <c r="CG62" s="3">
        <f t="shared" si="50"/>
        <v>6.09</v>
      </c>
      <c r="CH62" s="4">
        <f t="shared" si="160"/>
        <v>6.09</v>
      </c>
      <c r="CI62" s="3">
        <v>3.77</v>
      </c>
      <c r="CJ62" s="3">
        <f t="shared" si="52"/>
        <v>3.77</v>
      </c>
      <c r="CK62" s="4">
        <f t="shared" si="161"/>
        <v>3.77</v>
      </c>
      <c r="CL62" s="3">
        <v>5.1100000000000003</v>
      </c>
      <c r="CM62" s="3">
        <f t="shared" si="54"/>
        <v>5.1100000000000003</v>
      </c>
      <c r="CN62" s="4">
        <f t="shared" si="162"/>
        <v>5.1100000000000003</v>
      </c>
      <c r="CO62" s="3">
        <v>5.43</v>
      </c>
      <c r="CP62" s="3">
        <f t="shared" si="56"/>
        <v>5.43</v>
      </c>
      <c r="CQ62" s="4">
        <f t="shared" si="163"/>
        <v>5.43</v>
      </c>
      <c r="CR62" s="3">
        <v>1.85</v>
      </c>
      <c r="CS62" s="3">
        <f t="shared" si="58"/>
        <v>1.85</v>
      </c>
      <c r="CT62" s="4">
        <f t="shared" si="164"/>
        <v>1.85</v>
      </c>
      <c r="CU62" s="3">
        <v>3.74</v>
      </c>
      <c r="CV62" s="3">
        <f t="shared" si="60"/>
        <v>3.74</v>
      </c>
      <c r="CW62" s="4">
        <f t="shared" si="165"/>
        <v>3.74</v>
      </c>
      <c r="CX62" s="3">
        <v>0</v>
      </c>
      <c r="CY62" s="3" t="str">
        <f t="shared" si="62"/>
        <v/>
      </c>
      <c r="CZ62" s="21" t="str">
        <f t="shared" si="166"/>
        <v/>
      </c>
      <c r="DB62" s="20" t="s">
        <v>502</v>
      </c>
      <c r="DC62" s="23">
        <v>0</v>
      </c>
      <c r="DD62" s="23" t="str">
        <f t="shared" si="64"/>
        <v/>
      </c>
      <c r="DE62" s="24" t="str">
        <f t="shared" si="167"/>
        <v/>
      </c>
      <c r="DF62" s="23">
        <v>1.17</v>
      </c>
      <c r="DG62" s="23">
        <f t="shared" si="66"/>
        <v>1.17</v>
      </c>
      <c r="DH62" s="24">
        <f t="shared" si="168"/>
        <v>1.17</v>
      </c>
      <c r="DI62" s="23">
        <v>2.59</v>
      </c>
      <c r="DJ62" s="23">
        <f t="shared" si="68"/>
        <v>2.59</v>
      </c>
      <c r="DK62" s="24">
        <f t="shared" si="169"/>
        <v>2.59</v>
      </c>
      <c r="DL62" s="23">
        <v>3.04</v>
      </c>
      <c r="DM62" s="23">
        <f t="shared" si="127"/>
        <v>3.04</v>
      </c>
      <c r="DN62" s="24">
        <f t="shared" si="170"/>
        <v>3.04</v>
      </c>
      <c r="DO62" s="23">
        <v>1.37</v>
      </c>
      <c r="DP62" s="23">
        <f t="shared" si="71"/>
        <v>1.37</v>
      </c>
      <c r="DQ62" s="24">
        <f t="shared" si="171"/>
        <v>1.37</v>
      </c>
      <c r="DR62" s="23">
        <v>85.32</v>
      </c>
      <c r="DS62" s="23">
        <f t="shared" si="73"/>
        <v>85.32</v>
      </c>
      <c r="DT62" s="24" t="str">
        <f t="shared" si="172"/>
        <v/>
      </c>
      <c r="DU62" s="23">
        <v>1.17</v>
      </c>
      <c r="DV62" s="23">
        <f t="shared" si="75"/>
        <v>1.17</v>
      </c>
      <c r="DW62" s="24">
        <f t="shared" si="173"/>
        <v>1.17</v>
      </c>
      <c r="DX62" s="23">
        <v>2.59</v>
      </c>
      <c r="DY62" s="23">
        <f t="shared" si="77"/>
        <v>2.59</v>
      </c>
      <c r="DZ62" s="25">
        <f t="shared" si="174"/>
        <v>2.59</v>
      </c>
      <c r="EB62" s="22" t="s">
        <v>503</v>
      </c>
      <c r="EC62" s="23">
        <v>0.62</v>
      </c>
      <c r="ED62" s="23">
        <f t="shared" si="79"/>
        <v>0.62</v>
      </c>
      <c r="EE62" s="24">
        <f t="shared" si="175"/>
        <v>0.62</v>
      </c>
      <c r="EF62" s="23">
        <v>4.18</v>
      </c>
      <c r="EG62" s="23">
        <f t="shared" si="81"/>
        <v>4.18</v>
      </c>
      <c r="EH62" s="24">
        <f t="shared" si="176"/>
        <v>4.18</v>
      </c>
      <c r="EI62" s="23">
        <v>0.39</v>
      </c>
      <c r="EJ62" s="23">
        <f t="shared" si="83"/>
        <v>0.39</v>
      </c>
      <c r="EK62" s="24">
        <f t="shared" si="177"/>
        <v>0.39</v>
      </c>
      <c r="EL62" s="23">
        <v>1.61</v>
      </c>
      <c r="EM62" s="23">
        <f t="shared" si="85"/>
        <v>1.61</v>
      </c>
      <c r="EN62" s="24">
        <f t="shared" si="178"/>
        <v>1.61</v>
      </c>
      <c r="EO62" s="23">
        <v>2.21</v>
      </c>
      <c r="EP62" s="23">
        <f t="shared" si="87"/>
        <v>2.21</v>
      </c>
      <c r="EQ62" s="24">
        <f t="shared" si="179"/>
        <v>2.21</v>
      </c>
      <c r="ER62" s="23">
        <v>1.89</v>
      </c>
      <c r="ES62" s="23">
        <f t="shared" si="89"/>
        <v>1.89</v>
      </c>
      <c r="ET62" s="24">
        <f t="shared" si="180"/>
        <v>1.89</v>
      </c>
      <c r="EU62" s="23">
        <v>0.73</v>
      </c>
      <c r="EV62" s="23">
        <f t="shared" si="91"/>
        <v>0.73</v>
      </c>
      <c r="EW62" s="24">
        <f t="shared" si="181"/>
        <v>0.73</v>
      </c>
      <c r="EX62" s="23">
        <v>4.18</v>
      </c>
      <c r="EY62" s="23">
        <f t="shared" si="93"/>
        <v>4.18</v>
      </c>
      <c r="EZ62" s="25" t="str">
        <f t="shared" si="182"/>
        <v/>
      </c>
      <c r="FB62" s="20" t="s">
        <v>504</v>
      </c>
      <c r="FC62" s="23">
        <v>12.69</v>
      </c>
      <c r="FD62" s="23">
        <f t="shared" si="95"/>
        <v>12.69</v>
      </c>
      <c r="FE62" s="24">
        <f t="shared" si="183"/>
        <v>12.69</v>
      </c>
      <c r="FF62" s="23">
        <v>1.37</v>
      </c>
      <c r="FG62" s="23">
        <f t="shared" si="97"/>
        <v>1.37</v>
      </c>
      <c r="FH62" s="24">
        <f t="shared" si="184"/>
        <v>1.37</v>
      </c>
      <c r="FI62" s="23">
        <v>1.61</v>
      </c>
      <c r="FJ62" s="23">
        <f t="shared" si="99"/>
        <v>1.61</v>
      </c>
      <c r="FK62" s="24">
        <f t="shared" si="185"/>
        <v>1.61</v>
      </c>
      <c r="FL62" s="23">
        <v>1.89</v>
      </c>
      <c r="FM62" s="23">
        <f t="shared" si="101"/>
        <v>1.89</v>
      </c>
      <c r="FN62" s="24" t="str">
        <f t="shared" si="186"/>
        <v/>
      </c>
      <c r="FO62" s="23">
        <v>1.17</v>
      </c>
      <c r="FP62" s="23">
        <f t="shared" si="103"/>
        <v>1.17</v>
      </c>
      <c r="FQ62" s="24" t="str">
        <f t="shared" si="187"/>
        <v/>
      </c>
      <c r="FR62" s="23">
        <v>2.59</v>
      </c>
      <c r="FS62" s="23">
        <f t="shared" si="105"/>
        <v>2.59</v>
      </c>
      <c r="FT62" s="24">
        <f t="shared" si="188"/>
        <v>2.59</v>
      </c>
      <c r="FU62" s="23">
        <v>0.24</v>
      </c>
      <c r="FV62" s="23">
        <f t="shared" si="107"/>
        <v>0.24</v>
      </c>
      <c r="FW62" s="24">
        <f t="shared" si="189"/>
        <v>0.24</v>
      </c>
      <c r="FX62" s="23">
        <v>0.2</v>
      </c>
      <c r="FY62" s="23">
        <f t="shared" si="109"/>
        <v>0.2</v>
      </c>
      <c r="FZ62" s="25">
        <f t="shared" si="190"/>
        <v>0.2</v>
      </c>
      <c r="GB62" s="20" t="s">
        <v>505</v>
      </c>
      <c r="GC62" s="23">
        <v>0.85</v>
      </c>
      <c r="GD62" s="23">
        <f t="shared" si="111"/>
        <v>0.85</v>
      </c>
      <c r="GE62" s="24">
        <f t="shared" si="191"/>
        <v>0.85</v>
      </c>
      <c r="GF62" s="23">
        <v>0.39</v>
      </c>
      <c r="GG62" s="23">
        <f t="shared" si="113"/>
        <v>0.39</v>
      </c>
      <c r="GH62" s="24">
        <f t="shared" si="192"/>
        <v>0.39</v>
      </c>
      <c r="GI62" s="23">
        <v>0.15</v>
      </c>
      <c r="GJ62" s="23">
        <f t="shared" si="115"/>
        <v>0.15</v>
      </c>
      <c r="GK62" s="24">
        <f t="shared" si="193"/>
        <v>0.15</v>
      </c>
      <c r="GL62" s="23">
        <v>1.17</v>
      </c>
      <c r="GM62" s="23">
        <f t="shared" si="117"/>
        <v>1.17</v>
      </c>
      <c r="GN62" s="24">
        <f t="shared" si="194"/>
        <v>1.17</v>
      </c>
      <c r="GO62" s="23">
        <v>1.89</v>
      </c>
      <c r="GP62" s="23">
        <f t="shared" si="119"/>
        <v>1.89</v>
      </c>
      <c r="GQ62" s="24">
        <f t="shared" si="195"/>
        <v>1.89</v>
      </c>
      <c r="GR62" s="23">
        <v>0.62</v>
      </c>
      <c r="GS62" s="23">
        <f t="shared" si="121"/>
        <v>0.62</v>
      </c>
      <c r="GT62" s="24">
        <f t="shared" si="196"/>
        <v>0.62</v>
      </c>
      <c r="GU62" s="23">
        <v>0.28000000000000003</v>
      </c>
      <c r="GV62" s="23">
        <f t="shared" si="123"/>
        <v>0.28000000000000003</v>
      </c>
      <c r="GW62" s="24">
        <f t="shared" si="197"/>
        <v>0.28000000000000003</v>
      </c>
      <c r="GX62" s="23">
        <v>2.21</v>
      </c>
      <c r="GY62" s="23">
        <f t="shared" si="125"/>
        <v>2.21</v>
      </c>
      <c r="GZ62" s="25">
        <f t="shared" si="198"/>
        <v>2.21</v>
      </c>
    </row>
    <row r="63" spans="2:208">
      <c r="B63" s="20" t="s">
        <v>506</v>
      </c>
      <c r="C63" s="3">
        <v>2.97</v>
      </c>
      <c r="D63" s="3">
        <f t="shared" si="128"/>
        <v>2.97</v>
      </c>
      <c r="E63" s="4">
        <f t="shared" si="129"/>
        <v>2.97</v>
      </c>
      <c r="F63" s="3">
        <v>4.41</v>
      </c>
      <c r="G63" s="3">
        <f t="shared" si="130"/>
        <v>4.41</v>
      </c>
      <c r="H63" s="4">
        <f t="shared" si="131"/>
        <v>4.41</v>
      </c>
      <c r="I63" s="3">
        <v>5.28</v>
      </c>
      <c r="J63" s="3">
        <f t="shared" si="132"/>
        <v>5.28</v>
      </c>
      <c r="K63" s="4">
        <f t="shared" si="133"/>
        <v>5.28</v>
      </c>
      <c r="L63" s="3">
        <v>5.65</v>
      </c>
      <c r="M63" s="3">
        <f t="shared" si="134"/>
        <v>5.65</v>
      </c>
      <c r="N63" s="4">
        <f t="shared" si="135"/>
        <v>5.65</v>
      </c>
      <c r="O63" s="3">
        <v>4.34</v>
      </c>
      <c r="P63" s="3">
        <f t="shared" si="136"/>
        <v>4.34</v>
      </c>
      <c r="Q63" s="4">
        <f t="shared" si="137"/>
        <v>4.34</v>
      </c>
      <c r="R63" s="3">
        <v>4.8099999999999996</v>
      </c>
      <c r="S63" s="3">
        <f t="shared" si="138"/>
        <v>4.8099999999999996</v>
      </c>
      <c r="T63" s="4">
        <f t="shared" si="139"/>
        <v>4.8099999999999996</v>
      </c>
      <c r="U63" s="3">
        <v>1.74</v>
      </c>
      <c r="V63" s="3">
        <f t="shared" si="140"/>
        <v>1.74</v>
      </c>
      <c r="W63" s="4">
        <f t="shared" si="141"/>
        <v>1.74</v>
      </c>
      <c r="X63" s="3">
        <v>2.2799999999999998</v>
      </c>
      <c r="Y63" s="3">
        <f t="shared" si="142"/>
        <v>2.2799999999999998</v>
      </c>
      <c r="Z63" s="21">
        <f t="shared" si="143"/>
        <v>2.2799999999999998</v>
      </c>
      <c r="AB63" s="20" t="s">
        <v>507</v>
      </c>
      <c r="AC63" s="3">
        <v>2.83</v>
      </c>
      <c r="AD63" s="3">
        <f t="shared" si="144"/>
        <v>2.83</v>
      </c>
      <c r="AE63" s="4">
        <f t="shared" si="145"/>
        <v>2.83</v>
      </c>
      <c r="AF63" s="3">
        <v>5.51</v>
      </c>
      <c r="AG63" s="3">
        <f t="shared" si="146"/>
        <v>5.51</v>
      </c>
      <c r="AH63" s="4">
        <f t="shared" si="147"/>
        <v>5.51</v>
      </c>
      <c r="AI63" s="3">
        <v>5.13</v>
      </c>
      <c r="AJ63" s="3">
        <f t="shared" si="148"/>
        <v>5.13</v>
      </c>
      <c r="AK63" s="4">
        <f t="shared" si="149"/>
        <v>5.13</v>
      </c>
      <c r="AL63" s="3">
        <v>5.12</v>
      </c>
      <c r="AM63" s="3">
        <f t="shared" si="150"/>
        <v>5.12</v>
      </c>
      <c r="AN63" s="4">
        <f t="shared" si="151"/>
        <v>5.12</v>
      </c>
      <c r="AO63" s="3">
        <v>0</v>
      </c>
      <c r="AP63" s="3" t="str">
        <f t="shared" si="152"/>
        <v/>
      </c>
      <c r="AQ63" s="4" t="str">
        <f t="shared" si="153"/>
        <v/>
      </c>
      <c r="AR63" s="3">
        <v>1.07</v>
      </c>
      <c r="AS63" s="3">
        <f t="shared" si="154"/>
        <v>1.07</v>
      </c>
      <c r="AT63" s="4" t="str">
        <f t="shared" si="155"/>
        <v/>
      </c>
      <c r="AU63" s="3">
        <v>3.05</v>
      </c>
      <c r="AV63" s="3">
        <f t="shared" si="156"/>
        <v>3.05</v>
      </c>
      <c r="AW63" s="4">
        <f t="shared" si="157"/>
        <v>3.05</v>
      </c>
      <c r="AX63" s="3">
        <v>3.45</v>
      </c>
      <c r="AY63" s="3">
        <f t="shared" si="158"/>
        <v>3.45</v>
      </c>
      <c r="AZ63" s="21">
        <f t="shared" si="31"/>
        <v>3.45</v>
      </c>
      <c r="BB63" s="20" t="s">
        <v>508</v>
      </c>
      <c r="BC63" s="3">
        <v>3.93</v>
      </c>
      <c r="BD63" s="3">
        <f t="shared" si="32"/>
        <v>3.93</v>
      </c>
      <c r="BE63" s="4">
        <f t="shared" si="33"/>
        <v>3.93</v>
      </c>
      <c r="BF63" s="3">
        <v>4.26</v>
      </c>
      <c r="BG63" s="3">
        <f t="shared" si="34"/>
        <v>4.26</v>
      </c>
      <c r="BH63" s="4">
        <f t="shared" si="35"/>
        <v>4.26</v>
      </c>
      <c r="BI63" s="3">
        <v>4.17</v>
      </c>
      <c r="BJ63" s="3">
        <f t="shared" si="36"/>
        <v>4.17</v>
      </c>
      <c r="BK63" s="4">
        <f t="shared" si="37"/>
        <v>4.17</v>
      </c>
      <c r="BL63" s="3">
        <v>4.34</v>
      </c>
      <c r="BM63" s="3">
        <f t="shared" si="38"/>
        <v>4.34</v>
      </c>
      <c r="BN63" s="4">
        <f t="shared" si="39"/>
        <v>4.34</v>
      </c>
      <c r="BO63" s="3">
        <v>3.61</v>
      </c>
      <c r="BP63" s="3">
        <f t="shared" si="40"/>
        <v>3.61</v>
      </c>
      <c r="BQ63" s="4">
        <f t="shared" si="41"/>
        <v>3.61</v>
      </c>
      <c r="BR63" s="3">
        <v>3.14</v>
      </c>
      <c r="BS63" s="3">
        <f t="shared" si="42"/>
        <v>3.14</v>
      </c>
      <c r="BT63" s="4">
        <f t="shared" si="43"/>
        <v>3.14</v>
      </c>
      <c r="BU63" s="3">
        <v>1.64</v>
      </c>
      <c r="BV63" s="3">
        <f t="shared" si="44"/>
        <v>1.64</v>
      </c>
      <c r="BW63" s="4">
        <f t="shared" si="45"/>
        <v>1.64</v>
      </c>
      <c r="BX63" s="3">
        <v>1.27</v>
      </c>
      <c r="BY63" s="3">
        <f t="shared" si="46"/>
        <v>1.27</v>
      </c>
      <c r="BZ63" s="21">
        <f t="shared" si="47"/>
        <v>1.27</v>
      </c>
      <c r="CB63" s="20" t="s">
        <v>509</v>
      </c>
      <c r="CC63" s="3">
        <v>4.17</v>
      </c>
      <c r="CD63" s="3">
        <f t="shared" si="48"/>
        <v>4.17</v>
      </c>
      <c r="CE63" s="4">
        <f t="shared" si="159"/>
        <v>4.17</v>
      </c>
      <c r="CF63" s="3">
        <v>6.09</v>
      </c>
      <c r="CG63" s="3">
        <f t="shared" si="50"/>
        <v>6.09</v>
      </c>
      <c r="CH63" s="4">
        <f t="shared" si="160"/>
        <v>6.09</v>
      </c>
      <c r="CI63" s="3">
        <v>3.77</v>
      </c>
      <c r="CJ63" s="3">
        <f t="shared" si="52"/>
        <v>3.77</v>
      </c>
      <c r="CK63" s="4">
        <f t="shared" si="161"/>
        <v>3.77</v>
      </c>
      <c r="CL63" s="3">
        <v>5.18</v>
      </c>
      <c r="CM63" s="3">
        <f t="shared" si="54"/>
        <v>5.18</v>
      </c>
      <c r="CN63" s="4">
        <f t="shared" si="162"/>
        <v>5.18</v>
      </c>
      <c r="CO63" s="3">
        <v>5.47</v>
      </c>
      <c r="CP63" s="3">
        <f t="shared" si="56"/>
        <v>5.47</v>
      </c>
      <c r="CQ63" s="4">
        <f t="shared" si="163"/>
        <v>5.47</v>
      </c>
      <c r="CR63" s="3">
        <v>1.85</v>
      </c>
      <c r="CS63" s="3">
        <f t="shared" si="58"/>
        <v>1.85</v>
      </c>
      <c r="CT63" s="4">
        <f t="shared" si="164"/>
        <v>1.85</v>
      </c>
      <c r="CU63" s="3">
        <v>3.73</v>
      </c>
      <c r="CV63" s="3">
        <f t="shared" si="60"/>
        <v>3.73</v>
      </c>
      <c r="CW63" s="4">
        <f t="shared" si="165"/>
        <v>3.73</v>
      </c>
      <c r="CX63" s="3">
        <v>3.18</v>
      </c>
      <c r="CY63" s="3">
        <f t="shared" si="62"/>
        <v>3.18</v>
      </c>
      <c r="CZ63" s="21">
        <f t="shared" si="166"/>
        <v>3.18</v>
      </c>
      <c r="DB63" s="51" t="s">
        <v>510</v>
      </c>
      <c r="DC63" s="8"/>
      <c r="DD63" s="8">
        <f t="shared" ref="DD63:DZ63" si="199">AVERAGE(DD4:DD62)</f>
        <v>2.8743999999999983</v>
      </c>
      <c r="DE63" s="8">
        <f t="shared" si="199"/>
        <v>2.3212499999999987</v>
      </c>
      <c r="DF63" s="8">
        <f t="shared" si="199"/>
        <v>1.0533898305084755</v>
      </c>
      <c r="DG63" s="8">
        <f t="shared" si="199"/>
        <v>1.2947916666666677</v>
      </c>
      <c r="DH63" s="8">
        <f t="shared" si="199"/>
        <v>1.1415555555555565</v>
      </c>
      <c r="DI63" s="8">
        <f t="shared" si="199"/>
        <v>2.4245762711864418</v>
      </c>
      <c r="DJ63" s="8">
        <f t="shared" si="199"/>
        <v>2.7509615384615396</v>
      </c>
      <c r="DK63" s="8">
        <f t="shared" si="199"/>
        <v>2.5597916666666682</v>
      </c>
      <c r="DL63" s="8">
        <f t="shared" si="199"/>
        <v>3.7483050847457626</v>
      </c>
      <c r="DM63" s="8">
        <f t="shared" si="199"/>
        <v>3.7483050847457626</v>
      </c>
      <c r="DN63" s="8">
        <f t="shared" si="199"/>
        <v>3.3131578947368432</v>
      </c>
      <c r="DO63" s="8">
        <f t="shared" si="199"/>
        <v>1.7544067796610174</v>
      </c>
      <c r="DP63" s="8">
        <f t="shared" si="199"/>
        <v>1.7544067796610174</v>
      </c>
      <c r="DQ63" s="8">
        <f t="shared" si="199"/>
        <v>1.393272727272727</v>
      </c>
      <c r="DR63" s="8">
        <f t="shared" si="199"/>
        <v>22.182203389830505</v>
      </c>
      <c r="DS63" s="8">
        <f t="shared" si="199"/>
        <v>6.4343749999999993</v>
      </c>
      <c r="DT63" s="8">
        <f t="shared" si="199"/>
        <v>1.6913333333333342</v>
      </c>
      <c r="DU63" s="8">
        <f t="shared" si="199"/>
        <v>1.0323728813559323</v>
      </c>
      <c r="DV63" s="8">
        <f t="shared" si="199"/>
        <v>1.0323728813559323</v>
      </c>
      <c r="DW63" s="8">
        <f t="shared" si="199"/>
        <v>1.260909090909091</v>
      </c>
      <c r="DX63" s="8">
        <f t="shared" si="199"/>
        <v>0.95745762711864402</v>
      </c>
      <c r="DY63" s="8">
        <f t="shared" si="199"/>
        <v>2.2595999999999998</v>
      </c>
      <c r="DZ63" s="9">
        <f t="shared" si="199"/>
        <v>2.8852941176470588</v>
      </c>
      <c r="EB63" s="51" t="s">
        <v>510</v>
      </c>
      <c r="EC63" s="8"/>
      <c r="ED63" s="8">
        <f t="shared" ref="ED63:EZ63" si="200">AVERAGE(ED4:ED62)</f>
        <v>0.59644067796610212</v>
      </c>
      <c r="EE63" s="8">
        <f t="shared" si="200"/>
        <v>0.53592592592592625</v>
      </c>
      <c r="EF63" s="8">
        <f t="shared" si="200"/>
        <v>3.0077966101694922</v>
      </c>
      <c r="EG63" s="8">
        <f t="shared" si="200"/>
        <v>3.0077966101694922</v>
      </c>
      <c r="EH63" s="8">
        <f t="shared" si="200"/>
        <v>3.836279069767444</v>
      </c>
      <c r="EI63" s="8">
        <f t="shared" si="200"/>
        <v>0.41610169491525412</v>
      </c>
      <c r="EJ63" s="8">
        <f t="shared" si="200"/>
        <v>0.41610169491525412</v>
      </c>
      <c r="EK63" s="8">
        <f t="shared" si="200"/>
        <v>0.32431034482758631</v>
      </c>
      <c r="EL63" s="8">
        <f t="shared" si="200"/>
        <v>1.8201694915254234</v>
      </c>
      <c r="EM63" s="8">
        <f t="shared" si="200"/>
        <v>1.8201694915254234</v>
      </c>
      <c r="EN63" s="8">
        <f t="shared" si="200"/>
        <v>1.6115094339622638</v>
      </c>
      <c r="EO63" s="8">
        <f t="shared" si="200"/>
        <v>5.6222033898305055</v>
      </c>
      <c r="EP63" s="8">
        <f t="shared" si="200"/>
        <v>5.6222033898305055</v>
      </c>
      <c r="EQ63" s="8">
        <f t="shared" si="200"/>
        <v>2.2660869565217383</v>
      </c>
      <c r="ER63" s="8">
        <f t="shared" si="200"/>
        <v>2.1145762711864404</v>
      </c>
      <c r="ES63" s="8">
        <f t="shared" si="200"/>
        <v>2.1145762711864404</v>
      </c>
      <c r="ET63" s="8">
        <f t="shared" si="200"/>
        <v>1.8057142857142858</v>
      </c>
      <c r="EU63" s="8">
        <f t="shared" si="200"/>
        <v>0.67372881355932179</v>
      </c>
      <c r="EV63" s="8">
        <f t="shared" si="200"/>
        <v>0.67372881355932179</v>
      </c>
      <c r="EW63" s="8">
        <f t="shared" si="200"/>
        <v>0.68999999999999984</v>
      </c>
      <c r="EX63" s="8">
        <f t="shared" si="200"/>
        <v>1.4623728813559331</v>
      </c>
      <c r="EY63" s="8">
        <f t="shared" si="200"/>
        <v>1.5407142857142868</v>
      </c>
      <c r="EZ63" s="9">
        <f t="shared" si="200"/>
        <v>1.1956000000000007</v>
      </c>
      <c r="FB63" s="51" t="s">
        <v>510</v>
      </c>
      <c r="FC63" s="8"/>
      <c r="FD63" s="8">
        <f t="shared" ref="FD63:FZ63" si="201">AVERAGE(FD4:FD62)</f>
        <v>12.188305084745769</v>
      </c>
      <c r="FE63" s="8">
        <f t="shared" si="201"/>
        <v>12.260769230769229</v>
      </c>
      <c r="FF63" s="8">
        <f t="shared" si="201"/>
        <v>1.2101694915254235</v>
      </c>
      <c r="FG63" s="8">
        <f t="shared" si="201"/>
        <v>1.2749999999999999</v>
      </c>
      <c r="FH63" s="8">
        <f t="shared" si="201"/>
        <v>1.3477777777777773</v>
      </c>
      <c r="FI63" s="8">
        <f t="shared" si="201"/>
        <v>1.4925423728813563</v>
      </c>
      <c r="FJ63" s="8">
        <f t="shared" si="201"/>
        <v>1.4925423728813563</v>
      </c>
      <c r="FK63" s="8">
        <f t="shared" si="201"/>
        <v>1.3315517241379311</v>
      </c>
      <c r="FL63" s="8">
        <f t="shared" si="201"/>
        <v>2.9455932203389841</v>
      </c>
      <c r="FM63" s="8">
        <f t="shared" si="201"/>
        <v>3.1598181818181827</v>
      </c>
      <c r="FN63" s="8">
        <f t="shared" si="201"/>
        <v>3.4609523809523828</v>
      </c>
      <c r="FO63" s="8">
        <f t="shared" si="201"/>
        <v>1.6905084745762713</v>
      </c>
      <c r="FP63" s="8">
        <f t="shared" si="201"/>
        <v>1.7196551724137932</v>
      </c>
      <c r="FQ63" s="8">
        <f t="shared" si="201"/>
        <v>1.7966666666666666</v>
      </c>
      <c r="FR63" s="8">
        <f t="shared" si="201"/>
        <v>2.4876271186440673</v>
      </c>
      <c r="FS63" s="8">
        <f t="shared" si="201"/>
        <v>2.4876271186440673</v>
      </c>
      <c r="FT63" s="8">
        <f t="shared" si="201"/>
        <v>2.4093877551020406</v>
      </c>
      <c r="FU63" s="8">
        <f t="shared" si="201"/>
        <v>0.24389830508474575</v>
      </c>
      <c r="FV63" s="8">
        <f t="shared" si="201"/>
        <v>0.24810344827586206</v>
      </c>
      <c r="FW63" s="8">
        <f t="shared" si="201"/>
        <v>0.21517857142857144</v>
      </c>
      <c r="FX63" s="8">
        <f t="shared" si="201"/>
        <v>0.27355932203389816</v>
      </c>
      <c r="FY63" s="8">
        <f t="shared" si="201"/>
        <v>0.27355932203389816</v>
      </c>
      <c r="FZ63" s="9">
        <f t="shared" si="201"/>
        <v>0.21122448979591835</v>
      </c>
      <c r="GB63" s="51" t="s">
        <v>510</v>
      </c>
      <c r="GC63" s="8"/>
      <c r="GD63" s="8">
        <f t="shared" ref="GD63:GZ63" si="202">AVERAGE(GD4:GD62)</f>
        <v>0.81851063829787296</v>
      </c>
      <c r="GE63" s="8">
        <f t="shared" si="202"/>
        <v>0.85000000000000042</v>
      </c>
      <c r="GF63" s="8">
        <f t="shared" si="202"/>
        <v>1.3184745762711878</v>
      </c>
      <c r="GG63" s="8">
        <f t="shared" si="202"/>
        <v>1.3184745762711878</v>
      </c>
      <c r="GH63" s="8">
        <f t="shared" si="202"/>
        <v>0.5975471698113205</v>
      </c>
      <c r="GI63" s="8">
        <f t="shared" si="202"/>
        <v>0.14694915254237298</v>
      </c>
      <c r="GJ63" s="8">
        <f t="shared" si="202"/>
        <v>0.14694915254237298</v>
      </c>
      <c r="GK63" s="8">
        <f t="shared" si="202"/>
        <v>0.14735849056603784</v>
      </c>
      <c r="GL63" s="8">
        <f t="shared" si="202"/>
        <v>1.6149152542372889</v>
      </c>
      <c r="GM63" s="8">
        <f t="shared" si="202"/>
        <v>2.0272340425531925</v>
      </c>
      <c r="GN63" s="8">
        <f t="shared" si="202"/>
        <v>1.5354545454545461</v>
      </c>
      <c r="GO63" s="8">
        <f t="shared" si="202"/>
        <v>1.7196610169491517</v>
      </c>
      <c r="GP63" s="8">
        <f t="shared" si="202"/>
        <v>1.8788888888888879</v>
      </c>
      <c r="GQ63" s="8">
        <f t="shared" si="202"/>
        <v>2.057826086956521</v>
      </c>
      <c r="GR63" s="8">
        <f t="shared" si="202"/>
        <v>0.61881355932203375</v>
      </c>
      <c r="GS63" s="8">
        <f t="shared" si="202"/>
        <v>0.61881355932203375</v>
      </c>
      <c r="GT63" s="8">
        <f t="shared" si="202"/>
        <v>0.70023255813953533</v>
      </c>
      <c r="GU63" s="8">
        <f t="shared" si="202"/>
        <v>0.30745762711864399</v>
      </c>
      <c r="GV63" s="8">
        <f t="shared" si="202"/>
        <v>0.30745762711864399</v>
      </c>
      <c r="GW63" s="8">
        <f t="shared" si="202"/>
        <v>0.2970454545454545</v>
      </c>
      <c r="GX63" s="8">
        <f t="shared" si="202"/>
        <v>2.4906779661016945</v>
      </c>
      <c r="GY63" s="8">
        <f t="shared" si="202"/>
        <v>2.4906779661016945</v>
      </c>
      <c r="GZ63" s="9">
        <f t="shared" si="202"/>
        <v>2.2176595744680845</v>
      </c>
    </row>
    <row r="64" spans="2:208">
      <c r="B64" s="20" t="s">
        <v>511</v>
      </c>
      <c r="C64" s="3">
        <v>1.07</v>
      </c>
      <c r="D64" s="3">
        <f t="shared" si="128"/>
        <v>1.07</v>
      </c>
      <c r="E64" s="4" t="str">
        <f t="shared" si="129"/>
        <v/>
      </c>
      <c r="F64" s="3">
        <v>4.3899999999999997</v>
      </c>
      <c r="G64" s="3">
        <f t="shared" si="130"/>
        <v>4.3899999999999997</v>
      </c>
      <c r="H64" s="4">
        <f t="shared" si="131"/>
        <v>4.3899999999999997</v>
      </c>
      <c r="I64" s="3">
        <v>5.34</v>
      </c>
      <c r="J64" s="3">
        <f t="shared" si="132"/>
        <v>5.34</v>
      </c>
      <c r="K64" s="4">
        <f t="shared" si="133"/>
        <v>5.34</v>
      </c>
      <c r="L64" s="3">
        <v>5.64</v>
      </c>
      <c r="M64" s="3">
        <f t="shared" si="134"/>
        <v>5.64</v>
      </c>
      <c r="N64" s="4">
        <f t="shared" si="135"/>
        <v>5.64</v>
      </c>
      <c r="O64" s="3">
        <v>99.99</v>
      </c>
      <c r="P64" s="3" t="str">
        <f t="shared" si="136"/>
        <v/>
      </c>
      <c r="Q64" s="4" t="str">
        <f t="shared" si="137"/>
        <v/>
      </c>
      <c r="R64" s="3">
        <v>4.82</v>
      </c>
      <c r="S64" s="3">
        <f t="shared" si="138"/>
        <v>4.82</v>
      </c>
      <c r="T64" s="4">
        <f t="shared" si="139"/>
        <v>4.82</v>
      </c>
      <c r="U64" s="3">
        <v>1.74</v>
      </c>
      <c r="V64" s="3">
        <f t="shared" si="140"/>
        <v>1.74</v>
      </c>
      <c r="W64" s="4">
        <f t="shared" si="141"/>
        <v>1.74</v>
      </c>
      <c r="X64" s="3">
        <v>2.61</v>
      </c>
      <c r="Y64" s="3">
        <f t="shared" si="142"/>
        <v>2.61</v>
      </c>
      <c r="Z64" s="21">
        <f t="shared" si="143"/>
        <v>2.61</v>
      </c>
      <c r="AB64" s="20" t="s">
        <v>512</v>
      </c>
      <c r="AC64" s="3">
        <v>2.84</v>
      </c>
      <c r="AD64" s="3">
        <f t="shared" si="144"/>
        <v>2.84</v>
      </c>
      <c r="AE64" s="4">
        <f t="shared" si="145"/>
        <v>2.84</v>
      </c>
      <c r="AF64" s="3">
        <v>5.46</v>
      </c>
      <c r="AG64" s="3">
        <f t="shared" si="146"/>
        <v>5.46</v>
      </c>
      <c r="AH64" s="4">
        <f t="shared" si="147"/>
        <v>5.46</v>
      </c>
      <c r="AI64" s="3">
        <v>5.16</v>
      </c>
      <c r="AJ64" s="3">
        <f t="shared" si="148"/>
        <v>5.16</v>
      </c>
      <c r="AK64" s="4">
        <f t="shared" si="149"/>
        <v>5.16</v>
      </c>
      <c r="AL64" s="3">
        <v>6.05</v>
      </c>
      <c r="AM64" s="3">
        <f t="shared" si="150"/>
        <v>6.05</v>
      </c>
      <c r="AN64" s="4">
        <f t="shared" si="151"/>
        <v>6.05</v>
      </c>
      <c r="AO64" s="3">
        <v>0</v>
      </c>
      <c r="AP64" s="3" t="str">
        <f t="shared" si="152"/>
        <v/>
      </c>
      <c r="AQ64" s="4" t="str">
        <f t="shared" si="153"/>
        <v/>
      </c>
      <c r="AR64" s="3">
        <v>3.73</v>
      </c>
      <c r="AS64" s="3">
        <f t="shared" si="154"/>
        <v>3.73</v>
      </c>
      <c r="AT64" s="4">
        <f t="shared" si="155"/>
        <v>3.73</v>
      </c>
      <c r="AU64" s="3">
        <v>3.1</v>
      </c>
      <c r="AV64" s="3">
        <f t="shared" si="156"/>
        <v>3.1</v>
      </c>
      <c r="AW64" s="4">
        <f t="shared" si="157"/>
        <v>3.1</v>
      </c>
      <c r="AX64" s="3">
        <v>4.16</v>
      </c>
      <c r="AY64" s="3">
        <f t="shared" si="158"/>
        <v>4.16</v>
      </c>
      <c r="AZ64" s="21" t="str">
        <f t="shared" si="31"/>
        <v/>
      </c>
      <c r="BB64" s="20" t="s">
        <v>513</v>
      </c>
      <c r="BC64" s="3">
        <v>3.92</v>
      </c>
      <c r="BD64" s="3">
        <f t="shared" si="32"/>
        <v>3.92</v>
      </c>
      <c r="BE64" s="4">
        <f t="shared" si="33"/>
        <v>3.92</v>
      </c>
      <c r="BF64" s="3">
        <v>4.29</v>
      </c>
      <c r="BG64" s="3">
        <f t="shared" si="34"/>
        <v>4.29</v>
      </c>
      <c r="BH64" s="4">
        <f t="shared" si="35"/>
        <v>4.29</v>
      </c>
      <c r="BI64" s="3">
        <v>4.18</v>
      </c>
      <c r="BJ64" s="3">
        <f t="shared" si="36"/>
        <v>4.18</v>
      </c>
      <c r="BK64" s="4">
        <f t="shared" si="37"/>
        <v>4.18</v>
      </c>
      <c r="BL64" s="3">
        <v>4.28</v>
      </c>
      <c r="BM64" s="3">
        <f t="shared" si="38"/>
        <v>4.28</v>
      </c>
      <c r="BN64" s="4">
        <f t="shared" si="39"/>
        <v>4.28</v>
      </c>
      <c r="BO64" s="3">
        <v>0.89</v>
      </c>
      <c r="BP64" s="3">
        <f t="shared" si="40"/>
        <v>0.89</v>
      </c>
      <c r="BQ64" s="4" t="str">
        <f t="shared" si="41"/>
        <v/>
      </c>
      <c r="BR64" s="3">
        <v>3.13</v>
      </c>
      <c r="BS64" s="3">
        <f t="shared" si="42"/>
        <v>3.13</v>
      </c>
      <c r="BT64" s="4">
        <f t="shared" si="43"/>
        <v>3.13</v>
      </c>
      <c r="BU64" s="3">
        <v>1.63</v>
      </c>
      <c r="BV64" s="3">
        <f t="shared" si="44"/>
        <v>1.63</v>
      </c>
      <c r="BW64" s="4">
        <f t="shared" si="45"/>
        <v>1.63</v>
      </c>
      <c r="BX64" s="3">
        <v>1.29</v>
      </c>
      <c r="BY64" s="3">
        <f t="shared" si="46"/>
        <v>1.29</v>
      </c>
      <c r="BZ64" s="21">
        <f t="shared" si="47"/>
        <v>1.29</v>
      </c>
      <c r="CB64" s="20" t="s">
        <v>514</v>
      </c>
      <c r="CC64" s="3">
        <v>4.1399999999999997</v>
      </c>
      <c r="CD64" s="3">
        <f t="shared" si="48"/>
        <v>4.1399999999999997</v>
      </c>
      <c r="CE64" s="4">
        <f t="shared" si="159"/>
        <v>4.1399999999999997</v>
      </c>
      <c r="CF64" s="3">
        <v>6.1</v>
      </c>
      <c r="CG64" s="3">
        <f t="shared" si="50"/>
        <v>6.1</v>
      </c>
      <c r="CH64" s="4">
        <f t="shared" si="160"/>
        <v>6.1</v>
      </c>
      <c r="CI64" s="3">
        <v>3.78</v>
      </c>
      <c r="CJ64" s="3">
        <f t="shared" si="52"/>
        <v>3.78</v>
      </c>
      <c r="CK64" s="4">
        <f t="shared" si="161"/>
        <v>3.78</v>
      </c>
      <c r="CL64" s="3">
        <v>5.29</v>
      </c>
      <c r="CM64" s="3">
        <f t="shared" si="54"/>
        <v>5.29</v>
      </c>
      <c r="CN64" s="4">
        <f t="shared" si="162"/>
        <v>5.29</v>
      </c>
      <c r="CO64" s="3">
        <v>5.46</v>
      </c>
      <c r="CP64" s="3">
        <f t="shared" si="56"/>
        <v>5.46</v>
      </c>
      <c r="CQ64" s="4">
        <f t="shared" si="163"/>
        <v>5.46</v>
      </c>
      <c r="CR64" s="3">
        <v>1.83</v>
      </c>
      <c r="CS64" s="3">
        <f t="shared" si="58"/>
        <v>1.83</v>
      </c>
      <c r="CT64" s="4">
        <f t="shared" si="164"/>
        <v>1.83</v>
      </c>
      <c r="CU64" s="3">
        <v>1.07</v>
      </c>
      <c r="CV64" s="3">
        <f t="shared" si="60"/>
        <v>1.07</v>
      </c>
      <c r="CW64" s="4" t="str">
        <f t="shared" si="165"/>
        <v/>
      </c>
      <c r="CX64" s="3">
        <v>3.18</v>
      </c>
      <c r="CY64" s="3">
        <f t="shared" si="62"/>
        <v>3.18</v>
      </c>
      <c r="CZ64" s="21">
        <f t="shared" si="166"/>
        <v>3.18</v>
      </c>
      <c r="DB64" s="52" t="s">
        <v>515</v>
      </c>
      <c r="DC64" s="11"/>
      <c r="DD64" s="11">
        <f t="shared" ref="DD64:DZ64" si="203">STDEV(DD4:DD62)</f>
        <v>2.7835171995157504</v>
      </c>
      <c r="DE64" s="11">
        <f t="shared" si="203"/>
        <v>0.44251998392187536</v>
      </c>
      <c r="DF64" s="11">
        <f t="shared" si="203"/>
        <v>0.75796371983390476</v>
      </c>
      <c r="DG64" s="11">
        <f t="shared" si="203"/>
        <v>0.62430212811035313</v>
      </c>
      <c r="DH64" s="11">
        <f t="shared" si="203"/>
        <v>0.13145956093648076</v>
      </c>
      <c r="DI64" s="11">
        <f t="shared" si="203"/>
        <v>1.5578879624559532</v>
      </c>
      <c r="DJ64" s="11">
        <f t="shared" si="203"/>
        <v>1.3581811072387677</v>
      </c>
      <c r="DK64" s="11">
        <f t="shared" si="203"/>
        <v>0.13688774067132267</v>
      </c>
      <c r="DL64" s="11">
        <f t="shared" si="203"/>
        <v>2.3801362990110975</v>
      </c>
      <c r="DM64" s="11">
        <f t="shared" si="203"/>
        <v>2.3801362990110975</v>
      </c>
      <c r="DN64" s="11">
        <f t="shared" si="203"/>
        <v>0.35098920361262276</v>
      </c>
      <c r="DO64" s="11">
        <f t="shared" si="203"/>
        <v>1.3535066477378248</v>
      </c>
      <c r="DP64" s="11">
        <f t="shared" si="203"/>
        <v>1.3535066477378248</v>
      </c>
      <c r="DQ64" s="11">
        <f t="shared" si="203"/>
        <v>9.1632408658172515E-2</v>
      </c>
      <c r="DR64" s="11">
        <f t="shared" si="203"/>
        <v>39.30137867493994</v>
      </c>
      <c r="DS64" s="11">
        <f t="shared" si="203"/>
        <v>18.821901107571239</v>
      </c>
      <c r="DT64" s="11">
        <f t="shared" si="203"/>
        <v>1.4578994852495506</v>
      </c>
      <c r="DU64" s="11">
        <f t="shared" si="203"/>
        <v>0.40578293408758054</v>
      </c>
      <c r="DV64" s="11">
        <f t="shared" si="203"/>
        <v>0.40578293408758054</v>
      </c>
      <c r="DW64" s="11">
        <f t="shared" si="203"/>
        <v>0.10073724010186301</v>
      </c>
      <c r="DX64" s="11">
        <f t="shared" si="203"/>
        <v>1.2838635028161047</v>
      </c>
      <c r="DY64" s="11">
        <f t="shared" si="203"/>
        <v>0.95837744825999238</v>
      </c>
      <c r="DZ64" s="12">
        <f t="shared" si="203"/>
        <v>0.26124982409225722</v>
      </c>
      <c r="EB64" s="52" t="s">
        <v>515</v>
      </c>
      <c r="EC64" s="11"/>
      <c r="ED64" s="11">
        <f t="shared" ref="ED64:EZ64" si="204">STDEV(ED4:ED62)</f>
        <v>0.20662945939334759</v>
      </c>
      <c r="EE64" s="11">
        <f t="shared" si="204"/>
        <v>4.2315906216667566E-2</v>
      </c>
      <c r="EF64" s="11">
        <f t="shared" si="204"/>
        <v>1.5069609378693822</v>
      </c>
      <c r="EG64" s="11">
        <f t="shared" si="204"/>
        <v>1.5069609378693822</v>
      </c>
      <c r="EH64" s="11">
        <f t="shared" si="204"/>
        <v>0.3336738017586432</v>
      </c>
      <c r="EI64" s="11">
        <f t="shared" si="204"/>
        <v>0.71150645658047118</v>
      </c>
      <c r="EJ64" s="11">
        <f t="shared" si="204"/>
        <v>0.71150645658047118</v>
      </c>
      <c r="EK64" s="11">
        <f t="shared" si="204"/>
        <v>9.6374854203188948E-2</v>
      </c>
      <c r="EL64" s="11">
        <f t="shared" si="204"/>
        <v>0.63358991285678889</v>
      </c>
      <c r="EM64" s="11">
        <f t="shared" si="204"/>
        <v>0.63358991285678889</v>
      </c>
      <c r="EN64" s="11">
        <f t="shared" si="204"/>
        <v>7.2308001111034956E-2</v>
      </c>
      <c r="EO64" s="11">
        <f t="shared" si="204"/>
        <v>6.4190554326609925</v>
      </c>
      <c r="EP64" s="11">
        <f t="shared" si="204"/>
        <v>6.4190554326609925</v>
      </c>
      <c r="EQ64" s="11">
        <f t="shared" si="204"/>
        <v>0.40343788320368185</v>
      </c>
      <c r="ER64" s="11">
        <f t="shared" si="204"/>
        <v>1.353018747523985</v>
      </c>
      <c r="ES64" s="11">
        <f t="shared" si="204"/>
        <v>1.353018747523985</v>
      </c>
      <c r="ET64" s="11">
        <f t="shared" si="204"/>
        <v>0.14243157391095992</v>
      </c>
      <c r="EU64" s="11">
        <f t="shared" si="204"/>
        <v>7.9738761073483794E-2</v>
      </c>
      <c r="EV64" s="11">
        <f t="shared" si="204"/>
        <v>7.9738761073483794E-2</v>
      </c>
      <c r="EW64" s="11">
        <f t="shared" si="204"/>
        <v>5.3402732625324086E-2</v>
      </c>
      <c r="EX64" s="11">
        <f t="shared" si="204"/>
        <v>1.0455395224691402</v>
      </c>
      <c r="EY64" s="11">
        <f t="shared" si="204"/>
        <v>1.0148315706968871</v>
      </c>
      <c r="EZ64" s="12">
        <f t="shared" si="204"/>
        <v>8.9172156357171087E-2</v>
      </c>
      <c r="FB64" s="52" t="s">
        <v>515</v>
      </c>
      <c r="FC64" s="11"/>
      <c r="FD64" s="11">
        <f t="shared" ref="FD64:FZ64" si="205">STDEV(FD4:FD62)</f>
        <v>2.2317351781334507</v>
      </c>
      <c r="FE64" s="11">
        <f t="shared" si="205"/>
        <v>0.79390899854813812</v>
      </c>
      <c r="FF64" s="11">
        <f t="shared" si="205"/>
        <v>0.34768937546581274</v>
      </c>
      <c r="FG64" s="11">
        <f t="shared" si="205"/>
        <v>0.20813457185196546</v>
      </c>
      <c r="FH64" s="11">
        <f t="shared" si="205"/>
        <v>6.3564172616372885E-2</v>
      </c>
      <c r="FI64" s="11">
        <f t="shared" si="205"/>
        <v>1.3823887287270202</v>
      </c>
      <c r="FJ64" s="11">
        <f t="shared" si="205"/>
        <v>1.3823887287270202</v>
      </c>
      <c r="FK64" s="11">
        <f t="shared" si="205"/>
        <v>0.62332667711280076</v>
      </c>
      <c r="FL64" s="11">
        <f t="shared" si="205"/>
        <v>1.0636700797587237</v>
      </c>
      <c r="FM64" s="11">
        <f t="shared" si="205"/>
        <v>0.72508873252427886</v>
      </c>
      <c r="FN64" s="11">
        <f t="shared" si="205"/>
        <v>0.20666704132445152</v>
      </c>
      <c r="FO64" s="11">
        <f t="shared" si="205"/>
        <v>0.33018502508292741</v>
      </c>
      <c r="FP64" s="11">
        <f t="shared" si="205"/>
        <v>0.24481260658143991</v>
      </c>
      <c r="FQ64" s="11">
        <f t="shared" si="205"/>
        <v>0.13348476249438282</v>
      </c>
      <c r="FR64" s="11">
        <f t="shared" si="205"/>
        <v>0.62880110057114724</v>
      </c>
      <c r="FS64" s="11">
        <f t="shared" si="205"/>
        <v>0.62880110057114724</v>
      </c>
      <c r="FT64" s="11">
        <f t="shared" si="205"/>
        <v>0.25450448721703334</v>
      </c>
      <c r="FU64" s="11">
        <f t="shared" si="205"/>
        <v>0.17912639487776588</v>
      </c>
      <c r="FV64" s="11">
        <f t="shared" si="205"/>
        <v>0.17772891733782722</v>
      </c>
      <c r="FW64" s="11">
        <f t="shared" si="205"/>
        <v>2.6967392527648563E-2</v>
      </c>
      <c r="FX64" s="11">
        <f t="shared" si="205"/>
        <v>0.15401256903325189</v>
      </c>
      <c r="FY64" s="11">
        <f t="shared" si="205"/>
        <v>0.15401256903325189</v>
      </c>
      <c r="FZ64" s="12">
        <f t="shared" si="205"/>
        <v>3.0388639123118601E-2</v>
      </c>
      <c r="GB64" s="52" t="s">
        <v>515</v>
      </c>
      <c r="GC64" s="11"/>
      <c r="GD64" s="11">
        <f t="shared" ref="GD64:GZ64" si="206">STDEV(GD4:GD62)</f>
        <v>7.6867438784155487E-2</v>
      </c>
      <c r="GE64" s="11">
        <f t="shared" si="206"/>
        <v>4.5143002467945654E-16</v>
      </c>
      <c r="GF64" s="11">
        <f t="shared" si="206"/>
        <v>2.188668161832291</v>
      </c>
      <c r="GG64" s="11">
        <f t="shared" si="206"/>
        <v>2.188668161832291</v>
      </c>
      <c r="GH64" s="11">
        <f t="shared" si="206"/>
        <v>0.33526628716461243</v>
      </c>
      <c r="GI64" s="11">
        <f t="shared" si="206"/>
        <v>2.8481950563296859E-2</v>
      </c>
      <c r="GJ64" s="11">
        <f t="shared" si="206"/>
        <v>2.8481950563296859E-2</v>
      </c>
      <c r="GK64" s="11">
        <f t="shared" si="206"/>
        <v>9.637854731818692E-3</v>
      </c>
      <c r="GL64" s="11">
        <f t="shared" si="206"/>
        <v>1.9571437429645684</v>
      </c>
      <c r="GM64" s="11">
        <f t="shared" si="206"/>
        <v>1.9938936151111777</v>
      </c>
      <c r="GN64" s="11">
        <f t="shared" si="206"/>
        <v>0.61312942806576343</v>
      </c>
      <c r="GO64" s="11">
        <f t="shared" si="206"/>
        <v>0.68782256658915752</v>
      </c>
      <c r="GP64" s="11">
        <f t="shared" si="206"/>
        <v>0.46142791774061981</v>
      </c>
      <c r="GQ64" s="11">
        <f t="shared" si="206"/>
        <v>0.17274146441017005</v>
      </c>
      <c r="GR64" s="11">
        <f t="shared" si="206"/>
        <v>0.1695845302980889</v>
      </c>
      <c r="GS64" s="11">
        <f t="shared" si="206"/>
        <v>0.1695845302980889</v>
      </c>
      <c r="GT64" s="11">
        <f t="shared" si="206"/>
        <v>5.7465864488366908E-2</v>
      </c>
      <c r="GU64" s="11">
        <f t="shared" si="206"/>
        <v>5.0020451691042425E-2</v>
      </c>
      <c r="GV64" s="11">
        <f t="shared" si="206"/>
        <v>5.0020451691042425E-2</v>
      </c>
      <c r="GW64" s="11">
        <f t="shared" si="206"/>
        <v>2.3974748872710085E-2</v>
      </c>
      <c r="GX64" s="11">
        <f t="shared" si="206"/>
        <v>0.63831368465933724</v>
      </c>
      <c r="GY64" s="11">
        <f t="shared" si="206"/>
        <v>0.63831368465933724</v>
      </c>
      <c r="GZ64" s="12">
        <f t="shared" si="206"/>
        <v>0.37320709232949439</v>
      </c>
    </row>
    <row r="65" spans="2:208">
      <c r="B65" s="20" t="s">
        <v>516</v>
      </c>
      <c r="C65" s="3">
        <v>3.03</v>
      </c>
      <c r="D65" s="3">
        <f t="shared" si="128"/>
        <v>3.03</v>
      </c>
      <c r="E65" s="4">
        <f t="shared" si="129"/>
        <v>3.03</v>
      </c>
      <c r="F65" s="3">
        <v>4.38</v>
      </c>
      <c r="G65" s="3">
        <f t="shared" si="130"/>
        <v>4.38</v>
      </c>
      <c r="H65" s="4">
        <f t="shared" si="131"/>
        <v>4.38</v>
      </c>
      <c r="I65" s="3">
        <v>5.27</v>
      </c>
      <c r="J65" s="3">
        <f t="shared" si="132"/>
        <v>5.27</v>
      </c>
      <c r="K65" s="4">
        <f t="shared" si="133"/>
        <v>5.27</v>
      </c>
      <c r="L65" s="3">
        <v>5.67</v>
      </c>
      <c r="M65" s="3">
        <f t="shared" si="134"/>
        <v>5.67</v>
      </c>
      <c r="N65" s="4">
        <f t="shared" si="135"/>
        <v>5.67</v>
      </c>
      <c r="O65" s="3">
        <v>4.34</v>
      </c>
      <c r="P65" s="3">
        <f t="shared" si="136"/>
        <v>4.34</v>
      </c>
      <c r="Q65" s="4">
        <f t="shared" si="137"/>
        <v>4.34</v>
      </c>
      <c r="R65" s="3">
        <v>4.82</v>
      </c>
      <c r="S65" s="3">
        <f t="shared" si="138"/>
        <v>4.82</v>
      </c>
      <c r="T65" s="4">
        <f t="shared" si="139"/>
        <v>4.82</v>
      </c>
      <c r="U65" s="3">
        <v>1.71</v>
      </c>
      <c r="V65" s="3">
        <f t="shared" si="140"/>
        <v>1.71</v>
      </c>
      <c r="W65" s="4">
        <f t="shared" si="141"/>
        <v>1.71</v>
      </c>
      <c r="X65" s="3">
        <v>2.23</v>
      </c>
      <c r="Y65" s="3">
        <f t="shared" si="142"/>
        <v>2.23</v>
      </c>
      <c r="Z65" s="21">
        <f t="shared" si="143"/>
        <v>2.23</v>
      </c>
      <c r="AB65" s="20" t="s">
        <v>517</v>
      </c>
      <c r="AC65" s="3">
        <v>2.84</v>
      </c>
      <c r="AD65" s="3">
        <f t="shared" si="144"/>
        <v>2.84</v>
      </c>
      <c r="AE65" s="4">
        <f t="shared" si="145"/>
        <v>2.84</v>
      </c>
      <c r="AF65" s="3">
        <v>0.36</v>
      </c>
      <c r="AG65" s="3">
        <f t="shared" si="146"/>
        <v>0.36</v>
      </c>
      <c r="AH65" s="4" t="str">
        <f t="shared" si="147"/>
        <v/>
      </c>
      <c r="AI65" s="3">
        <v>2.2000000000000002</v>
      </c>
      <c r="AJ65" s="3">
        <f t="shared" si="148"/>
        <v>2.2000000000000002</v>
      </c>
      <c r="AK65" s="4" t="str">
        <f t="shared" si="149"/>
        <v/>
      </c>
      <c r="AL65" s="3">
        <v>6.09</v>
      </c>
      <c r="AM65" s="3">
        <f t="shared" si="150"/>
        <v>6.09</v>
      </c>
      <c r="AN65" s="4">
        <f t="shared" si="151"/>
        <v>6.09</v>
      </c>
      <c r="AO65" s="3">
        <v>0</v>
      </c>
      <c r="AP65" s="3" t="str">
        <f t="shared" si="152"/>
        <v/>
      </c>
      <c r="AQ65" s="4" t="str">
        <f t="shared" si="153"/>
        <v/>
      </c>
      <c r="AR65" s="3">
        <v>3.72</v>
      </c>
      <c r="AS65" s="3">
        <f t="shared" si="154"/>
        <v>3.72</v>
      </c>
      <c r="AT65" s="4">
        <f t="shared" si="155"/>
        <v>3.72</v>
      </c>
      <c r="AU65" s="3">
        <v>3.06</v>
      </c>
      <c r="AV65" s="3">
        <f t="shared" si="156"/>
        <v>3.06</v>
      </c>
      <c r="AW65" s="4">
        <f t="shared" si="157"/>
        <v>3.06</v>
      </c>
      <c r="AX65" s="3">
        <v>3.44</v>
      </c>
      <c r="AY65" s="3">
        <f t="shared" si="158"/>
        <v>3.44</v>
      </c>
      <c r="AZ65" s="21">
        <f t="shared" si="31"/>
        <v>3.44</v>
      </c>
      <c r="BB65" s="20" t="s">
        <v>518</v>
      </c>
      <c r="BC65" s="3">
        <v>3.9</v>
      </c>
      <c r="BD65" s="3">
        <f t="shared" si="32"/>
        <v>3.9</v>
      </c>
      <c r="BE65" s="4">
        <f t="shared" si="33"/>
        <v>3.9</v>
      </c>
      <c r="BF65" s="3">
        <v>4.28</v>
      </c>
      <c r="BG65" s="3">
        <f t="shared" si="34"/>
        <v>4.28</v>
      </c>
      <c r="BH65" s="4">
        <f t="shared" si="35"/>
        <v>4.28</v>
      </c>
      <c r="BI65" s="3">
        <v>4.1500000000000004</v>
      </c>
      <c r="BJ65" s="3">
        <f t="shared" si="36"/>
        <v>4.1500000000000004</v>
      </c>
      <c r="BK65" s="4">
        <f t="shared" si="37"/>
        <v>4.1500000000000004</v>
      </c>
      <c r="BL65" s="3">
        <v>4.3</v>
      </c>
      <c r="BM65" s="3">
        <f t="shared" si="38"/>
        <v>4.3</v>
      </c>
      <c r="BN65" s="4">
        <f t="shared" si="39"/>
        <v>4.3</v>
      </c>
      <c r="BO65" s="3">
        <v>3.57</v>
      </c>
      <c r="BP65" s="3">
        <f t="shared" si="40"/>
        <v>3.57</v>
      </c>
      <c r="BQ65" s="4">
        <f t="shared" si="41"/>
        <v>3.57</v>
      </c>
      <c r="BR65" s="3">
        <v>3.14</v>
      </c>
      <c r="BS65" s="3">
        <f t="shared" si="42"/>
        <v>3.14</v>
      </c>
      <c r="BT65" s="4">
        <f t="shared" si="43"/>
        <v>3.14</v>
      </c>
      <c r="BU65" s="3">
        <v>1.64</v>
      </c>
      <c r="BV65" s="3">
        <f t="shared" si="44"/>
        <v>1.64</v>
      </c>
      <c r="BW65" s="4">
        <f t="shared" si="45"/>
        <v>1.64</v>
      </c>
      <c r="BX65" s="3">
        <v>1.23</v>
      </c>
      <c r="BY65" s="3">
        <f t="shared" si="46"/>
        <v>1.23</v>
      </c>
      <c r="BZ65" s="21">
        <f t="shared" si="47"/>
        <v>1.23</v>
      </c>
      <c r="CB65" s="20" t="s">
        <v>519</v>
      </c>
      <c r="CC65" s="3">
        <v>4.16</v>
      </c>
      <c r="CD65" s="3">
        <f t="shared" si="48"/>
        <v>4.16</v>
      </c>
      <c r="CE65" s="4">
        <f t="shared" si="159"/>
        <v>4.16</v>
      </c>
      <c r="CF65" s="3">
        <v>6.14</v>
      </c>
      <c r="CG65" s="3">
        <f t="shared" si="50"/>
        <v>6.14</v>
      </c>
      <c r="CH65" s="4">
        <f t="shared" si="160"/>
        <v>6.14</v>
      </c>
      <c r="CI65" s="3">
        <v>3.78</v>
      </c>
      <c r="CJ65" s="3">
        <f t="shared" si="52"/>
        <v>3.78</v>
      </c>
      <c r="CK65" s="4">
        <f t="shared" si="161"/>
        <v>3.78</v>
      </c>
      <c r="CL65" s="3">
        <v>5.14</v>
      </c>
      <c r="CM65" s="3">
        <f t="shared" si="54"/>
        <v>5.14</v>
      </c>
      <c r="CN65" s="4">
        <f t="shared" si="162"/>
        <v>5.14</v>
      </c>
      <c r="CO65" s="3">
        <v>5.44</v>
      </c>
      <c r="CP65" s="3">
        <f t="shared" si="56"/>
        <v>5.44</v>
      </c>
      <c r="CQ65" s="4">
        <f t="shared" si="163"/>
        <v>5.44</v>
      </c>
      <c r="CR65" s="3">
        <v>1.84</v>
      </c>
      <c r="CS65" s="3">
        <f t="shared" si="58"/>
        <v>1.84</v>
      </c>
      <c r="CT65" s="4">
        <f t="shared" si="164"/>
        <v>1.84</v>
      </c>
      <c r="CU65" s="3">
        <v>3.7</v>
      </c>
      <c r="CV65" s="3">
        <f t="shared" si="60"/>
        <v>3.7</v>
      </c>
      <c r="CW65" s="4">
        <f t="shared" si="165"/>
        <v>3.7</v>
      </c>
      <c r="CX65" s="3">
        <v>3.13</v>
      </c>
      <c r="CY65" s="3">
        <f t="shared" si="62"/>
        <v>3.13</v>
      </c>
      <c r="CZ65" s="21">
        <f t="shared" si="166"/>
        <v>3.13</v>
      </c>
      <c r="DB65" s="52" t="s">
        <v>520</v>
      </c>
      <c r="DC65" s="11"/>
      <c r="DD65" s="11">
        <f>DD63+DD64</f>
        <v>5.6579171995157491</v>
      </c>
      <c r="DE65" s="11"/>
      <c r="DF65" s="11"/>
      <c r="DG65" s="11">
        <f>DG63+DG64</f>
        <v>1.9190937947770208</v>
      </c>
      <c r="DH65" s="11"/>
      <c r="DI65" s="11"/>
      <c r="DJ65" s="11">
        <f>DJ63+DJ64</f>
        <v>4.1091426457003077</v>
      </c>
      <c r="DK65" s="11"/>
      <c r="DL65" s="11"/>
      <c r="DM65" s="11">
        <f>DM63+DM64</f>
        <v>6.1284413837568597</v>
      </c>
      <c r="DN65" s="11"/>
      <c r="DO65" s="11"/>
      <c r="DP65" s="11">
        <f>DP63+DP64</f>
        <v>3.1079134273988425</v>
      </c>
      <c r="DQ65" s="11"/>
      <c r="DR65" s="11"/>
      <c r="DS65" s="11">
        <f>DS63+DS64</f>
        <v>25.256276107571239</v>
      </c>
      <c r="DT65" s="11"/>
      <c r="DU65" s="11"/>
      <c r="DV65" s="11">
        <f>DV63+DV64</f>
        <v>1.4381558154435128</v>
      </c>
      <c r="DW65" s="11"/>
      <c r="DX65" s="11"/>
      <c r="DY65" s="11">
        <f>DY63+DY64</f>
        <v>3.2179774482599921</v>
      </c>
      <c r="DZ65" s="12"/>
      <c r="EB65" s="52" t="s">
        <v>520</v>
      </c>
      <c r="EC65" s="11"/>
      <c r="ED65" s="11">
        <f>ED63+ED64</f>
        <v>0.80307013735944976</v>
      </c>
      <c r="EE65" s="11"/>
      <c r="EF65" s="11"/>
      <c r="EG65" s="11">
        <f>EG63+EG64</f>
        <v>4.5147575480388742</v>
      </c>
      <c r="EH65" s="11"/>
      <c r="EI65" s="11"/>
      <c r="EJ65" s="11">
        <f>EJ63+EJ64</f>
        <v>1.1276081514957252</v>
      </c>
      <c r="EK65" s="11"/>
      <c r="EL65" s="11"/>
      <c r="EM65" s="11">
        <f>EM63+EM64</f>
        <v>2.4537594043822124</v>
      </c>
      <c r="EN65" s="11"/>
      <c r="EO65" s="11"/>
      <c r="EP65" s="11">
        <f>EP63+EP64</f>
        <v>12.041258822491498</v>
      </c>
      <c r="EQ65" s="11"/>
      <c r="ER65" s="11"/>
      <c r="ES65" s="11">
        <f>ES63+ES64</f>
        <v>3.4675950187104254</v>
      </c>
      <c r="ET65" s="11"/>
      <c r="EU65" s="11"/>
      <c r="EV65" s="11">
        <f>EV63+EV64</f>
        <v>0.75346757463280556</v>
      </c>
      <c r="EW65" s="11"/>
      <c r="EX65" s="11"/>
      <c r="EY65" s="11">
        <f>EY63+EY64</f>
        <v>2.5555458564111739</v>
      </c>
      <c r="EZ65" s="12"/>
      <c r="FB65" s="52" t="s">
        <v>520</v>
      </c>
      <c r="FC65" s="11"/>
      <c r="FD65" s="11">
        <f>FD63+FD64</f>
        <v>14.420040262879219</v>
      </c>
      <c r="FE65" s="11"/>
      <c r="FF65" s="11"/>
      <c r="FG65" s="11">
        <f>FG63+FG64</f>
        <v>1.4831345718519653</v>
      </c>
      <c r="FH65" s="11"/>
      <c r="FI65" s="11"/>
      <c r="FJ65" s="11">
        <f>FJ63+FJ64</f>
        <v>2.8749311016083765</v>
      </c>
      <c r="FK65" s="11"/>
      <c r="FL65" s="11"/>
      <c r="FM65" s="11">
        <f>FM63+FM64</f>
        <v>3.8849069143424617</v>
      </c>
      <c r="FN65" s="11"/>
      <c r="FO65" s="11"/>
      <c r="FP65" s="11">
        <f>FP63+FP64</f>
        <v>1.9644677789952332</v>
      </c>
      <c r="FQ65" s="11"/>
      <c r="FR65" s="11"/>
      <c r="FS65" s="11">
        <f>FS63+FS64</f>
        <v>3.1164282192152144</v>
      </c>
      <c r="FT65" s="11"/>
      <c r="FU65" s="11"/>
      <c r="FV65" s="11">
        <f>FV63+FV64</f>
        <v>0.42583236561368931</v>
      </c>
      <c r="FW65" s="11"/>
      <c r="FX65" s="11"/>
      <c r="FY65" s="11">
        <f>FY63+FY64</f>
        <v>0.42757189106715005</v>
      </c>
      <c r="FZ65" s="12"/>
      <c r="GB65" s="52" t="s">
        <v>520</v>
      </c>
      <c r="GC65" s="11"/>
      <c r="GD65" s="11">
        <f>GD63+GD64</f>
        <v>0.89537807708202843</v>
      </c>
      <c r="GE65" s="11"/>
      <c r="GF65" s="11"/>
      <c r="GG65" s="11">
        <f>GG63+GG64</f>
        <v>3.5071427381034788</v>
      </c>
      <c r="GH65" s="11"/>
      <c r="GI65" s="11"/>
      <c r="GJ65" s="11">
        <f>GJ63+GJ64</f>
        <v>0.17543110310566984</v>
      </c>
      <c r="GK65" s="11"/>
      <c r="GL65" s="11"/>
      <c r="GM65" s="11">
        <f>GM63+GM64</f>
        <v>4.02112765766437</v>
      </c>
      <c r="GN65" s="11"/>
      <c r="GO65" s="11"/>
      <c r="GP65" s="11">
        <f>GP63+GP64</f>
        <v>2.3403168066295077</v>
      </c>
      <c r="GQ65" s="11"/>
      <c r="GR65" s="11"/>
      <c r="GS65" s="11">
        <f>GS63+GS64</f>
        <v>0.78839808962012259</v>
      </c>
      <c r="GT65" s="11"/>
      <c r="GU65" s="11"/>
      <c r="GV65" s="11">
        <f>GV63+GV64</f>
        <v>0.35747807880968641</v>
      </c>
      <c r="GW65" s="11"/>
      <c r="GX65" s="11"/>
      <c r="GY65" s="11">
        <f>GY63+GY64</f>
        <v>3.1289916507610318</v>
      </c>
      <c r="GZ65" s="12"/>
    </row>
    <row r="66" spans="2:208" ht="15.75" thickBot="1">
      <c r="B66" s="20" t="s">
        <v>521</v>
      </c>
      <c r="C66" s="3">
        <v>2.67</v>
      </c>
      <c r="D66" s="3">
        <f t="shared" si="128"/>
        <v>2.67</v>
      </c>
      <c r="E66" s="4">
        <f t="shared" si="129"/>
        <v>2.67</v>
      </c>
      <c r="F66" s="3">
        <v>4.3899999999999997</v>
      </c>
      <c r="G66" s="3">
        <f t="shared" si="130"/>
        <v>4.3899999999999997</v>
      </c>
      <c r="H66" s="4">
        <f t="shared" si="131"/>
        <v>4.3899999999999997</v>
      </c>
      <c r="I66" s="3">
        <v>1.1000000000000001</v>
      </c>
      <c r="J66" s="3">
        <f t="shared" si="132"/>
        <v>1.1000000000000001</v>
      </c>
      <c r="K66" s="4" t="str">
        <f t="shared" si="133"/>
        <v/>
      </c>
      <c r="L66" s="3">
        <v>2.77</v>
      </c>
      <c r="M66" s="3">
        <f t="shared" si="134"/>
        <v>2.77</v>
      </c>
      <c r="N66" s="4" t="str">
        <f t="shared" si="135"/>
        <v/>
      </c>
      <c r="O66" s="3">
        <v>4.3</v>
      </c>
      <c r="P66" s="3">
        <f t="shared" si="136"/>
        <v>4.3</v>
      </c>
      <c r="Q66" s="4">
        <f t="shared" si="137"/>
        <v>4.3</v>
      </c>
      <c r="R66" s="3">
        <v>4.87</v>
      </c>
      <c r="S66" s="3">
        <f t="shared" si="138"/>
        <v>4.87</v>
      </c>
      <c r="T66" s="4">
        <f t="shared" si="139"/>
        <v>4.87</v>
      </c>
      <c r="U66" s="3">
        <v>1.73</v>
      </c>
      <c r="V66" s="3">
        <f t="shared" si="140"/>
        <v>1.73</v>
      </c>
      <c r="W66" s="4">
        <f t="shared" si="141"/>
        <v>1.73</v>
      </c>
      <c r="X66" s="3">
        <v>2.25</v>
      </c>
      <c r="Y66" s="3">
        <f t="shared" si="142"/>
        <v>2.25</v>
      </c>
      <c r="Z66" s="21">
        <f t="shared" si="143"/>
        <v>2.25</v>
      </c>
      <c r="AB66" s="20" t="s">
        <v>522</v>
      </c>
      <c r="AC66" s="3">
        <v>2.84</v>
      </c>
      <c r="AD66" s="3">
        <f t="shared" si="144"/>
        <v>2.84</v>
      </c>
      <c r="AE66" s="4">
        <f t="shared" si="145"/>
        <v>2.84</v>
      </c>
      <c r="AF66" s="3">
        <v>5.44</v>
      </c>
      <c r="AG66" s="3">
        <f t="shared" si="146"/>
        <v>5.44</v>
      </c>
      <c r="AH66" s="4">
        <f t="shared" si="147"/>
        <v>5.44</v>
      </c>
      <c r="AI66" s="3">
        <v>5.2</v>
      </c>
      <c r="AJ66" s="3">
        <f t="shared" si="148"/>
        <v>5.2</v>
      </c>
      <c r="AK66" s="4">
        <f t="shared" si="149"/>
        <v>5.2</v>
      </c>
      <c r="AL66" s="3">
        <v>6.05</v>
      </c>
      <c r="AM66" s="3">
        <f t="shared" si="150"/>
        <v>6.05</v>
      </c>
      <c r="AN66" s="4">
        <f t="shared" si="151"/>
        <v>6.05</v>
      </c>
      <c r="AO66" s="3">
        <v>0</v>
      </c>
      <c r="AP66" s="3" t="str">
        <f t="shared" si="152"/>
        <v/>
      </c>
      <c r="AQ66" s="4" t="str">
        <f t="shared" si="153"/>
        <v/>
      </c>
      <c r="AR66" s="3">
        <v>3.74</v>
      </c>
      <c r="AS66" s="3">
        <f t="shared" si="154"/>
        <v>3.74</v>
      </c>
      <c r="AT66" s="4">
        <f t="shared" si="155"/>
        <v>3.74</v>
      </c>
      <c r="AU66" s="3">
        <v>3.06</v>
      </c>
      <c r="AV66" s="3">
        <f t="shared" si="156"/>
        <v>3.06</v>
      </c>
      <c r="AW66" s="4">
        <f t="shared" si="157"/>
        <v>3.06</v>
      </c>
      <c r="AX66" s="3">
        <v>3.4</v>
      </c>
      <c r="AY66" s="3">
        <f t="shared" si="158"/>
        <v>3.4</v>
      </c>
      <c r="AZ66" s="21">
        <f t="shared" si="31"/>
        <v>3.4</v>
      </c>
      <c r="BB66" s="20" t="s">
        <v>523</v>
      </c>
      <c r="BC66" s="3">
        <v>3.91</v>
      </c>
      <c r="BD66" s="3">
        <f t="shared" si="32"/>
        <v>3.91</v>
      </c>
      <c r="BE66" s="4">
        <f t="shared" si="33"/>
        <v>3.91</v>
      </c>
      <c r="BF66" s="3">
        <v>4.2699999999999996</v>
      </c>
      <c r="BG66" s="3">
        <f t="shared" si="34"/>
        <v>4.2699999999999996</v>
      </c>
      <c r="BH66" s="4">
        <f t="shared" si="35"/>
        <v>4.2699999999999996</v>
      </c>
      <c r="BI66" s="3">
        <v>4.16</v>
      </c>
      <c r="BJ66" s="3">
        <f t="shared" si="36"/>
        <v>4.16</v>
      </c>
      <c r="BK66" s="4">
        <f t="shared" si="37"/>
        <v>4.16</v>
      </c>
      <c r="BL66" s="3">
        <v>4.3</v>
      </c>
      <c r="BM66" s="3">
        <f t="shared" si="38"/>
        <v>4.3</v>
      </c>
      <c r="BN66" s="4">
        <f t="shared" si="39"/>
        <v>4.3</v>
      </c>
      <c r="BO66" s="3">
        <v>3.58</v>
      </c>
      <c r="BP66" s="3">
        <f t="shared" si="40"/>
        <v>3.58</v>
      </c>
      <c r="BQ66" s="4">
        <f t="shared" si="41"/>
        <v>3.58</v>
      </c>
      <c r="BR66" s="3">
        <v>3.12</v>
      </c>
      <c r="BS66" s="3">
        <f t="shared" si="42"/>
        <v>3.12</v>
      </c>
      <c r="BT66" s="4">
        <f t="shared" si="43"/>
        <v>3.12</v>
      </c>
      <c r="BU66" s="3">
        <v>1.62</v>
      </c>
      <c r="BV66" s="3">
        <f t="shared" si="44"/>
        <v>1.62</v>
      </c>
      <c r="BW66" s="4">
        <f t="shared" si="45"/>
        <v>1.62</v>
      </c>
      <c r="BX66" s="3">
        <v>1.25</v>
      </c>
      <c r="BY66" s="3">
        <f t="shared" si="46"/>
        <v>1.25</v>
      </c>
      <c r="BZ66" s="21">
        <f t="shared" si="47"/>
        <v>1.25</v>
      </c>
      <c r="CB66" s="20" t="s">
        <v>524</v>
      </c>
      <c r="CC66" s="3">
        <v>4.1399999999999997</v>
      </c>
      <c r="CD66" s="3">
        <f t="shared" si="48"/>
        <v>4.1399999999999997</v>
      </c>
      <c r="CE66" s="4">
        <f t="shared" si="159"/>
        <v>4.1399999999999997</v>
      </c>
      <c r="CF66" s="3">
        <v>6.14</v>
      </c>
      <c r="CG66" s="3">
        <f t="shared" si="50"/>
        <v>6.14</v>
      </c>
      <c r="CH66" s="4">
        <f t="shared" si="160"/>
        <v>6.14</v>
      </c>
      <c r="CI66" s="3">
        <v>3.8</v>
      </c>
      <c r="CJ66" s="3">
        <f t="shared" si="52"/>
        <v>3.8</v>
      </c>
      <c r="CK66" s="4">
        <f t="shared" si="161"/>
        <v>3.8</v>
      </c>
      <c r="CL66" s="3">
        <v>3.58</v>
      </c>
      <c r="CM66" s="3">
        <f t="shared" si="54"/>
        <v>3.58</v>
      </c>
      <c r="CN66" s="4" t="str">
        <f t="shared" si="162"/>
        <v/>
      </c>
      <c r="CO66" s="3">
        <v>5.45</v>
      </c>
      <c r="CP66" s="3">
        <f t="shared" si="56"/>
        <v>5.45</v>
      </c>
      <c r="CQ66" s="4">
        <f t="shared" si="163"/>
        <v>5.45</v>
      </c>
      <c r="CR66" s="3">
        <v>1.85</v>
      </c>
      <c r="CS66" s="3">
        <f t="shared" si="58"/>
        <v>1.85</v>
      </c>
      <c r="CT66" s="4">
        <f t="shared" si="164"/>
        <v>1.85</v>
      </c>
      <c r="CU66" s="3">
        <v>3.75</v>
      </c>
      <c r="CV66" s="3">
        <f t="shared" si="60"/>
        <v>3.75</v>
      </c>
      <c r="CW66" s="4">
        <f t="shared" si="165"/>
        <v>3.75</v>
      </c>
      <c r="CX66" s="3">
        <v>3.14</v>
      </c>
      <c r="CY66" s="3">
        <f t="shared" si="62"/>
        <v>3.14</v>
      </c>
      <c r="CZ66" s="21">
        <f t="shared" si="166"/>
        <v>3.14</v>
      </c>
      <c r="DB66" s="53" t="s">
        <v>525</v>
      </c>
      <c r="DC66" s="14"/>
      <c r="DD66" s="14">
        <f>DD63-DD64</f>
        <v>9.0882800484247905E-2</v>
      </c>
      <c r="DE66" s="14"/>
      <c r="DF66" s="14"/>
      <c r="DG66" s="14">
        <f>DG63-DG64</f>
        <v>0.67048953855631455</v>
      </c>
      <c r="DH66" s="14"/>
      <c r="DI66" s="14"/>
      <c r="DJ66" s="14">
        <f>DJ63-DJ64</f>
        <v>1.3927804312227718</v>
      </c>
      <c r="DK66" s="14"/>
      <c r="DL66" s="14"/>
      <c r="DM66" s="14">
        <f>DM63-DM64</f>
        <v>1.3681687857346652</v>
      </c>
      <c r="DN66" s="14"/>
      <c r="DO66" s="14"/>
      <c r="DP66" s="14">
        <f>DP63-DP64</f>
        <v>0.40090013192319263</v>
      </c>
      <c r="DQ66" s="14"/>
      <c r="DR66" s="14"/>
      <c r="DS66" s="14">
        <f>DS63-DS64</f>
        <v>-12.38752610757124</v>
      </c>
      <c r="DT66" s="14"/>
      <c r="DU66" s="14"/>
      <c r="DV66" s="14">
        <f>DV63-DV64</f>
        <v>0.62658994726835182</v>
      </c>
      <c r="DW66" s="14"/>
      <c r="DX66" s="14"/>
      <c r="DY66" s="14">
        <f>DY63-DY64</f>
        <v>1.3012225517400076</v>
      </c>
      <c r="DZ66" s="15"/>
      <c r="EB66" s="53" t="s">
        <v>525</v>
      </c>
      <c r="EC66" s="14"/>
      <c r="ED66" s="14">
        <f>ED63-ED64</f>
        <v>0.38981121857275453</v>
      </c>
      <c r="EE66" s="14"/>
      <c r="EF66" s="14"/>
      <c r="EG66" s="14">
        <f>EG63-EG64</f>
        <v>1.5008356723001099</v>
      </c>
      <c r="EH66" s="14"/>
      <c r="EI66" s="14"/>
      <c r="EJ66" s="14">
        <f>EJ63-EJ64</f>
        <v>-0.29540476166521706</v>
      </c>
      <c r="EK66" s="14"/>
      <c r="EL66" s="14"/>
      <c r="EM66" s="14">
        <f>EM63-EM64</f>
        <v>1.1865795786686344</v>
      </c>
      <c r="EN66" s="14"/>
      <c r="EO66" s="14"/>
      <c r="EP66" s="14">
        <f>EP63-EP64</f>
        <v>-0.79685204283048705</v>
      </c>
      <c r="EQ66" s="14"/>
      <c r="ER66" s="14"/>
      <c r="ES66" s="14">
        <f>ES63-ES64</f>
        <v>0.76155752366245544</v>
      </c>
      <c r="ET66" s="14"/>
      <c r="EU66" s="14"/>
      <c r="EV66" s="14">
        <f>EV63-EV64</f>
        <v>0.59399005248583803</v>
      </c>
      <c r="EW66" s="14"/>
      <c r="EX66" s="14"/>
      <c r="EY66" s="14">
        <f>EY63-EY64</f>
        <v>0.52588271501739969</v>
      </c>
      <c r="EZ66" s="15"/>
      <c r="FB66" s="53" t="s">
        <v>525</v>
      </c>
      <c r="FC66" s="14"/>
      <c r="FD66" s="14">
        <f>FD63-FD64</f>
        <v>9.9565699066123194</v>
      </c>
      <c r="FE66" s="14"/>
      <c r="FF66" s="14"/>
      <c r="FG66" s="14">
        <f>FG63-FG64</f>
        <v>1.0668654281480345</v>
      </c>
      <c r="FH66" s="14"/>
      <c r="FI66" s="14"/>
      <c r="FJ66" s="14">
        <f>FJ63-FJ64</f>
        <v>0.11015364415433604</v>
      </c>
      <c r="FK66" s="14"/>
      <c r="FL66" s="14"/>
      <c r="FM66" s="14">
        <f>FM63-FM64</f>
        <v>2.4347294492939038</v>
      </c>
      <c r="FN66" s="14"/>
      <c r="FO66" s="14"/>
      <c r="FP66" s="14">
        <f>FP63-FP64</f>
        <v>1.4748425658323532</v>
      </c>
      <c r="FQ66" s="14"/>
      <c r="FR66" s="14"/>
      <c r="FS66" s="14">
        <f>FS63-FS64</f>
        <v>1.8588260180729201</v>
      </c>
      <c r="FT66" s="14"/>
      <c r="FU66" s="14"/>
      <c r="FV66" s="14">
        <f>FV63-FV64</f>
        <v>7.0374530938034835E-2</v>
      </c>
      <c r="FW66" s="14"/>
      <c r="FX66" s="14"/>
      <c r="FY66" s="14">
        <f>FY63-FY64</f>
        <v>0.11954675300064627</v>
      </c>
      <c r="FZ66" s="15"/>
      <c r="GB66" s="53" t="s">
        <v>525</v>
      </c>
      <c r="GC66" s="14"/>
      <c r="GD66" s="14">
        <f>GD63-GD64</f>
        <v>0.74164319951371749</v>
      </c>
      <c r="GE66" s="14"/>
      <c r="GF66" s="14"/>
      <c r="GG66" s="14">
        <f>GG63-GG64</f>
        <v>-0.87019358556110316</v>
      </c>
      <c r="GH66" s="14"/>
      <c r="GI66" s="14"/>
      <c r="GJ66" s="14">
        <f>GJ63-GJ64</f>
        <v>0.11846720197907612</v>
      </c>
      <c r="GK66" s="14"/>
      <c r="GL66" s="14"/>
      <c r="GM66" s="14">
        <f>GM63-GM64</f>
        <v>3.3340427442014819E-2</v>
      </c>
      <c r="GN66" s="14"/>
      <c r="GO66" s="14"/>
      <c r="GP66" s="14">
        <f>GP63-GP64</f>
        <v>1.4174609711482682</v>
      </c>
      <c r="GQ66" s="14"/>
      <c r="GR66" s="14"/>
      <c r="GS66" s="14">
        <f>GS63-GS64</f>
        <v>0.44922902902394485</v>
      </c>
      <c r="GT66" s="14"/>
      <c r="GU66" s="14"/>
      <c r="GV66" s="14">
        <f>GV63-GV64</f>
        <v>0.25743717542760158</v>
      </c>
      <c r="GW66" s="14"/>
      <c r="GX66" s="14"/>
      <c r="GY66" s="14">
        <f>GY63-GY64</f>
        <v>1.8523642814423571</v>
      </c>
      <c r="GZ66" s="15"/>
    </row>
    <row r="67" spans="2:208" ht="15.75" thickBot="1">
      <c r="B67" s="20" t="s">
        <v>526</v>
      </c>
      <c r="C67" s="3">
        <v>2.97</v>
      </c>
      <c r="D67" s="3">
        <f t="shared" si="128"/>
        <v>2.97</v>
      </c>
      <c r="E67" s="4">
        <f t="shared" si="129"/>
        <v>2.97</v>
      </c>
      <c r="F67" s="3">
        <v>4.3899999999999997</v>
      </c>
      <c r="G67" s="3">
        <f t="shared" si="130"/>
        <v>4.3899999999999997</v>
      </c>
      <c r="H67" s="4">
        <f t="shared" si="131"/>
        <v>4.3899999999999997</v>
      </c>
      <c r="I67" s="3">
        <v>5.3</v>
      </c>
      <c r="J67" s="3">
        <f t="shared" si="132"/>
        <v>5.3</v>
      </c>
      <c r="K67" s="4">
        <f t="shared" si="133"/>
        <v>5.3</v>
      </c>
      <c r="L67" s="3">
        <v>5.6</v>
      </c>
      <c r="M67" s="3">
        <f t="shared" si="134"/>
        <v>5.6</v>
      </c>
      <c r="N67" s="4">
        <f t="shared" si="135"/>
        <v>5.6</v>
      </c>
      <c r="O67" s="3">
        <v>4.3099999999999996</v>
      </c>
      <c r="P67" s="3">
        <f t="shared" si="136"/>
        <v>4.3099999999999996</v>
      </c>
      <c r="Q67" s="4">
        <f t="shared" si="137"/>
        <v>4.3099999999999996</v>
      </c>
      <c r="R67" s="3">
        <v>4.82</v>
      </c>
      <c r="S67" s="3">
        <f t="shared" si="138"/>
        <v>4.82</v>
      </c>
      <c r="T67" s="4">
        <f t="shared" si="139"/>
        <v>4.82</v>
      </c>
      <c r="U67" s="3">
        <v>1.78</v>
      </c>
      <c r="V67" s="3">
        <f t="shared" si="140"/>
        <v>1.78</v>
      </c>
      <c r="W67" s="4">
        <f t="shared" si="141"/>
        <v>1.78</v>
      </c>
      <c r="X67" s="3">
        <v>2.2200000000000002</v>
      </c>
      <c r="Y67" s="3">
        <f t="shared" si="142"/>
        <v>2.2200000000000002</v>
      </c>
      <c r="Z67" s="21">
        <f t="shared" si="143"/>
        <v>2.2200000000000002</v>
      </c>
      <c r="AB67" s="20" t="s">
        <v>527</v>
      </c>
      <c r="AC67" s="3">
        <v>2.84</v>
      </c>
      <c r="AD67" s="3">
        <f t="shared" si="144"/>
        <v>2.84</v>
      </c>
      <c r="AE67" s="4">
        <f t="shared" si="145"/>
        <v>2.84</v>
      </c>
      <c r="AF67" s="3">
        <v>5.45</v>
      </c>
      <c r="AG67" s="3">
        <f t="shared" si="146"/>
        <v>5.45</v>
      </c>
      <c r="AH67" s="4">
        <f t="shared" si="147"/>
        <v>5.45</v>
      </c>
      <c r="AI67" s="3">
        <v>5.21</v>
      </c>
      <c r="AJ67" s="3">
        <f t="shared" si="148"/>
        <v>5.21</v>
      </c>
      <c r="AK67" s="4">
        <f t="shared" si="149"/>
        <v>5.21</v>
      </c>
      <c r="AL67" s="3">
        <v>3.27</v>
      </c>
      <c r="AM67" s="3">
        <f t="shared" si="150"/>
        <v>3.27</v>
      </c>
      <c r="AN67" s="4" t="str">
        <f t="shared" si="151"/>
        <v/>
      </c>
      <c r="AO67" s="3">
        <v>0</v>
      </c>
      <c r="AP67" s="3" t="str">
        <f t="shared" si="152"/>
        <v/>
      </c>
      <c r="AQ67" s="4" t="str">
        <f t="shared" si="153"/>
        <v/>
      </c>
      <c r="AR67" s="3">
        <v>3.72</v>
      </c>
      <c r="AS67" s="3">
        <f t="shared" si="154"/>
        <v>3.72</v>
      </c>
      <c r="AT67" s="4">
        <f t="shared" si="155"/>
        <v>3.72</v>
      </c>
      <c r="AU67" s="3">
        <v>3.04</v>
      </c>
      <c r="AV67" s="3">
        <f t="shared" si="156"/>
        <v>3.04</v>
      </c>
      <c r="AW67" s="4">
        <f t="shared" si="157"/>
        <v>3.04</v>
      </c>
      <c r="AX67" s="3">
        <v>4.12</v>
      </c>
      <c r="AY67" s="3">
        <f t="shared" si="158"/>
        <v>4.12</v>
      </c>
      <c r="AZ67" s="21" t="str">
        <f t="shared" si="31"/>
        <v/>
      </c>
      <c r="BB67" s="20" t="s">
        <v>528</v>
      </c>
      <c r="BC67" s="3">
        <v>0.08</v>
      </c>
      <c r="BD67" s="3">
        <f t="shared" si="32"/>
        <v>0.08</v>
      </c>
      <c r="BE67" s="4" t="str">
        <f t="shared" si="33"/>
        <v/>
      </c>
      <c r="BF67" s="3">
        <v>4.26</v>
      </c>
      <c r="BG67" s="3">
        <f t="shared" si="34"/>
        <v>4.26</v>
      </c>
      <c r="BH67" s="4">
        <f t="shared" si="35"/>
        <v>4.26</v>
      </c>
      <c r="BI67" s="3">
        <v>4.16</v>
      </c>
      <c r="BJ67" s="3">
        <f t="shared" si="36"/>
        <v>4.16</v>
      </c>
      <c r="BK67" s="4">
        <f t="shared" si="37"/>
        <v>4.16</v>
      </c>
      <c r="BL67" s="3">
        <v>4.3099999999999996</v>
      </c>
      <c r="BM67" s="3">
        <f t="shared" si="38"/>
        <v>4.3099999999999996</v>
      </c>
      <c r="BN67" s="4">
        <f t="shared" si="39"/>
        <v>4.3099999999999996</v>
      </c>
      <c r="BO67" s="3">
        <v>3.62</v>
      </c>
      <c r="BP67" s="3">
        <f t="shared" si="40"/>
        <v>3.62</v>
      </c>
      <c r="BQ67" s="4">
        <f t="shared" si="41"/>
        <v>3.62</v>
      </c>
      <c r="BR67" s="3">
        <v>3.12</v>
      </c>
      <c r="BS67" s="3">
        <f t="shared" si="42"/>
        <v>3.12</v>
      </c>
      <c r="BT67" s="4">
        <f t="shared" si="43"/>
        <v>3.12</v>
      </c>
      <c r="BU67" s="3">
        <v>1.62</v>
      </c>
      <c r="BV67" s="3">
        <f t="shared" si="44"/>
        <v>1.62</v>
      </c>
      <c r="BW67" s="4">
        <f t="shared" si="45"/>
        <v>1.62</v>
      </c>
      <c r="BX67" s="3">
        <v>1.25</v>
      </c>
      <c r="BY67" s="3">
        <f t="shared" si="46"/>
        <v>1.25</v>
      </c>
      <c r="BZ67" s="21">
        <f t="shared" si="47"/>
        <v>1.25</v>
      </c>
      <c r="CB67" s="20" t="s">
        <v>529</v>
      </c>
      <c r="CC67" s="3">
        <v>4.1399999999999997</v>
      </c>
      <c r="CD67" s="3">
        <f t="shared" si="48"/>
        <v>4.1399999999999997</v>
      </c>
      <c r="CE67" s="4">
        <f t="shared" si="159"/>
        <v>4.1399999999999997</v>
      </c>
      <c r="CF67" s="3">
        <v>6.1</v>
      </c>
      <c r="CG67" s="3">
        <f t="shared" si="50"/>
        <v>6.1</v>
      </c>
      <c r="CH67" s="4">
        <f t="shared" si="160"/>
        <v>6.1</v>
      </c>
      <c r="CI67" s="3">
        <v>3.75</v>
      </c>
      <c r="CJ67" s="3">
        <f t="shared" si="52"/>
        <v>3.75</v>
      </c>
      <c r="CK67" s="4">
        <f t="shared" si="161"/>
        <v>3.75</v>
      </c>
      <c r="CL67" s="3">
        <v>5.14</v>
      </c>
      <c r="CM67" s="3">
        <f t="shared" si="54"/>
        <v>5.14</v>
      </c>
      <c r="CN67" s="4">
        <f t="shared" si="162"/>
        <v>5.14</v>
      </c>
      <c r="CO67" s="3">
        <v>4.9000000000000004</v>
      </c>
      <c r="CP67" s="3">
        <f t="shared" si="56"/>
        <v>4.9000000000000004</v>
      </c>
      <c r="CQ67" s="4">
        <f t="shared" si="163"/>
        <v>4.9000000000000004</v>
      </c>
      <c r="CR67" s="3">
        <v>1.84</v>
      </c>
      <c r="CS67" s="3">
        <f t="shared" si="58"/>
        <v>1.84</v>
      </c>
      <c r="CT67" s="4">
        <f t="shared" si="164"/>
        <v>1.84</v>
      </c>
      <c r="CU67" s="3">
        <v>3.76</v>
      </c>
      <c r="CV67" s="3">
        <f t="shared" si="60"/>
        <v>3.76</v>
      </c>
      <c r="CW67" s="4">
        <f t="shared" si="165"/>
        <v>3.76</v>
      </c>
      <c r="CX67" s="3">
        <v>3.16</v>
      </c>
      <c r="CY67" s="3">
        <f t="shared" si="62"/>
        <v>3.16</v>
      </c>
      <c r="CZ67" s="21">
        <f t="shared" si="166"/>
        <v>3.16</v>
      </c>
    </row>
    <row r="68" spans="2:208" ht="30">
      <c r="B68" s="20" t="s">
        <v>530</v>
      </c>
      <c r="C68" s="3">
        <v>2.98</v>
      </c>
      <c r="D68" s="3">
        <f t="shared" ref="D68:D99" si="207">IF(AND(C68 &lt; 99.99, C68 &gt; 0), C68, "")</f>
        <v>2.98</v>
      </c>
      <c r="E68" s="4">
        <f t="shared" ref="E68:E99" si="208">IF(AND(D68 &lt;= $D$214, D68 &gt;= $D$215), D68, "")</f>
        <v>2.98</v>
      </c>
      <c r="F68" s="3">
        <v>4.37</v>
      </c>
      <c r="G68" s="3">
        <f t="shared" ref="G68:G99" si="209">IF(AND(F68 &lt; 99.99, F68 &gt; 0), F68, "")</f>
        <v>4.37</v>
      </c>
      <c r="H68" s="4">
        <f t="shared" ref="H68:H99" si="210">IF(AND(G68 &lt;= G$214, G68 &gt;= G$215), G68, "")</f>
        <v>4.37</v>
      </c>
      <c r="I68" s="3">
        <v>5.31</v>
      </c>
      <c r="J68" s="3">
        <f t="shared" ref="J68:J99" si="211">IF(AND(I68 &lt; 99.99, I68 &gt; 0), I68, "")</f>
        <v>5.31</v>
      </c>
      <c r="K68" s="4">
        <f t="shared" ref="K68:K99" si="212">IF(AND(J68 &lt;= J$214, J68 &gt;= J$215), J68, "")</f>
        <v>5.31</v>
      </c>
      <c r="L68" s="3">
        <v>5.64</v>
      </c>
      <c r="M68" s="3">
        <f t="shared" ref="M68:M99" si="213">IF(AND(L68 &lt; 99.99, L68 &gt; 0), L68, "")</f>
        <v>5.64</v>
      </c>
      <c r="N68" s="4">
        <f t="shared" ref="N68:N99" si="214">IF(AND(M68 &lt;= M$214, M68 &gt;= M$215), M68, "")</f>
        <v>5.64</v>
      </c>
      <c r="O68" s="3">
        <v>4.33</v>
      </c>
      <c r="P68" s="3">
        <f t="shared" ref="P68:P99" si="215">IF(AND(O68 &lt; 99.99, O68 &gt; 0), O68, "")</f>
        <v>4.33</v>
      </c>
      <c r="Q68" s="4">
        <f t="shared" ref="Q68:Q99" si="216">IF(AND(P68 &lt;= P$214, P68 &gt;= P$215), P68, "")</f>
        <v>4.33</v>
      </c>
      <c r="R68" s="3">
        <v>4.8499999999999996</v>
      </c>
      <c r="S68" s="3">
        <f t="shared" ref="S68:S99" si="217">IF(AND(R68 &lt; 99.99, R68 &gt; 0), R68, "")</f>
        <v>4.8499999999999996</v>
      </c>
      <c r="T68" s="4">
        <f t="shared" ref="T68:T99" si="218">IF(AND(S68 &lt;= S$214, S68 &gt;= S$215), S68, "")</f>
        <v>4.8499999999999996</v>
      </c>
      <c r="U68" s="3">
        <v>1.67</v>
      </c>
      <c r="V68" s="3">
        <f t="shared" ref="V68:V99" si="219">IF(AND(U68 &lt; 99.99, U68 &gt; 0), U68, "")</f>
        <v>1.67</v>
      </c>
      <c r="W68" s="4">
        <f t="shared" ref="W68:W99" si="220">IF(AND(V68 &lt;= V$214, V68 &gt;= V$215), V68, "")</f>
        <v>1.67</v>
      </c>
      <c r="X68" s="3">
        <v>2.25</v>
      </c>
      <c r="Y68" s="3">
        <f t="shared" ref="Y68:Y99" si="221">IF(AND(X68 &lt; 99.99, X68 &gt; 0), X68, "")</f>
        <v>2.25</v>
      </c>
      <c r="Z68" s="21">
        <f t="shared" ref="Z68:Z99" si="222">IF(AND(Y68 &lt;= Y$214, Y68 &gt;= Y$215), Y68, "")</f>
        <v>2.25</v>
      </c>
      <c r="AB68" s="20" t="s">
        <v>531</v>
      </c>
      <c r="AC68" s="3">
        <v>2.84</v>
      </c>
      <c r="AD68" s="3">
        <f t="shared" ref="AD68:AD74" si="223">IF(AND(AC68 &lt; 99.99, AC68 &gt; 0), AC68, "")</f>
        <v>2.84</v>
      </c>
      <c r="AE68" s="4">
        <f t="shared" ref="AE68:AE74" si="224">IF(AND(AD68 &lt;= AD$77, AD68 &gt;= AD$78), AD68, "")</f>
        <v>2.84</v>
      </c>
      <c r="AF68" s="3">
        <v>5.48</v>
      </c>
      <c r="AG68" s="3">
        <f t="shared" ref="AG68:AG74" si="225">IF(AND(AF68 &lt; 99.99, AF68 &gt; 0), AF68, "")</f>
        <v>5.48</v>
      </c>
      <c r="AH68" s="4">
        <f t="shared" ref="AH68:AH74" si="226">IF(AND(AG68 &lt;= AG$77, AG68 &gt;= AG$78), AG68, "")</f>
        <v>5.48</v>
      </c>
      <c r="AI68" s="3">
        <v>4.7</v>
      </c>
      <c r="AJ68" s="3">
        <f t="shared" ref="AJ68:AJ74" si="227">IF(AND(AI68 &lt; 99.99, AI68 &gt; 0), AI68, "")</f>
        <v>4.7</v>
      </c>
      <c r="AK68" s="4">
        <f t="shared" ref="AK68:AK74" si="228">IF(AND(AJ68 &lt;= AJ$77, AJ68 &gt;= AJ$78), AJ68, "")</f>
        <v>4.7</v>
      </c>
      <c r="AL68" s="3">
        <v>1.06</v>
      </c>
      <c r="AM68" s="3">
        <f t="shared" ref="AM68:AM74" si="229">IF(AND(AL68 &lt; 99.99, AL68 &gt; 0), AL68, "")</f>
        <v>1.06</v>
      </c>
      <c r="AN68" s="4" t="str">
        <f t="shared" ref="AN68:AN74" si="230">IF(AND(AM68 &lt;= AM$77, AM68 &gt;= AM$78), AM68, "")</f>
        <v/>
      </c>
      <c r="AO68" s="3">
        <v>0</v>
      </c>
      <c r="AP68" s="3" t="str">
        <f t="shared" ref="AP68:AP74" si="231">IF(AND(AO68 &lt; 99.99, AO68 &gt; 0), AO68, "")</f>
        <v/>
      </c>
      <c r="AQ68" s="4" t="str">
        <f t="shared" ref="AQ68:AQ74" si="232">IF(AND(AP68 &lt;= AP$77, AP68 &gt;= AP$78), AP68, "")</f>
        <v/>
      </c>
      <c r="AR68" s="3">
        <v>3.72</v>
      </c>
      <c r="AS68" s="3">
        <f t="shared" ref="AS68:AS74" si="233">IF(AND(AR68 &lt; 99.99, AR68 &gt; 0), AR68, "")</f>
        <v>3.72</v>
      </c>
      <c r="AT68" s="4">
        <f t="shared" ref="AT68:AT74" si="234">IF(AND(AS68 &lt;= AS$77, AS68 &gt;= AS$78), AS68, "")</f>
        <v>3.72</v>
      </c>
      <c r="AU68" s="3">
        <v>1.95</v>
      </c>
      <c r="AV68" s="3">
        <f t="shared" ref="AV68:AV74" si="235">IF(AND(AU68 &lt; 99.99, AU68 &gt; 0), AU68, "")</f>
        <v>1.95</v>
      </c>
      <c r="AW68" s="4" t="str">
        <f t="shared" ref="AW68:AW74" si="236">IF(AND(AV68 &lt;= AV$77, AV68 &gt;= AV$78), AV68, "")</f>
        <v/>
      </c>
      <c r="AX68" s="3">
        <v>3.45</v>
      </c>
      <c r="AY68" s="3">
        <f t="shared" ref="AY68:AY74" si="237">IF(AND(AX68 &lt; 99.99, AX68 &gt; 0), AX68, "")</f>
        <v>3.45</v>
      </c>
      <c r="AZ68" s="21">
        <f t="shared" ref="AZ68:AZ73" si="238">IF(AND(AY68 &lt;= AY$77, AY68 &gt;= AY$78), AY68, "")</f>
        <v>3.45</v>
      </c>
      <c r="BB68" s="20" t="s">
        <v>532</v>
      </c>
      <c r="BC68" s="3">
        <v>3.92</v>
      </c>
      <c r="BD68" s="3">
        <f t="shared" ref="BD68:BD131" si="239">IF(AND(BC68 &lt; 99.99, BC68 &gt; 0), BC68, "")</f>
        <v>3.92</v>
      </c>
      <c r="BE68" s="4">
        <f t="shared" ref="BE68:BE131" si="240">IF(AND(BD68 &lt;= BD$260, BD68 &gt;= BD$261), BD68, "")</f>
        <v>3.92</v>
      </c>
      <c r="BF68" s="3">
        <v>4.29</v>
      </c>
      <c r="BG68" s="3">
        <f t="shared" ref="BG68:BG131" si="241">IF(AND(BF68 &lt; 99.99, BF68 &gt; 0), BF68, "")</f>
        <v>4.29</v>
      </c>
      <c r="BH68" s="4">
        <f t="shared" ref="BH68:BH131" si="242">IF(AND(BG68 &lt;= BG$260, BG68 &gt;= BG$261), BG68, "")</f>
        <v>4.29</v>
      </c>
      <c r="BI68" s="3">
        <v>4.1399999999999997</v>
      </c>
      <c r="BJ68" s="3">
        <f t="shared" ref="BJ68:BJ131" si="243">IF(AND(BI68 &lt; 99.99, BI68 &gt; 0), BI68, "")</f>
        <v>4.1399999999999997</v>
      </c>
      <c r="BK68" s="4">
        <f t="shared" ref="BK68:BK131" si="244">IF(AND(BJ68 &lt;= BJ$260, BJ68 &gt;= BJ$261), BJ68, "")</f>
        <v>4.1399999999999997</v>
      </c>
      <c r="BL68" s="3">
        <v>4.33</v>
      </c>
      <c r="BM68" s="3">
        <f t="shared" ref="BM68:BM131" si="245">IF(AND(BL68 &lt; 99.99, BL68 &gt; 0), BL68, "")</f>
        <v>4.33</v>
      </c>
      <c r="BN68" s="4">
        <f t="shared" ref="BN68:BN131" si="246">IF(AND(BM68 &lt;= BM$260, BM68 &gt;= BM$261), BM68, "")</f>
        <v>4.33</v>
      </c>
      <c r="BO68" s="3">
        <v>3.61</v>
      </c>
      <c r="BP68" s="3">
        <f t="shared" ref="BP68:BP131" si="247">IF(AND(BO68 &lt; 99.99, BO68 &gt; 0), BO68, "")</f>
        <v>3.61</v>
      </c>
      <c r="BQ68" s="4">
        <f t="shared" ref="BQ68:BQ131" si="248">IF(AND(BP68 &lt;= BP$260, BP68 &gt;= BP$261), BP68, "")</f>
        <v>3.61</v>
      </c>
      <c r="BR68" s="3">
        <v>3.15</v>
      </c>
      <c r="BS68" s="3">
        <f t="shared" ref="BS68:BS131" si="249">IF(AND(BR68 &lt; 99.99, BR68 &gt; 0), BR68, "")</f>
        <v>3.15</v>
      </c>
      <c r="BT68" s="4">
        <f t="shared" ref="BT68:BT131" si="250">IF(AND(BS68 &lt;= BS$260, BS68 &gt;= BS$261), BS68, "")</f>
        <v>3.15</v>
      </c>
      <c r="BU68" s="3">
        <v>1.63</v>
      </c>
      <c r="BV68" s="3">
        <f t="shared" ref="BV68:BV131" si="251">IF(AND(BU68 &lt; 99.99, BU68 &gt; 0), BU68, "")</f>
        <v>1.63</v>
      </c>
      <c r="BW68" s="4">
        <f t="shared" ref="BW68:BW131" si="252">IF(AND(BV68 &lt;= BV$260, BV68 &gt;= BV$261), BV68, "")</f>
        <v>1.63</v>
      </c>
      <c r="BX68" s="3">
        <v>1.24</v>
      </c>
      <c r="BY68" s="3">
        <f t="shared" ref="BY68:BY131" si="253">IF(AND(BX68 &lt; 99.99, BX68 &gt; 0), BX68, "")</f>
        <v>1.24</v>
      </c>
      <c r="BZ68" s="21">
        <f t="shared" ref="BZ68:BZ131" si="254">IF(AND(BY68 &lt;= BY$260, BY68 &gt;= BY$261), BY68, "")</f>
        <v>1.24</v>
      </c>
      <c r="CB68" s="20" t="s">
        <v>533</v>
      </c>
      <c r="CC68" s="3">
        <v>4.1399999999999997</v>
      </c>
      <c r="CD68" s="3">
        <f t="shared" ref="CD68:CD122" si="255">IF(AND(CC68 &lt; 99.99, CC68 &gt; 0), CC68, "")</f>
        <v>4.1399999999999997</v>
      </c>
      <c r="CE68" s="4">
        <f t="shared" ref="CE68:CE99" si="256">IF(AND(CD68 &lt;= CD$125, CD68 &gt;= CD$126), CD68, "")</f>
        <v>4.1399999999999997</v>
      </c>
      <c r="CF68" s="3">
        <v>6.13</v>
      </c>
      <c r="CG68" s="3">
        <f t="shared" ref="CG68:CG122" si="257">IF(AND(CF68 &lt; 99.99, CF68 &gt; 0), CF68, "")</f>
        <v>6.13</v>
      </c>
      <c r="CH68" s="4">
        <f t="shared" ref="CH68:CH99" si="258">IF(AND(CG68 &lt;= CG$125, CG68 &gt;= CG$126), CG68, "")</f>
        <v>6.13</v>
      </c>
      <c r="CI68" s="3">
        <v>3.78</v>
      </c>
      <c r="CJ68" s="3">
        <f t="shared" ref="CJ68:CJ122" si="259">IF(AND(CI68 &lt; 99.99, CI68 &gt; 0), CI68, "")</f>
        <v>3.78</v>
      </c>
      <c r="CK68" s="4">
        <f t="shared" ref="CK68:CK99" si="260">IF(AND(CJ68 &lt;= CJ$125, CJ68 &gt;= CJ$126), CJ68, "")</f>
        <v>3.78</v>
      </c>
      <c r="CL68" s="3">
        <v>5.08</v>
      </c>
      <c r="CM68" s="3">
        <f t="shared" ref="CM68:CM121" si="261">IF(AND(CL68 &lt; 99.99, CL68 &gt; 0), CL68, "")</f>
        <v>5.08</v>
      </c>
      <c r="CN68" s="4">
        <f t="shared" ref="CN68:CN99" si="262">IF(AND(CM68 &lt;= CM$125, CM68 &gt;= CM$126), CM68, "")</f>
        <v>5.08</v>
      </c>
      <c r="CO68" s="3">
        <v>5.45</v>
      </c>
      <c r="CP68" s="3">
        <f t="shared" ref="CP68:CP121" si="263">IF(AND(CO68 &lt; 99.99, CO68 &gt; 0), CO68, "")</f>
        <v>5.45</v>
      </c>
      <c r="CQ68" s="4">
        <f t="shared" ref="CQ68:CQ99" si="264">IF(AND(CP68 &lt;= CP$125, CP68 &gt;= CP$126), CP68, "")</f>
        <v>5.45</v>
      </c>
      <c r="CR68" s="3">
        <v>1.84</v>
      </c>
      <c r="CS68" s="3">
        <f t="shared" ref="CS68:CS122" si="265">IF(AND(CR68 &lt; 99.99, CR68 &gt; 0), CR68, "")</f>
        <v>1.84</v>
      </c>
      <c r="CT68" s="4">
        <f t="shared" ref="CT68:CT99" si="266">IF(AND(CS68 &lt;= CS$125, CS68 &gt;= CS$126), CS68, "")</f>
        <v>1.84</v>
      </c>
      <c r="CU68" s="3">
        <v>1.73</v>
      </c>
      <c r="CV68" s="3">
        <f t="shared" ref="CV68:CV122" si="267">IF(AND(CU68 &lt; 99.99, CU68 &gt; 0), CU68, "")</f>
        <v>1.73</v>
      </c>
      <c r="CW68" s="4" t="str">
        <f t="shared" ref="CW68:CW99" si="268">IF(AND(CV68 &lt;= CV$125, CV68 &gt;= CV$126), CV68, "")</f>
        <v/>
      </c>
      <c r="CX68" s="3">
        <v>2.3199999999999998</v>
      </c>
      <c r="CY68" s="3">
        <f t="shared" ref="CY68:CY122" si="269">IF(AND(CX68 &lt; 99.99, CX68 &gt; 0), CX68, "")</f>
        <v>2.3199999999999998</v>
      </c>
      <c r="CZ68" s="21" t="str">
        <f t="shared" ref="CZ68:CZ99" si="270">IF(AND(CY68 &lt;= CY$125, CY68 &gt;= CY$126), CY68, "")</f>
        <v/>
      </c>
      <c r="DB68" s="82" t="s">
        <v>534</v>
      </c>
      <c r="DC68" s="32"/>
      <c r="DD68" s="32"/>
      <c r="DE68" s="32">
        <v>3.04</v>
      </c>
      <c r="DF68" s="32"/>
      <c r="DG68" s="32"/>
      <c r="DH68" s="32">
        <v>4.01</v>
      </c>
      <c r="DI68" s="32"/>
      <c r="DJ68" s="32"/>
      <c r="DK68" s="32">
        <v>5.24</v>
      </c>
      <c r="DL68" s="32"/>
      <c r="DM68" s="32"/>
      <c r="DN68" s="32">
        <v>5.77</v>
      </c>
      <c r="DO68" s="32"/>
      <c r="DP68" s="32"/>
      <c r="DQ68" s="32">
        <v>4.1900000000000004</v>
      </c>
      <c r="DR68" s="32"/>
      <c r="DS68" s="32"/>
      <c r="DT68" s="32">
        <v>4.38</v>
      </c>
      <c r="DU68" s="32"/>
      <c r="DV68" s="32"/>
      <c r="DW68" s="32">
        <v>1.55</v>
      </c>
      <c r="DX68" s="32"/>
      <c r="DY68" s="32"/>
      <c r="DZ68" s="33">
        <v>2.41</v>
      </c>
      <c r="EB68" s="82" t="s">
        <v>534</v>
      </c>
      <c r="EC68" s="32"/>
      <c r="ED68" s="32"/>
      <c r="EE68" s="32">
        <v>2.88</v>
      </c>
      <c r="EF68" s="32"/>
      <c r="EG68" s="32"/>
      <c r="EH68" s="32">
        <v>5.31</v>
      </c>
      <c r="EI68" s="32"/>
      <c r="EJ68" s="32"/>
      <c r="EK68" s="32">
        <v>5.04</v>
      </c>
      <c r="EL68" s="32"/>
      <c r="EM68" s="32"/>
      <c r="EN68" s="32">
        <v>6.21</v>
      </c>
      <c r="EO68" s="32"/>
      <c r="EP68" s="32"/>
      <c r="EQ68" s="32">
        <v>5.29</v>
      </c>
      <c r="ER68" s="32"/>
      <c r="ES68" s="32"/>
      <c r="ET68" s="32">
        <v>3.65</v>
      </c>
      <c r="EU68" s="32"/>
      <c r="EV68" s="32"/>
      <c r="EW68" s="32">
        <v>2.85</v>
      </c>
      <c r="EX68" s="32"/>
      <c r="EY68" s="32"/>
      <c r="EZ68" s="33">
        <v>3.06</v>
      </c>
      <c r="FB68" s="82" t="s">
        <v>534</v>
      </c>
      <c r="FC68" s="8"/>
      <c r="FD68" s="8"/>
      <c r="FE68" s="8">
        <v>3.88</v>
      </c>
      <c r="FF68" s="8"/>
      <c r="FG68" s="8"/>
      <c r="FH68" s="8">
        <v>4.2300000000000004</v>
      </c>
      <c r="FI68" s="8"/>
      <c r="FJ68" s="8"/>
      <c r="FK68" s="8">
        <v>3.88</v>
      </c>
      <c r="FL68" s="8"/>
      <c r="FM68" s="8"/>
      <c r="FN68" s="8">
        <v>4.43</v>
      </c>
      <c r="FO68" s="8"/>
      <c r="FP68" s="8"/>
      <c r="FQ68" s="8">
        <v>3.58</v>
      </c>
      <c r="FR68" s="8"/>
      <c r="FS68" s="8"/>
      <c r="FT68" s="8">
        <v>3.17</v>
      </c>
      <c r="FU68" s="8"/>
      <c r="FV68" s="8"/>
      <c r="FW68" s="8">
        <v>1.72</v>
      </c>
      <c r="FX68" s="8"/>
      <c r="FY68" s="8"/>
      <c r="FZ68" s="9">
        <v>1.1399999999999999</v>
      </c>
      <c r="GB68" s="82" t="s">
        <v>534</v>
      </c>
      <c r="GC68" s="8"/>
      <c r="GD68" s="8"/>
      <c r="GE68" s="8">
        <v>4.2</v>
      </c>
      <c r="GF68" s="8"/>
      <c r="GG68" s="8"/>
      <c r="GH68" s="8">
        <v>6.08</v>
      </c>
      <c r="GI68" s="8"/>
      <c r="GJ68" s="8"/>
      <c r="GK68" s="8">
        <v>3.62</v>
      </c>
      <c r="GL68" s="8"/>
      <c r="GM68" s="8"/>
      <c r="GN68" s="8">
        <v>5.36</v>
      </c>
      <c r="GO68" s="8"/>
      <c r="GP68" s="8"/>
      <c r="GQ68" s="8">
        <v>5.44</v>
      </c>
      <c r="GR68" s="8"/>
      <c r="GS68" s="8"/>
      <c r="GT68" s="8">
        <v>1.82</v>
      </c>
      <c r="GU68" s="8"/>
      <c r="GV68" s="8"/>
      <c r="GW68" s="8">
        <v>3.76</v>
      </c>
      <c r="GX68" s="8"/>
      <c r="GY68" s="8"/>
      <c r="GZ68" s="9">
        <v>2.87</v>
      </c>
    </row>
    <row r="69" spans="2:208">
      <c r="B69" s="20" t="s">
        <v>535</v>
      </c>
      <c r="C69" s="3">
        <v>3.01</v>
      </c>
      <c r="D69" s="3">
        <f t="shared" si="207"/>
        <v>3.01</v>
      </c>
      <c r="E69" s="4">
        <f t="shared" si="208"/>
        <v>3.01</v>
      </c>
      <c r="F69" s="3">
        <v>4.42</v>
      </c>
      <c r="G69" s="3">
        <f t="shared" si="209"/>
        <v>4.42</v>
      </c>
      <c r="H69" s="4">
        <f t="shared" si="210"/>
        <v>4.42</v>
      </c>
      <c r="I69" s="3">
        <v>5.33</v>
      </c>
      <c r="J69" s="3">
        <f t="shared" si="211"/>
        <v>5.33</v>
      </c>
      <c r="K69" s="4">
        <f t="shared" si="212"/>
        <v>5.33</v>
      </c>
      <c r="L69" s="3">
        <v>5.63</v>
      </c>
      <c r="M69" s="3">
        <f t="shared" si="213"/>
        <v>5.63</v>
      </c>
      <c r="N69" s="4">
        <f t="shared" si="214"/>
        <v>5.63</v>
      </c>
      <c r="O69" s="3">
        <v>4.34</v>
      </c>
      <c r="P69" s="3">
        <f t="shared" si="215"/>
        <v>4.34</v>
      </c>
      <c r="Q69" s="4">
        <f t="shared" si="216"/>
        <v>4.34</v>
      </c>
      <c r="R69" s="3">
        <v>4.8</v>
      </c>
      <c r="S69" s="3">
        <f t="shared" si="217"/>
        <v>4.8</v>
      </c>
      <c r="T69" s="4">
        <f t="shared" si="218"/>
        <v>4.8</v>
      </c>
      <c r="U69" s="3">
        <v>1.76</v>
      </c>
      <c r="V69" s="3">
        <f t="shared" si="219"/>
        <v>1.76</v>
      </c>
      <c r="W69" s="4">
        <f t="shared" si="220"/>
        <v>1.76</v>
      </c>
      <c r="X69" s="3">
        <v>2.23</v>
      </c>
      <c r="Y69" s="3">
        <f t="shared" si="221"/>
        <v>2.23</v>
      </c>
      <c r="Z69" s="21">
        <f t="shared" si="222"/>
        <v>2.23</v>
      </c>
      <c r="AB69" s="20" t="s">
        <v>536</v>
      </c>
      <c r="AC69" s="3">
        <v>2.83</v>
      </c>
      <c r="AD69" s="3">
        <f t="shared" si="223"/>
        <v>2.83</v>
      </c>
      <c r="AE69" s="4">
        <f t="shared" si="224"/>
        <v>2.83</v>
      </c>
      <c r="AF69" s="3">
        <v>5.31</v>
      </c>
      <c r="AG69" s="3">
        <f t="shared" si="225"/>
        <v>5.31</v>
      </c>
      <c r="AH69" s="4">
        <f t="shared" si="226"/>
        <v>5.31</v>
      </c>
      <c r="AI69" s="3">
        <v>5.18</v>
      </c>
      <c r="AJ69" s="3">
        <f t="shared" si="227"/>
        <v>5.18</v>
      </c>
      <c r="AK69" s="4">
        <f t="shared" si="228"/>
        <v>5.18</v>
      </c>
      <c r="AL69" s="3">
        <v>4.68</v>
      </c>
      <c r="AM69" s="3">
        <f t="shared" si="229"/>
        <v>4.68</v>
      </c>
      <c r="AN69" s="4">
        <f t="shared" si="230"/>
        <v>4.68</v>
      </c>
      <c r="AO69" s="3">
        <v>0</v>
      </c>
      <c r="AP69" s="3" t="str">
        <f t="shared" si="231"/>
        <v/>
      </c>
      <c r="AQ69" s="4" t="str">
        <f t="shared" si="232"/>
        <v/>
      </c>
      <c r="AR69" s="3">
        <v>3.74</v>
      </c>
      <c r="AS69" s="3">
        <f t="shared" si="233"/>
        <v>3.74</v>
      </c>
      <c r="AT69" s="4">
        <f t="shared" si="234"/>
        <v>3.74</v>
      </c>
      <c r="AU69" s="3">
        <v>3.08</v>
      </c>
      <c r="AV69" s="3">
        <f t="shared" si="235"/>
        <v>3.08</v>
      </c>
      <c r="AW69" s="4">
        <f t="shared" si="236"/>
        <v>3.08</v>
      </c>
      <c r="AX69" s="3">
        <v>3.5</v>
      </c>
      <c r="AY69" s="3">
        <f t="shared" si="237"/>
        <v>3.5</v>
      </c>
      <c r="AZ69" s="21">
        <f t="shared" si="238"/>
        <v>3.5</v>
      </c>
      <c r="BB69" s="20" t="s">
        <v>537</v>
      </c>
      <c r="BC69" s="3">
        <v>3.93</v>
      </c>
      <c r="BD69" s="3">
        <f t="shared" si="239"/>
        <v>3.93</v>
      </c>
      <c r="BE69" s="4">
        <f t="shared" si="240"/>
        <v>3.93</v>
      </c>
      <c r="BF69" s="3">
        <v>1.54</v>
      </c>
      <c r="BG69" s="3">
        <f t="shared" si="241"/>
        <v>1.54</v>
      </c>
      <c r="BH69" s="4" t="str">
        <f t="shared" si="242"/>
        <v/>
      </c>
      <c r="BI69" s="3">
        <v>4.1500000000000004</v>
      </c>
      <c r="BJ69" s="3">
        <f t="shared" si="243"/>
        <v>4.1500000000000004</v>
      </c>
      <c r="BK69" s="4">
        <f t="shared" si="244"/>
        <v>4.1500000000000004</v>
      </c>
      <c r="BL69" s="3">
        <v>4.3</v>
      </c>
      <c r="BM69" s="3">
        <f t="shared" si="245"/>
        <v>4.3</v>
      </c>
      <c r="BN69" s="4">
        <f t="shared" si="246"/>
        <v>4.3</v>
      </c>
      <c r="BO69" s="3">
        <v>3.58</v>
      </c>
      <c r="BP69" s="3">
        <f t="shared" si="247"/>
        <v>3.58</v>
      </c>
      <c r="BQ69" s="4">
        <f t="shared" si="248"/>
        <v>3.58</v>
      </c>
      <c r="BR69" s="3">
        <v>3.12</v>
      </c>
      <c r="BS69" s="3">
        <f t="shared" si="249"/>
        <v>3.12</v>
      </c>
      <c r="BT69" s="4">
        <f t="shared" si="250"/>
        <v>3.12</v>
      </c>
      <c r="BU69" s="3">
        <v>1.62</v>
      </c>
      <c r="BV69" s="3">
        <f t="shared" si="251"/>
        <v>1.62</v>
      </c>
      <c r="BW69" s="4">
        <f t="shared" si="252"/>
        <v>1.62</v>
      </c>
      <c r="BX69" s="3">
        <v>1.28</v>
      </c>
      <c r="BY69" s="3">
        <f t="shared" si="253"/>
        <v>1.28</v>
      </c>
      <c r="BZ69" s="21">
        <f t="shared" si="254"/>
        <v>1.28</v>
      </c>
      <c r="CB69" s="20" t="s">
        <v>538</v>
      </c>
      <c r="CC69" s="3">
        <v>4.1500000000000004</v>
      </c>
      <c r="CD69" s="3">
        <f t="shared" si="255"/>
        <v>4.1500000000000004</v>
      </c>
      <c r="CE69" s="4">
        <f t="shared" si="256"/>
        <v>4.1500000000000004</v>
      </c>
      <c r="CF69" s="3">
        <v>2.8</v>
      </c>
      <c r="CG69" s="3">
        <f t="shared" si="257"/>
        <v>2.8</v>
      </c>
      <c r="CH69" s="4" t="str">
        <f t="shared" si="258"/>
        <v/>
      </c>
      <c r="CI69" s="3">
        <v>2.6</v>
      </c>
      <c r="CJ69" s="3">
        <f t="shared" si="259"/>
        <v>2.6</v>
      </c>
      <c r="CK69" s="4" t="str">
        <f t="shared" si="260"/>
        <v/>
      </c>
      <c r="CL69" s="3">
        <v>5.16</v>
      </c>
      <c r="CM69" s="3">
        <f t="shared" si="261"/>
        <v>5.16</v>
      </c>
      <c r="CN69" s="4">
        <f t="shared" si="262"/>
        <v>5.16</v>
      </c>
      <c r="CO69" s="3">
        <v>5.43</v>
      </c>
      <c r="CP69" s="3">
        <f t="shared" si="263"/>
        <v>5.43</v>
      </c>
      <c r="CQ69" s="4">
        <f t="shared" si="264"/>
        <v>5.43</v>
      </c>
      <c r="CR69" s="3">
        <v>1.84</v>
      </c>
      <c r="CS69" s="3">
        <f t="shared" si="265"/>
        <v>1.84</v>
      </c>
      <c r="CT69" s="4">
        <f t="shared" si="266"/>
        <v>1.84</v>
      </c>
      <c r="CU69" s="3">
        <v>3.77</v>
      </c>
      <c r="CV69" s="3">
        <f t="shared" si="267"/>
        <v>3.77</v>
      </c>
      <c r="CW69" s="4">
        <f t="shared" si="268"/>
        <v>3.77</v>
      </c>
      <c r="CX69" s="3">
        <v>0</v>
      </c>
      <c r="CY69" s="3" t="str">
        <f t="shared" si="269"/>
        <v/>
      </c>
      <c r="CZ69" s="21" t="str">
        <f t="shared" si="270"/>
        <v/>
      </c>
      <c r="DB69" s="52" t="s">
        <v>539</v>
      </c>
      <c r="DC69" s="11"/>
      <c r="DD69" s="11"/>
      <c r="DE69" s="11">
        <f>DE68-DE63</f>
        <v>0.71875000000000133</v>
      </c>
      <c r="DF69" s="11"/>
      <c r="DG69" s="11"/>
      <c r="DH69" s="11">
        <f>DH68-DH63</f>
        <v>2.8684444444444432</v>
      </c>
      <c r="DI69" s="11"/>
      <c r="DJ69" s="11"/>
      <c r="DK69" s="11">
        <f>DK68-DK63</f>
        <v>2.680208333333332</v>
      </c>
      <c r="DL69" s="11"/>
      <c r="DM69" s="11"/>
      <c r="DN69" s="11">
        <f>DN68-DN63</f>
        <v>2.4568421052631564</v>
      </c>
      <c r="DO69" s="11"/>
      <c r="DP69" s="11"/>
      <c r="DQ69" s="11">
        <f>DQ68-DQ63</f>
        <v>2.7967272727272734</v>
      </c>
      <c r="DR69" s="11"/>
      <c r="DS69" s="11"/>
      <c r="DT69" s="11">
        <f>DT68-DT63</f>
        <v>2.6886666666666654</v>
      </c>
      <c r="DU69" s="11"/>
      <c r="DV69" s="11"/>
      <c r="DW69" s="11">
        <f>DW68-DW63</f>
        <v>0.28909090909090907</v>
      </c>
      <c r="DX69" s="11"/>
      <c r="DY69" s="11"/>
      <c r="DZ69" s="35">
        <f>DZ68-DZ63</f>
        <v>-0.47529411764705864</v>
      </c>
      <c r="EB69" s="52" t="s">
        <v>539</v>
      </c>
      <c r="EC69" s="11"/>
      <c r="ED69" s="11"/>
      <c r="EE69" s="11">
        <f>EE68-EE63</f>
        <v>2.3440740740740735</v>
      </c>
      <c r="EF69" s="11"/>
      <c r="EG69" s="11"/>
      <c r="EH69" s="11">
        <f>EH68-EH63</f>
        <v>1.4737209302325556</v>
      </c>
      <c r="EI69" s="11"/>
      <c r="EJ69" s="11"/>
      <c r="EK69" s="11">
        <f>EK68-EK63</f>
        <v>4.7156896551724135</v>
      </c>
      <c r="EL69" s="11"/>
      <c r="EM69" s="11"/>
      <c r="EN69" s="11">
        <f>EN68-EN63</f>
        <v>4.5984905660377358</v>
      </c>
      <c r="EO69" s="11"/>
      <c r="EP69" s="11"/>
      <c r="EQ69" s="11">
        <f>EQ68-EQ63</f>
        <v>3.0239130434782617</v>
      </c>
      <c r="ER69" s="11"/>
      <c r="ES69" s="11"/>
      <c r="ET69" s="11">
        <f>ET68-ET63</f>
        <v>1.8442857142857141</v>
      </c>
      <c r="EU69" s="11"/>
      <c r="EV69" s="11"/>
      <c r="EW69" s="11">
        <f>EW68-EW63</f>
        <v>2.16</v>
      </c>
      <c r="EX69" s="11"/>
      <c r="EY69" s="11"/>
      <c r="EZ69" s="35">
        <f>EZ68-EZ63</f>
        <v>1.8643999999999994</v>
      </c>
      <c r="FB69" s="52" t="s">
        <v>539</v>
      </c>
      <c r="FC69" s="11"/>
      <c r="FD69" s="11"/>
      <c r="FE69" s="11">
        <f>FE68-FE63</f>
        <v>-8.3807692307692285</v>
      </c>
      <c r="FF69" s="11"/>
      <c r="FG69" s="11"/>
      <c r="FH69" s="11">
        <f>FH68-FH63</f>
        <v>2.8822222222222234</v>
      </c>
      <c r="FI69" s="11"/>
      <c r="FJ69" s="11"/>
      <c r="FK69" s="11">
        <f>FK68-FK63</f>
        <v>2.5484482758620688</v>
      </c>
      <c r="FL69" s="11"/>
      <c r="FM69" s="11"/>
      <c r="FN69" s="11">
        <f>FN68-FN63</f>
        <v>0.96904761904761694</v>
      </c>
      <c r="FO69" s="11"/>
      <c r="FP69" s="11"/>
      <c r="FQ69" s="11">
        <f>FQ68-FQ63</f>
        <v>1.7833333333333334</v>
      </c>
      <c r="FR69" s="11"/>
      <c r="FS69" s="11"/>
      <c r="FT69" s="11">
        <f>FT68-FT63</f>
        <v>0.76061224489795931</v>
      </c>
      <c r="FU69" s="11"/>
      <c r="FV69" s="11"/>
      <c r="FW69" s="11">
        <f>FW68-FW63</f>
        <v>1.5048214285714285</v>
      </c>
      <c r="FX69" s="11"/>
      <c r="FY69" s="11"/>
      <c r="FZ69" s="12">
        <f>FZ68-FZ63</f>
        <v>0.92877551020408156</v>
      </c>
      <c r="GB69" s="52" t="s">
        <v>539</v>
      </c>
      <c r="GC69" s="11"/>
      <c r="GD69" s="11"/>
      <c r="GE69" s="11">
        <f>GE68-GE63</f>
        <v>3.3499999999999996</v>
      </c>
      <c r="GF69" s="11"/>
      <c r="GG69" s="11"/>
      <c r="GH69" s="11">
        <f>GH68-GH63</f>
        <v>5.4824528301886799</v>
      </c>
      <c r="GI69" s="11"/>
      <c r="GJ69" s="11"/>
      <c r="GK69" s="11">
        <f>GK68-GK63</f>
        <v>3.4726415094339624</v>
      </c>
      <c r="GL69" s="11"/>
      <c r="GM69" s="11"/>
      <c r="GN69" s="11">
        <f>GN68-GN63</f>
        <v>3.8245454545454542</v>
      </c>
      <c r="GO69" s="11"/>
      <c r="GP69" s="11"/>
      <c r="GQ69" s="11">
        <f>GQ68-GQ63</f>
        <v>3.3821739130434794</v>
      </c>
      <c r="GR69" s="11"/>
      <c r="GS69" s="11"/>
      <c r="GT69" s="11">
        <f>GT68-GT63</f>
        <v>1.1197674418604646</v>
      </c>
      <c r="GU69" s="11"/>
      <c r="GV69" s="11"/>
      <c r="GW69" s="11">
        <f>GW68-GW63</f>
        <v>3.4629545454545454</v>
      </c>
      <c r="GX69" s="11"/>
      <c r="GY69" s="11"/>
      <c r="GZ69" s="12">
        <f>GZ68-GZ63</f>
        <v>0.65234042553191562</v>
      </c>
    </row>
    <row r="70" spans="2:208" ht="15.75" thickBot="1">
      <c r="B70" s="20" t="s">
        <v>540</v>
      </c>
      <c r="C70" s="3">
        <v>1.07</v>
      </c>
      <c r="D70" s="3">
        <f t="shared" si="207"/>
        <v>1.07</v>
      </c>
      <c r="E70" s="4" t="str">
        <f t="shared" si="208"/>
        <v/>
      </c>
      <c r="F70" s="3">
        <v>4.3899999999999997</v>
      </c>
      <c r="G70" s="3">
        <f t="shared" si="209"/>
        <v>4.3899999999999997</v>
      </c>
      <c r="H70" s="4">
        <f t="shared" si="210"/>
        <v>4.3899999999999997</v>
      </c>
      <c r="I70" s="3">
        <v>5.31</v>
      </c>
      <c r="J70" s="3">
        <f t="shared" si="211"/>
        <v>5.31</v>
      </c>
      <c r="K70" s="4">
        <f t="shared" si="212"/>
        <v>5.31</v>
      </c>
      <c r="L70" s="3">
        <v>5.64</v>
      </c>
      <c r="M70" s="3">
        <f t="shared" si="213"/>
        <v>5.64</v>
      </c>
      <c r="N70" s="4">
        <f t="shared" si="214"/>
        <v>5.64</v>
      </c>
      <c r="O70" s="3">
        <v>1.67</v>
      </c>
      <c r="P70" s="3">
        <f t="shared" si="215"/>
        <v>1.67</v>
      </c>
      <c r="Q70" s="4" t="str">
        <f t="shared" si="216"/>
        <v/>
      </c>
      <c r="R70" s="3">
        <v>4.87</v>
      </c>
      <c r="S70" s="3">
        <f t="shared" si="217"/>
        <v>4.87</v>
      </c>
      <c r="T70" s="4">
        <f t="shared" si="218"/>
        <v>4.87</v>
      </c>
      <c r="U70" s="3">
        <v>1.72</v>
      </c>
      <c r="V70" s="3">
        <f t="shared" si="219"/>
        <v>1.72</v>
      </c>
      <c r="W70" s="4">
        <f t="shared" si="220"/>
        <v>1.72</v>
      </c>
      <c r="X70" s="3">
        <v>2.2599999999999998</v>
      </c>
      <c r="Y70" s="3">
        <f t="shared" si="221"/>
        <v>2.2599999999999998</v>
      </c>
      <c r="Z70" s="21">
        <f t="shared" si="222"/>
        <v>2.2599999999999998</v>
      </c>
      <c r="AB70" s="20" t="s">
        <v>541</v>
      </c>
      <c r="AC70" s="3">
        <v>2.87</v>
      </c>
      <c r="AD70" s="3">
        <f t="shared" si="223"/>
        <v>2.87</v>
      </c>
      <c r="AE70" s="4">
        <f t="shared" si="224"/>
        <v>2.87</v>
      </c>
      <c r="AF70" s="3">
        <v>5.42</v>
      </c>
      <c r="AG70" s="3">
        <f t="shared" si="225"/>
        <v>5.42</v>
      </c>
      <c r="AH70" s="4">
        <f t="shared" si="226"/>
        <v>5.42</v>
      </c>
      <c r="AI70" s="3">
        <v>5.18</v>
      </c>
      <c r="AJ70" s="3">
        <f t="shared" si="227"/>
        <v>5.18</v>
      </c>
      <c r="AK70" s="4">
        <f t="shared" si="228"/>
        <v>5.18</v>
      </c>
      <c r="AL70" s="3">
        <v>6.04</v>
      </c>
      <c r="AM70" s="3">
        <f t="shared" si="229"/>
        <v>6.04</v>
      </c>
      <c r="AN70" s="4">
        <f t="shared" si="230"/>
        <v>6.04</v>
      </c>
      <c r="AO70" s="3">
        <v>0</v>
      </c>
      <c r="AP70" s="3" t="str">
        <f t="shared" si="231"/>
        <v/>
      </c>
      <c r="AQ70" s="4" t="str">
        <f t="shared" si="232"/>
        <v/>
      </c>
      <c r="AR70" s="3">
        <v>3.75</v>
      </c>
      <c r="AS70" s="3">
        <f t="shared" si="233"/>
        <v>3.75</v>
      </c>
      <c r="AT70" s="4">
        <f t="shared" si="234"/>
        <v>3.75</v>
      </c>
      <c r="AU70" s="3">
        <v>1.08</v>
      </c>
      <c r="AV70" s="3">
        <f t="shared" si="235"/>
        <v>1.08</v>
      </c>
      <c r="AW70" s="4" t="str">
        <f t="shared" si="236"/>
        <v/>
      </c>
      <c r="AX70" s="3">
        <v>3.49</v>
      </c>
      <c r="AY70" s="3">
        <f t="shared" si="237"/>
        <v>3.49</v>
      </c>
      <c r="AZ70" s="21">
        <f t="shared" si="238"/>
        <v>3.49</v>
      </c>
      <c r="BB70" s="20" t="s">
        <v>542</v>
      </c>
      <c r="BC70" s="3">
        <v>3.92</v>
      </c>
      <c r="BD70" s="3">
        <f t="shared" si="239"/>
        <v>3.92</v>
      </c>
      <c r="BE70" s="4">
        <f t="shared" si="240"/>
        <v>3.92</v>
      </c>
      <c r="BF70" s="3">
        <v>4.28</v>
      </c>
      <c r="BG70" s="3">
        <f t="shared" si="241"/>
        <v>4.28</v>
      </c>
      <c r="BH70" s="4">
        <f t="shared" si="242"/>
        <v>4.28</v>
      </c>
      <c r="BI70" s="3">
        <v>4.17</v>
      </c>
      <c r="BJ70" s="3">
        <f t="shared" si="243"/>
        <v>4.17</v>
      </c>
      <c r="BK70" s="4">
        <f t="shared" si="244"/>
        <v>4.17</v>
      </c>
      <c r="BL70" s="3">
        <v>4.33</v>
      </c>
      <c r="BM70" s="3">
        <f t="shared" si="245"/>
        <v>4.33</v>
      </c>
      <c r="BN70" s="4">
        <f t="shared" si="246"/>
        <v>4.33</v>
      </c>
      <c r="BO70" s="3">
        <v>0.69</v>
      </c>
      <c r="BP70" s="3">
        <f t="shared" si="247"/>
        <v>0.69</v>
      </c>
      <c r="BQ70" s="4" t="str">
        <f t="shared" si="248"/>
        <v/>
      </c>
      <c r="BR70" s="3">
        <v>3.14</v>
      </c>
      <c r="BS70" s="3">
        <f t="shared" si="249"/>
        <v>3.14</v>
      </c>
      <c r="BT70" s="4">
        <f t="shared" si="250"/>
        <v>3.14</v>
      </c>
      <c r="BU70" s="3">
        <v>1.62</v>
      </c>
      <c r="BV70" s="3">
        <f t="shared" si="251"/>
        <v>1.62</v>
      </c>
      <c r="BW70" s="4">
        <f t="shared" si="252"/>
        <v>1.62</v>
      </c>
      <c r="BX70" s="3">
        <v>1.21</v>
      </c>
      <c r="BY70" s="3">
        <f t="shared" si="253"/>
        <v>1.21</v>
      </c>
      <c r="BZ70" s="21">
        <f t="shared" si="254"/>
        <v>1.21</v>
      </c>
      <c r="CB70" s="20" t="s">
        <v>543</v>
      </c>
      <c r="CC70" s="3">
        <v>2.59</v>
      </c>
      <c r="CD70" s="3">
        <f t="shared" si="255"/>
        <v>2.59</v>
      </c>
      <c r="CE70" s="4" t="str">
        <f t="shared" si="256"/>
        <v/>
      </c>
      <c r="CF70" s="3">
        <v>6.11</v>
      </c>
      <c r="CG70" s="3">
        <f t="shared" si="257"/>
        <v>6.11</v>
      </c>
      <c r="CH70" s="4">
        <f t="shared" si="258"/>
        <v>6.11</v>
      </c>
      <c r="CI70" s="3">
        <v>3.78</v>
      </c>
      <c r="CJ70" s="3">
        <f t="shared" si="259"/>
        <v>3.78</v>
      </c>
      <c r="CK70" s="4">
        <f t="shared" si="260"/>
        <v>3.78</v>
      </c>
      <c r="CL70" s="3">
        <v>5.1100000000000003</v>
      </c>
      <c r="CM70" s="3">
        <f t="shared" si="261"/>
        <v>5.1100000000000003</v>
      </c>
      <c r="CN70" s="4">
        <f t="shared" si="262"/>
        <v>5.1100000000000003</v>
      </c>
      <c r="CO70" s="3">
        <v>5.47</v>
      </c>
      <c r="CP70" s="3">
        <f t="shared" si="263"/>
        <v>5.47</v>
      </c>
      <c r="CQ70" s="4">
        <f t="shared" si="264"/>
        <v>5.47</v>
      </c>
      <c r="CR70" s="3">
        <v>1.85</v>
      </c>
      <c r="CS70" s="3">
        <f t="shared" si="265"/>
        <v>1.85</v>
      </c>
      <c r="CT70" s="4">
        <f t="shared" si="266"/>
        <v>1.85</v>
      </c>
      <c r="CU70" s="3">
        <v>2.0099999999999998</v>
      </c>
      <c r="CV70" s="3">
        <f t="shared" si="267"/>
        <v>2.0099999999999998</v>
      </c>
      <c r="CW70" s="4" t="str">
        <f t="shared" si="268"/>
        <v/>
      </c>
      <c r="CX70" s="3">
        <v>3.09</v>
      </c>
      <c r="CY70" s="3">
        <f t="shared" si="269"/>
        <v>3.09</v>
      </c>
      <c r="CZ70" s="21">
        <f t="shared" si="270"/>
        <v>3.09</v>
      </c>
      <c r="DB70" s="53" t="s">
        <v>544</v>
      </c>
      <c r="DC70" s="37"/>
      <c r="DD70" s="37"/>
      <c r="DE70" s="37">
        <f>(DE69/DE63)*100</f>
        <v>30.963920301561732</v>
      </c>
      <c r="DF70" s="37"/>
      <c r="DG70" s="37"/>
      <c r="DH70" s="37">
        <f>(DH69/DH63)*100</f>
        <v>251.27506326649765</v>
      </c>
      <c r="DI70" s="37"/>
      <c r="DJ70" s="37"/>
      <c r="DK70" s="37">
        <f>(DK69/DK63)*100</f>
        <v>104.70415886709519</v>
      </c>
      <c r="DL70" s="37"/>
      <c r="DM70" s="37"/>
      <c r="DN70" s="37">
        <f>(DN69/DN63)*100</f>
        <v>74.154090548053944</v>
      </c>
      <c r="DO70" s="37"/>
      <c r="DP70" s="37"/>
      <c r="DQ70" s="37">
        <f>(DQ69/DQ63)*100</f>
        <v>200.7307842881379</v>
      </c>
      <c r="DR70" s="37"/>
      <c r="DS70" s="37"/>
      <c r="DT70" s="37">
        <f>(DT69/DT63)*100</f>
        <v>158.96728419392966</v>
      </c>
      <c r="DU70" s="37"/>
      <c r="DV70" s="37"/>
      <c r="DW70" s="37">
        <f>(DW69/DW63)*100</f>
        <v>22.927180966113912</v>
      </c>
      <c r="DX70" s="37"/>
      <c r="DY70" s="37"/>
      <c r="DZ70" s="38">
        <f>(DZ69/DZ63)*100</f>
        <v>-16.472986748216101</v>
      </c>
      <c r="EB70" s="53" t="s">
        <v>544</v>
      </c>
      <c r="EC70" s="37"/>
      <c r="ED70" s="37"/>
      <c r="EE70" s="37">
        <f>(EE69/EE63)*100</f>
        <v>437.38769868693811</v>
      </c>
      <c r="EF70" s="37"/>
      <c r="EG70" s="37"/>
      <c r="EH70" s="37">
        <f>(EH69/EH63)*100</f>
        <v>38.415373423860238</v>
      </c>
      <c r="EI70" s="37"/>
      <c r="EJ70" s="37"/>
      <c r="EK70" s="37">
        <f>(EK69/EK63)*100</f>
        <v>1454.0669856459324</v>
      </c>
      <c r="EL70" s="37"/>
      <c r="EM70" s="37"/>
      <c r="EN70" s="37">
        <f>(EN69/EN63)*100</f>
        <v>285.35300316122243</v>
      </c>
      <c r="EO70" s="37"/>
      <c r="EP70" s="37"/>
      <c r="EQ70" s="37">
        <f>(EQ69/EQ63)*100</f>
        <v>133.44205679201849</v>
      </c>
      <c r="ER70" s="37"/>
      <c r="ES70" s="37"/>
      <c r="ET70" s="37">
        <f>(ET69/ET63)*100</f>
        <v>102.13607594936707</v>
      </c>
      <c r="EU70" s="37"/>
      <c r="EV70" s="37"/>
      <c r="EW70" s="37">
        <f>(EW69/EW63)*100</f>
        <v>313.04347826086968</v>
      </c>
      <c r="EX70" s="37"/>
      <c r="EY70" s="37"/>
      <c r="EZ70" s="38">
        <f>(EZ69/EZ63)*100</f>
        <v>155.93844095015041</v>
      </c>
      <c r="FB70" s="53" t="s">
        <v>544</v>
      </c>
      <c r="FC70" s="14"/>
      <c r="FD70" s="14"/>
      <c r="FE70" s="14">
        <f>(FE69/FE63)*100</f>
        <v>-68.354350963046613</v>
      </c>
      <c r="FF70" s="14"/>
      <c r="FG70" s="14"/>
      <c r="FH70" s="14">
        <f>(FH69/FH63)*100</f>
        <v>213.84995877988473</v>
      </c>
      <c r="FI70" s="14"/>
      <c r="FJ70" s="14"/>
      <c r="FK70" s="14">
        <f>(FK69/FK63)*100</f>
        <v>191.38935646769389</v>
      </c>
      <c r="FL70" s="14"/>
      <c r="FM70" s="14"/>
      <c r="FN70" s="14">
        <f>(FN69/FN63)*100</f>
        <v>27.9994496422674</v>
      </c>
      <c r="FO70" s="14"/>
      <c r="FP70" s="14"/>
      <c r="FQ70" s="14">
        <f>(FQ69/FQ63)*100</f>
        <v>99.2578849721707</v>
      </c>
      <c r="FR70" s="14"/>
      <c r="FS70" s="14"/>
      <c r="FT70" s="14">
        <f>(FT69/FT63)*100</f>
        <v>31.568693884465532</v>
      </c>
      <c r="FU70" s="14"/>
      <c r="FV70" s="14"/>
      <c r="FW70" s="14">
        <f>(FW69/FW63)*100</f>
        <v>699.33609958506213</v>
      </c>
      <c r="FX70" s="14"/>
      <c r="FY70" s="14"/>
      <c r="FZ70" s="15">
        <f>(FZ69/FZ63)*100</f>
        <v>439.71014492753619</v>
      </c>
      <c r="GB70" s="53" t="s">
        <v>544</v>
      </c>
      <c r="GC70" s="14"/>
      <c r="GD70" s="14"/>
      <c r="GE70" s="14">
        <f>(GE69/GE63)*100</f>
        <v>394.11764705882331</v>
      </c>
      <c r="GF70" s="14"/>
      <c r="GG70" s="14"/>
      <c r="GH70" s="14">
        <f>(GH69/GH63)*100</f>
        <v>917.49289548468619</v>
      </c>
      <c r="GI70" s="14"/>
      <c r="GJ70" s="14"/>
      <c r="GK70" s="14">
        <f>(GK69/GK63)*100</f>
        <v>2356.5941101152353</v>
      </c>
      <c r="GL70" s="14"/>
      <c r="GM70" s="14"/>
      <c r="GN70" s="14">
        <f>(GN69/GN63)*100</f>
        <v>249.08229721728821</v>
      </c>
      <c r="GO70" s="14"/>
      <c r="GP70" s="14"/>
      <c r="GQ70" s="14">
        <f>(GQ69/GQ63)*100</f>
        <v>164.35664483414337</v>
      </c>
      <c r="GR70" s="14"/>
      <c r="GS70" s="14"/>
      <c r="GT70" s="14">
        <f>(GT69/GT63)*100</f>
        <v>159.9136499501825</v>
      </c>
      <c r="GU70" s="14"/>
      <c r="GV70" s="14"/>
      <c r="GW70" s="14">
        <f>(GW69/GW63)*100</f>
        <v>1165.7995409334355</v>
      </c>
      <c r="GX70" s="14"/>
      <c r="GY70" s="14"/>
      <c r="GZ70" s="15">
        <f>(GZ69/GZ63)*100</f>
        <v>29.415715245131004</v>
      </c>
    </row>
    <row r="71" spans="2:208" ht="15.75" thickBot="1">
      <c r="B71" s="20" t="s">
        <v>545</v>
      </c>
      <c r="C71" s="3">
        <v>3.01</v>
      </c>
      <c r="D71" s="3">
        <f t="shared" si="207"/>
        <v>3.01</v>
      </c>
      <c r="E71" s="4">
        <f t="shared" si="208"/>
        <v>3.01</v>
      </c>
      <c r="F71" s="3">
        <v>1.07</v>
      </c>
      <c r="G71" s="3">
        <f t="shared" si="209"/>
        <v>1.07</v>
      </c>
      <c r="H71" s="4" t="str">
        <f t="shared" si="210"/>
        <v/>
      </c>
      <c r="I71" s="3">
        <v>5.29</v>
      </c>
      <c r="J71" s="3">
        <f t="shared" si="211"/>
        <v>5.29</v>
      </c>
      <c r="K71" s="4">
        <f t="shared" si="212"/>
        <v>5.29</v>
      </c>
      <c r="L71" s="3">
        <v>5.3</v>
      </c>
      <c r="M71" s="3">
        <f t="shared" si="213"/>
        <v>5.3</v>
      </c>
      <c r="N71" s="4">
        <f t="shared" si="214"/>
        <v>5.3</v>
      </c>
      <c r="O71" s="3">
        <v>4.32</v>
      </c>
      <c r="P71" s="3">
        <f t="shared" si="215"/>
        <v>4.32</v>
      </c>
      <c r="Q71" s="4">
        <f t="shared" si="216"/>
        <v>4.32</v>
      </c>
      <c r="R71" s="3">
        <v>4.1500000000000004</v>
      </c>
      <c r="S71" s="3">
        <f t="shared" si="217"/>
        <v>4.1500000000000004</v>
      </c>
      <c r="T71" s="4">
        <f t="shared" si="218"/>
        <v>4.1500000000000004</v>
      </c>
      <c r="U71" s="3">
        <v>1.78</v>
      </c>
      <c r="V71" s="3">
        <f t="shared" si="219"/>
        <v>1.78</v>
      </c>
      <c r="W71" s="4">
        <f t="shared" si="220"/>
        <v>1.78</v>
      </c>
      <c r="X71" s="3">
        <v>0</v>
      </c>
      <c r="Y71" s="3" t="str">
        <f t="shared" si="221"/>
        <v/>
      </c>
      <c r="Z71" s="21" t="str">
        <f t="shared" si="222"/>
        <v/>
      </c>
      <c r="AB71" s="20" t="s">
        <v>546</v>
      </c>
      <c r="AC71" s="3">
        <v>2.82</v>
      </c>
      <c r="AD71" s="3">
        <f t="shared" si="223"/>
        <v>2.82</v>
      </c>
      <c r="AE71" s="4">
        <f t="shared" si="224"/>
        <v>2.82</v>
      </c>
      <c r="AF71" s="3">
        <v>5.48</v>
      </c>
      <c r="AG71" s="3">
        <f t="shared" si="225"/>
        <v>5.48</v>
      </c>
      <c r="AH71" s="4">
        <f t="shared" si="226"/>
        <v>5.48</v>
      </c>
      <c r="AI71" s="3">
        <v>5.17</v>
      </c>
      <c r="AJ71" s="3">
        <f t="shared" si="227"/>
        <v>5.17</v>
      </c>
      <c r="AK71" s="4">
        <f t="shared" si="228"/>
        <v>5.17</v>
      </c>
      <c r="AL71" s="3">
        <v>2.85</v>
      </c>
      <c r="AM71" s="3">
        <f t="shared" si="229"/>
        <v>2.85</v>
      </c>
      <c r="AN71" s="4" t="str">
        <f t="shared" si="230"/>
        <v/>
      </c>
      <c r="AO71" s="3">
        <v>0</v>
      </c>
      <c r="AP71" s="3" t="str">
        <f t="shared" si="231"/>
        <v/>
      </c>
      <c r="AQ71" s="4" t="str">
        <f t="shared" si="232"/>
        <v/>
      </c>
      <c r="AR71" s="3">
        <v>3.76</v>
      </c>
      <c r="AS71" s="3">
        <f t="shared" si="233"/>
        <v>3.76</v>
      </c>
      <c r="AT71" s="4">
        <f t="shared" si="234"/>
        <v>3.76</v>
      </c>
      <c r="AU71" s="3">
        <v>2.35</v>
      </c>
      <c r="AV71" s="3">
        <f t="shared" si="235"/>
        <v>2.35</v>
      </c>
      <c r="AW71" s="4">
        <f t="shared" si="236"/>
        <v>2.35</v>
      </c>
      <c r="AX71" s="3">
        <v>0</v>
      </c>
      <c r="AY71" s="3" t="str">
        <f t="shared" si="237"/>
        <v/>
      </c>
      <c r="AZ71" s="21" t="str">
        <f t="shared" si="238"/>
        <v/>
      </c>
      <c r="BB71" s="20" t="s">
        <v>547</v>
      </c>
      <c r="BC71" s="3">
        <v>3.91</v>
      </c>
      <c r="BD71" s="3">
        <f t="shared" si="239"/>
        <v>3.91</v>
      </c>
      <c r="BE71" s="4">
        <f t="shared" si="240"/>
        <v>3.91</v>
      </c>
      <c r="BF71" s="3">
        <v>4.25</v>
      </c>
      <c r="BG71" s="3">
        <f t="shared" si="241"/>
        <v>4.25</v>
      </c>
      <c r="BH71" s="4">
        <f t="shared" si="242"/>
        <v>4.25</v>
      </c>
      <c r="BI71" s="3">
        <v>0.48</v>
      </c>
      <c r="BJ71" s="3">
        <f t="shared" si="243"/>
        <v>0.48</v>
      </c>
      <c r="BK71" s="4" t="str">
        <f t="shared" si="244"/>
        <v/>
      </c>
      <c r="BL71" s="3">
        <v>4.3099999999999996</v>
      </c>
      <c r="BM71" s="3">
        <f t="shared" si="245"/>
        <v>4.3099999999999996</v>
      </c>
      <c r="BN71" s="4">
        <f t="shared" si="246"/>
        <v>4.3099999999999996</v>
      </c>
      <c r="BO71" s="3">
        <v>3.61</v>
      </c>
      <c r="BP71" s="3">
        <f t="shared" si="247"/>
        <v>3.61</v>
      </c>
      <c r="BQ71" s="4">
        <f t="shared" si="248"/>
        <v>3.61</v>
      </c>
      <c r="BR71" s="3">
        <v>3.12</v>
      </c>
      <c r="BS71" s="3">
        <f t="shared" si="249"/>
        <v>3.12</v>
      </c>
      <c r="BT71" s="4">
        <f t="shared" si="250"/>
        <v>3.12</v>
      </c>
      <c r="BU71" s="3">
        <v>1.64</v>
      </c>
      <c r="BV71" s="3">
        <f t="shared" si="251"/>
        <v>1.64</v>
      </c>
      <c r="BW71" s="4">
        <f t="shared" si="252"/>
        <v>1.64</v>
      </c>
      <c r="BX71" s="3">
        <v>1.25</v>
      </c>
      <c r="BY71" s="3">
        <f t="shared" si="253"/>
        <v>1.25</v>
      </c>
      <c r="BZ71" s="21">
        <f t="shared" si="254"/>
        <v>1.25</v>
      </c>
      <c r="CB71" s="20" t="s">
        <v>548</v>
      </c>
      <c r="CC71" s="3">
        <v>2.8</v>
      </c>
      <c r="CD71" s="3">
        <f t="shared" si="255"/>
        <v>2.8</v>
      </c>
      <c r="CE71" s="4" t="str">
        <f t="shared" si="256"/>
        <v/>
      </c>
      <c r="CF71" s="3">
        <v>6.08</v>
      </c>
      <c r="CG71" s="3">
        <f t="shared" si="257"/>
        <v>6.08</v>
      </c>
      <c r="CH71" s="4">
        <f t="shared" si="258"/>
        <v>6.08</v>
      </c>
      <c r="CI71" s="3">
        <v>3.77</v>
      </c>
      <c r="CJ71" s="3">
        <f t="shared" si="259"/>
        <v>3.77</v>
      </c>
      <c r="CK71" s="4">
        <f t="shared" si="260"/>
        <v>3.77</v>
      </c>
      <c r="CL71" s="3">
        <v>5.15</v>
      </c>
      <c r="CM71" s="3">
        <f t="shared" si="261"/>
        <v>5.15</v>
      </c>
      <c r="CN71" s="4">
        <f t="shared" si="262"/>
        <v>5.15</v>
      </c>
      <c r="CO71" s="3">
        <v>5.46</v>
      </c>
      <c r="CP71" s="3">
        <f t="shared" si="263"/>
        <v>5.46</v>
      </c>
      <c r="CQ71" s="4">
        <f t="shared" si="264"/>
        <v>5.46</v>
      </c>
      <c r="CR71" s="3">
        <v>1.83</v>
      </c>
      <c r="CS71" s="3">
        <f t="shared" si="265"/>
        <v>1.83</v>
      </c>
      <c r="CT71" s="4">
        <f t="shared" si="266"/>
        <v>1.83</v>
      </c>
      <c r="CU71" s="3">
        <v>3.71</v>
      </c>
      <c r="CV71" s="3">
        <f t="shared" si="267"/>
        <v>3.71</v>
      </c>
      <c r="CW71" s="4">
        <f t="shared" si="268"/>
        <v>3.71</v>
      </c>
      <c r="CX71" s="3">
        <v>0</v>
      </c>
      <c r="CY71" s="3" t="str">
        <f t="shared" si="269"/>
        <v/>
      </c>
      <c r="CZ71" s="21" t="str">
        <f t="shared" si="270"/>
        <v/>
      </c>
    </row>
    <row r="72" spans="2:208" ht="30">
      <c r="B72" s="20" t="s">
        <v>549</v>
      </c>
      <c r="C72" s="3">
        <v>3.03</v>
      </c>
      <c r="D72" s="3">
        <f t="shared" si="207"/>
        <v>3.03</v>
      </c>
      <c r="E72" s="4">
        <f t="shared" si="208"/>
        <v>3.03</v>
      </c>
      <c r="F72" s="3">
        <v>4.3499999999999996</v>
      </c>
      <c r="G72" s="3">
        <f t="shared" si="209"/>
        <v>4.3499999999999996</v>
      </c>
      <c r="H72" s="4">
        <f t="shared" si="210"/>
        <v>4.3499999999999996</v>
      </c>
      <c r="I72" s="3">
        <v>5.33</v>
      </c>
      <c r="J72" s="3">
        <f t="shared" si="211"/>
        <v>5.33</v>
      </c>
      <c r="K72" s="4">
        <f t="shared" si="212"/>
        <v>5.33</v>
      </c>
      <c r="L72" s="3">
        <v>3.15</v>
      </c>
      <c r="M72" s="3">
        <f t="shared" si="213"/>
        <v>3.15</v>
      </c>
      <c r="N72" s="4" t="str">
        <f t="shared" si="214"/>
        <v/>
      </c>
      <c r="O72" s="3">
        <v>4.3</v>
      </c>
      <c r="P72" s="3">
        <f t="shared" si="215"/>
        <v>4.3</v>
      </c>
      <c r="Q72" s="4">
        <f t="shared" si="216"/>
        <v>4.3</v>
      </c>
      <c r="R72" s="3">
        <v>4.8099999999999996</v>
      </c>
      <c r="S72" s="3">
        <f t="shared" si="217"/>
        <v>4.8099999999999996</v>
      </c>
      <c r="T72" s="4">
        <f t="shared" si="218"/>
        <v>4.8099999999999996</v>
      </c>
      <c r="U72" s="3">
        <v>1.74</v>
      </c>
      <c r="V72" s="3">
        <f t="shared" si="219"/>
        <v>1.74</v>
      </c>
      <c r="W72" s="4">
        <f t="shared" si="220"/>
        <v>1.74</v>
      </c>
      <c r="X72" s="3">
        <v>2.29</v>
      </c>
      <c r="Y72" s="3">
        <f t="shared" si="221"/>
        <v>2.29</v>
      </c>
      <c r="Z72" s="21">
        <f t="shared" si="222"/>
        <v>2.29</v>
      </c>
      <c r="AB72" s="20" t="s">
        <v>550</v>
      </c>
      <c r="AC72" s="3">
        <v>2.84</v>
      </c>
      <c r="AD72" s="3">
        <f t="shared" si="223"/>
        <v>2.84</v>
      </c>
      <c r="AE72" s="4">
        <f t="shared" si="224"/>
        <v>2.84</v>
      </c>
      <c r="AF72" s="3">
        <v>5.45</v>
      </c>
      <c r="AG72" s="3">
        <f t="shared" si="225"/>
        <v>5.45</v>
      </c>
      <c r="AH72" s="4">
        <f t="shared" si="226"/>
        <v>5.45</v>
      </c>
      <c r="AI72" s="3">
        <v>5.15</v>
      </c>
      <c r="AJ72" s="3">
        <f t="shared" si="227"/>
        <v>5.15</v>
      </c>
      <c r="AK72" s="4">
        <f t="shared" si="228"/>
        <v>5.15</v>
      </c>
      <c r="AL72" s="3">
        <v>6.04</v>
      </c>
      <c r="AM72" s="3">
        <f t="shared" si="229"/>
        <v>6.04</v>
      </c>
      <c r="AN72" s="4">
        <f t="shared" si="230"/>
        <v>6.04</v>
      </c>
      <c r="AO72" s="3">
        <v>0</v>
      </c>
      <c r="AP72" s="3" t="str">
        <f t="shared" si="231"/>
        <v/>
      </c>
      <c r="AQ72" s="4" t="str">
        <f t="shared" si="232"/>
        <v/>
      </c>
      <c r="AR72" s="3">
        <v>3.72</v>
      </c>
      <c r="AS72" s="3">
        <f t="shared" si="233"/>
        <v>3.72</v>
      </c>
      <c r="AT72" s="4">
        <f t="shared" si="234"/>
        <v>3.72</v>
      </c>
      <c r="AU72" s="3">
        <v>3.06</v>
      </c>
      <c r="AV72" s="3">
        <f t="shared" si="235"/>
        <v>3.06</v>
      </c>
      <c r="AW72" s="4">
        <f t="shared" si="236"/>
        <v>3.06</v>
      </c>
      <c r="AX72" s="3">
        <v>3.08</v>
      </c>
      <c r="AY72" s="3">
        <f t="shared" si="237"/>
        <v>3.08</v>
      </c>
      <c r="AZ72" s="21">
        <f t="shared" si="238"/>
        <v>3.08</v>
      </c>
      <c r="BB72" s="20" t="s">
        <v>551</v>
      </c>
      <c r="BC72" s="3">
        <v>3.91</v>
      </c>
      <c r="BD72" s="3">
        <f t="shared" si="239"/>
        <v>3.91</v>
      </c>
      <c r="BE72" s="4">
        <f t="shared" si="240"/>
        <v>3.91</v>
      </c>
      <c r="BF72" s="3">
        <v>4.26</v>
      </c>
      <c r="BG72" s="3">
        <f t="shared" si="241"/>
        <v>4.26</v>
      </c>
      <c r="BH72" s="4">
        <f t="shared" si="242"/>
        <v>4.26</v>
      </c>
      <c r="BI72" s="3">
        <v>4.24</v>
      </c>
      <c r="BJ72" s="3">
        <f t="shared" si="243"/>
        <v>4.24</v>
      </c>
      <c r="BK72" s="4">
        <f t="shared" si="244"/>
        <v>4.24</v>
      </c>
      <c r="BL72" s="3">
        <v>4.2699999999999996</v>
      </c>
      <c r="BM72" s="3">
        <f t="shared" si="245"/>
        <v>4.2699999999999996</v>
      </c>
      <c r="BN72" s="4">
        <f t="shared" si="246"/>
        <v>4.2699999999999996</v>
      </c>
      <c r="BO72" s="3">
        <v>3.64</v>
      </c>
      <c r="BP72" s="3">
        <f t="shared" si="247"/>
        <v>3.64</v>
      </c>
      <c r="BQ72" s="4">
        <f t="shared" si="248"/>
        <v>3.64</v>
      </c>
      <c r="BR72" s="3">
        <v>3.11</v>
      </c>
      <c r="BS72" s="3">
        <f t="shared" si="249"/>
        <v>3.11</v>
      </c>
      <c r="BT72" s="4">
        <f t="shared" si="250"/>
        <v>3.11</v>
      </c>
      <c r="BU72" s="3">
        <v>1.63</v>
      </c>
      <c r="BV72" s="3">
        <f t="shared" si="251"/>
        <v>1.63</v>
      </c>
      <c r="BW72" s="4">
        <f t="shared" si="252"/>
        <v>1.63</v>
      </c>
      <c r="BX72" s="3">
        <v>0</v>
      </c>
      <c r="BY72" s="3" t="str">
        <f t="shared" si="253"/>
        <v/>
      </c>
      <c r="BZ72" s="21" t="str">
        <f t="shared" si="254"/>
        <v/>
      </c>
      <c r="CB72" s="20" t="s">
        <v>552</v>
      </c>
      <c r="CC72" s="3">
        <v>4.1500000000000004</v>
      </c>
      <c r="CD72" s="3">
        <f t="shared" si="255"/>
        <v>4.1500000000000004</v>
      </c>
      <c r="CE72" s="4">
        <f t="shared" si="256"/>
        <v>4.1500000000000004</v>
      </c>
      <c r="CF72" s="3">
        <v>6.05</v>
      </c>
      <c r="CG72" s="3">
        <f t="shared" si="257"/>
        <v>6.05</v>
      </c>
      <c r="CH72" s="4">
        <f t="shared" si="258"/>
        <v>6.05</v>
      </c>
      <c r="CI72" s="3">
        <v>3.78</v>
      </c>
      <c r="CJ72" s="3">
        <f t="shared" si="259"/>
        <v>3.78</v>
      </c>
      <c r="CK72" s="4">
        <f t="shared" si="260"/>
        <v>3.78</v>
      </c>
      <c r="CL72" s="3">
        <v>5.15</v>
      </c>
      <c r="CM72" s="3">
        <f t="shared" si="261"/>
        <v>5.15</v>
      </c>
      <c r="CN72" s="4">
        <f t="shared" si="262"/>
        <v>5.15</v>
      </c>
      <c r="CO72" s="3">
        <v>5.44</v>
      </c>
      <c r="CP72" s="3">
        <f t="shared" si="263"/>
        <v>5.44</v>
      </c>
      <c r="CQ72" s="4">
        <f t="shared" si="264"/>
        <v>5.44</v>
      </c>
      <c r="CR72" s="3">
        <v>0.87</v>
      </c>
      <c r="CS72" s="3">
        <f t="shared" si="265"/>
        <v>0.87</v>
      </c>
      <c r="CT72" s="4" t="str">
        <f t="shared" si="266"/>
        <v/>
      </c>
      <c r="CU72" s="3">
        <v>1.68</v>
      </c>
      <c r="CV72" s="3">
        <f t="shared" si="267"/>
        <v>1.68</v>
      </c>
      <c r="CW72" s="4" t="str">
        <f t="shared" si="268"/>
        <v/>
      </c>
      <c r="CX72" s="3">
        <v>3.14</v>
      </c>
      <c r="CY72" s="3">
        <f t="shared" si="269"/>
        <v>3.14</v>
      </c>
      <c r="CZ72" s="21">
        <f t="shared" si="270"/>
        <v>3.14</v>
      </c>
      <c r="DB72" s="81" t="s">
        <v>553</v>
      </c>
      <c r="DC72" s="7"/>
      <c r="DD72" s="8"/>
      <c r="DE72" s="8">
        <v>2.99</v>
      </c>
      <c r="DF72" s="8"/>
      <c r="DG72" s="8"/>
      <c r="DH72" s="8">
        <v>4.18</v>
      </c>
      <c r="DI72" s="8"/>
      <c r="DJ72" s="8"/>
      <c r="DK72" s="8">
        <v>5.28</v>
      </c>
      <c r="DL72" s="8"/>
      <c r="DM72" s="8"/>
      <c r="DN72" s="8">
        <v>5.69</v>
      </c>
      <c r="DO72" s="8"/>
      <c r="DP72" s="8"/>
      <c r="DQ72" s="8">
        <v>4.22</v>
      </c>
      <c r="DR72" s="8"/>
      <c r="DS72" s="8"/>
      <c r="DT72" s="8">
        <v>4.3899999999999997</v>
      </c>
      <c r="DU72" s="8"/>
      <c r="DV72" s="8"/>
      <c r="DW72" s="8">
        <v>1.62</v>
      </c>
      <c r="DX72" s="8"/>
      <c r="DY72" s="8"/>
      <c r="DZ72" s="9">
        <v>2.44</v>
      </c>
      <c r="EB72" s="81" t="s">
        <v>553</v>
      </c>
      <c r="EC72" s="7"/>
      <c r="ED72" s="8"/>
      <c r="EE72" s="8">
        <v>2.84</v>
      </c>
      <c r="EF72" s="8"/>
      <c r="EG72" s="8"/>
      <c r="EH72" s="8">
        <v>5.41</v>
      </c>
      <c r="EI72" s="8"/>
      <c r="EJ72" s="8"/>
      <c r="EK72" s="8">
        <v>5.0999999999999996</v>
      </c>
      <c r="EL72" s="8"/>
      <c r="EM72" s="8"/>
      <c r="EN72" s="8">
        <v>6.17</v>
      </c>
      <c r="EO72" s="8"/>
      <c r="EP72" s="8"/>
      <c r="EQ72" s="8">
        <v>5.33</v>
      </c>
      <c r="ER72" s="8"/>
      <c r="ES72" s="8"/>
      <c r="ET72" s="8">
        <v>3.65</v>
      </c>
      <c r="EU72" s="8"/>
      <c r="EV72" s="8"/>
      <c r="EW72" s="8">
        <v>2.94</v>
      </c>
      <c r="EX72" s="8"/>
      <c r="EY72" s="8"/>
      <c r="EZ72" s="9">
        <v>3.12</v>
      </c>
      <c r="FB72" s="81" t="s">
        <v>553</v>
      </c>
      <c r="FC72" s="7"/>
      <c r="FD72" s="8"/>
      <c r="FE72" s="8">
        <v>3.86</v>
      </c>
      <c r="FF72" s="8"/>
      <c r="FG72" s="8"/>
      <c r="FH72" s="8">
        <v>4.24</v>
      </c>
      <c r="FI72" s="8"/>
      <c r="FJ72" s="8"/>
      <c r="FK72" s="8">
        <v>3.37</v>
      </c>
      <c r="FL72" s="8"/>
      <c r="FM72" s="8"/>
      <c r="FN72" s="8">
        <v>4.38</v>
      </c>
      <c r="FO72" s="8"/>
      <c r="FP72" s="8"/>
      <c r="FQ72" s="8">
        <v>3.57</v>
      </c>
      <c r="FR72" s="8"/>
      <c r="FS72" s="8"/>
      <c r="FT72" s="8">
        <v>3.19</v>
      </c>
      <c r="FU72" s="8"/>
      <c r="FV72" s="8"/>
      <c r="FW72" s="8">
        <v>1.74</v>
      </c>
      <c r="FX72" s="8"/>
      <c r="FY72" s="8"/>
      <c r="FZ72" s="9">
        <v>1.1200000000000001</v>
      </c>
      <c r="GB72" s="81" t="s">
        <v>553</v>
      </c>
      <c r="GC72" s="7"/>
      <c r="GD72" s="8"/>
      <c r="GE72" s="8">
        <v>4.1399999999999997</v>
      </c>
      <c r="GF72" s="8"/>
      <c r="GG72" s="8"/>
      <c r="GH72" s="8">
        <v>6.08</v>
      </c>
      <c r="GI72" s="8"/>
      <c r="GJ72" s="8"/>
      <c r="GK72" s="8">
        <v>3.66</v>
      </c>
      <c r="GL72" s="8"/>
      <c r="GM72" s="8"/>
      <c r="GN72" s="8">
        <v>5.32</v>
      </c>
      <c r="GO72" s="8"/>
      <c r="GP72" s="8"/>
      <c r="GQ72" s="8">
        <v>5.44</v>
      </c>
      <c r="GR72" s="8"/>
      <c r="GS72" s="8"/>
      <c r="GT72" s="8">
        <v>1.83</v>
      </c>
      <c r="GU72" s="8"/>
      <c r="GV72" s="8"/>
      <c r="GW72" s="8">
        <v>3.76</v>
      </c>
      <c r="GX72" s="8"/>
      <c r="GY72" s="8"/>
      <c r="GZ72" s="9">
        <v>2.91</v>
      </c>
    </row>
    <row r="73" spans="2:208">
      <c r="B73" s="20" t="s">
        <v>554</v>
      </c>
      <c r="C73" s="3">
        <v>3.03</v>
      </c>
      <c r="D73" s="3">
        <f t="shared" si="207"/>
        <v>3.03</v>
      </c>
      <c r="E73" s="4">
        <f t="shared" si="208"/>
        <v>3.03</v>
      </c>
      <c r="F73" s="3">
        <v>4.3899999999999997</v>
      </c>
      <c r="G73" s="3">
        <f t="shared" si="209"/>
        <v>4.3899999999999997</v>
      </c>
      <c r="H73" s="4">
        <f t="shared" si="210"/>
        <v>4.3899999999999997</v>
      </c>
      <c r="I73" s="3">
        <v>5.3</v>
      </c>
      <c r="J73" s="3">
        <f t="shared" si="211"/>
        <v>5.3</v>
      </c>
      <c r="K73" s="4">
        <f t="shared" si="212"/>
        <v>5.3</v>
      </c>
      <c r="L73" s="3">
        <v>5.05</v>
      </c>
      <c r="M73" s="3">
        <f t="shared" si="213"/>
        <v>5.05</v>
      </c>
      <c r="N73" s="4">
        <f t="shared" si="214"/>
        <v>5.05</v>
      </c>
      <c r="O73" s="3">
        <v>1.63</v>
      </c>
      <c r="P73" s="3">
        <f t="shared" si="215"/>
        <v>1.63</v>
      </c>
      <c r="Q73" s="4" t="str">
        <f t="shared" si="216"/>
        <v/>
      </c>
      <c r="R73" s="3">
        <v>4.82</v>
      </c>
      <c r="S73" s="3">
        <f t="shared" si="217"/>
        <v>4.82</v>
      </c>
      <c r="T73" s="4">
        <f t="shared" si="218"/>
        <v>4.82</v>
      </c>
      <c r="U73" s="3">
        <v>1.73</v>
      </c>
      <c r="V73" s="3">
        <f t="shared" si="219"/>
        <v>1.73</v>
      </c>
      <c r="W73" s="4">
        <f t="shared" si="220"/>
        <v>1.73</v>
      </c>
      <c r="X73" s="3">
        <v>2.27</v>
      </c>
      <c r="Y73" s="3">
        <f t="shared" si="221"/>
        <v>2.27</v>
      </c>
      <c r="Z73" s="21">
        <f t="shared" si="222"/>
        <v>2.27</v>
      </c>
      <c r="AB73" s="20" t="s">
        <v>555</v>
      </c>
      <c r="AC73" s="3">
        <v>2.81</v>
      </c>
      <c r="AD73" s="3">
        <f t="shared" si="223"/>
        <v>2.81</v>
      </c>
      <c r="AE73" s="4">
        <f t="shared" si="224"/>
        <v>2.81</v>
      </c>
      <c r="AF73" s="3">
        <v>5.45</v>
      </c>
      <c r="AG73" s="3">
        <f t="shared" si="225"/>
        <v>5.45</v>
      </c>
      <c r="AH73" s="4">
        <f t="shared" si="226"/>
        <v>5.45</v>
      </c>
      <c r="AI73" s="3">
        <v>5.13</v>
      </c>
      <c r="AJ73" s="3">
        <f t="shared" si="227"/>
        <v>5.13</v>
      </c>
      <c r="AK73" s="4">
        <f t="shared" si="228"/>
        <v>5.13</v>
      </c>
      <c r="AL73" s="3">
        <v>6.08</v>
      </c>
      <c r="AM73" s="3">
        <f t="shared" si="229"/>
        <v>6.08</v>
      </c>
      <c r="AN73" s="4">
        <f t="shared" si="230"/>
        <v>6.08</v>
      </c>
      <c r="AO73" s="3">
        <v>0</v>
      </c>
      <c r="AP73" s="3" t="str">
        <f t="shared" si="231"/>
        <v/>
      </c>
      <c r="AQ73" s="4" t="str">
        <f t="shared" si="232"/>
        <v/>
      </c>
      <c r="AR73" s="3">
        <v>3.73</v>
      </c>
      <c r="AS73" s="3">
        <f t="shared" si="233"/>
        <v>3.73</v>
      </c>
      <c r="AT73" s="4">
        <f t="shared" si="234"/>
        <v>3.73</v>
      </c>
      <c r="AU73" s="3">
        <v>3.05</v>
      </c>
      <c r="AV73" s="3">
        <f t="shared" si="235"/>
        <v>3.05</v>
      </c>
      <c r="AW73" s="4">
        <f t="shared" si="236"/>
        <v>3.05</v>
      </c>
      <c r="AX73" s="3">
        <v>3.46</v>
      </c>
      <c r="AY73" s="3">
        <f t="shared" si="237"/>
        <v>3.46</v>
      </c>
      <c r="AZ73" s="21">
        <f t="shared" si="238"/>
        <v>3.46</v>
      </c>
      <c r="BB73" s="20" t="s">
        <v>556</v>
      </c>
      <c r="BC73" s="3">
        <v>3.89</v>
      </c>
      <c r="BD73" s="3">
        <f t="shared" si="239"/>
        <v>3.89</v>
      </c>
      <c r="BE73" s="4">
        <f t="shared" si="240"/>
        <v>3.89</v>
      </c>
      <c r="BF73" s="3">
        <v>4.26</v>
      </c>
      <c r="BG73" s="3">
        <f t="shared" si="241"/>
        <v>4.26</v>
      </c>
      <c r="BH73" s="4">
        <f t="shared" si="242"/>
        <v>4.26</v>
      </c>
      <c r="BI73" s="3">
        <v>4.1500000000000004</v>
      </c>
      <c r="BJ73" s="3">
        <f t="shared" si="243"/>
        <v>4.1500000000000004</v>
      </c>
      <c r="BK73" s="4">
        <f t="shared" si="244"/>
        <v>4.1500000000000004</v>
      </c>
      <c r="BL73" s="3">
        <v>4.33</v>
      </c>
      <c r="BM73" s="3">
        <f t="shared" si="245"/>
        <v>4.33</v>
      </c>
      <c r="BN73" s="4">
        <f t="shared" si="246"/>
        <v>4.33</v>
      </c>
      <c r="BO73" s="3">
        <v>3.62</v>
      </c>
      <c r="BP73" s="3">
        <f t="shared" si="247"/>
        <v>3.62</v>
      </c>
      <c r="BQ73" s="4">
        <f t="shared" si="248"/>
        <v>3.62</v>
      </c>
      <c r="BR73" s="3">
        <v>3.15</v>
      </c>
      <c r="BS73" s="3">
        <f t="shared" si="249"/>
        <v>3.15</v>
      </c>
      <c r="BT73" s="4">
        <f t="shared" si="250"/>
        <v>3.15</v>
      </c>
      <c r="BU73" s="3">
        <v>0.36</v>
      </c>
      <c r="BV73" s="3">
        <f t="shared" si="251"/>
        <v>0.36</v>
      </c>
      <c r="BW73" s="4" t="str">
        <f t="shared" si="252"/>
        <v/>
      </c>
      <c r="BX73" s="3">
        <v>1.25</v>
      </c>
      <c r="BY73" s="3">
        <f t="shared" si="253"/>
        <v>1.25</v>
      </c>
      <c r="BZ73" s="21">
        <f t="shared" si="254"/>
        <v>1.25</v>
      </c>
      <c r="CB73" s="20" t="s">
        <v>557</v>
      </c>
      <c r="CC73" s="3">
        <v>4.12</v>
      </c>
      <c r="CD73" s="3">
        <f t="shared" si="255"/>
        <v>4.12</v>
      </c>
      <c r="CE73" s="4">
        <f t="shared" si="256"/>
        <v>4.12</v>
      </c>
      <c r="CF73" s="3">
        <v>6.09</v>
      </c>
      <c r="CG73" s="3">
        <f t="shared" si="257"/>
        <v>6.09</v>
      </c>
      <c r="CH73" s="4">
        <f t="shared" si="258"/>
        <v>6.09</v>
      </c>
      <c r="CI73" s="3">
        <v>3.78</v>
      </c>
      <c r="CJ73" s="3">
        <f t="shared" si="259"/>
        <v>3.78</v>
      </c>
      <c r="CK73" s="4">
        <f t="shared" si="260"/>
        <v>3.78</v>
      </c>
      <c r="CL73" s="3">
        <v>5.13</v>
      </c>
      <c r="CM73" s="3">
        <f t="shared" si="261"/>
        <v>5.13</v>
      </c>
      <c r="CN73" s="4">
        <f t="shared" si="262"/>
        <v>5.13</v>
      </c>
      <c r="CO73" s="3">
        <v>5.45</v>
      </c>
      <c r="CP73" s="3">
        <f t="shared" si="263"/>
        <v>5.45</v>
      </c>
      <c r="CQ73" s="4">
        <f t="shared" si="264"/>
        <v>5.45</v>
      </c>
      <c r="CR73" s="3">
        <v>1.85</v>
      </c>
      <c r="CS73" s="3">
        <f t="shared" si="265"/>
        <v>1.85</v>
      </c>
      <c r="CT73" s="4">
        <f t="shared" si="266"/>
        <v>1.85</v>
      </c>
      <c r="CU73" s="3">
        <v>3.77</v>
      </c>
      <c r="CV73" s="3">
        <f t="shared" si="267"/>
        <v>3.77</v>
      </c>
      <c r="CW73" s="4">
        <f t="shared" si="268"/>
        <v>3.77</v>
      </c>
      <c r="CX73" s="3">
        <v>0</v>
      </c>
      <c r="CY73" s="3" t="str">
        <f t="shared" si="269"/>
        <v/>
      </c>
      <c r="CZ73" s="21" t="str">
        <f t="shared" si="270"/>
        <v/>
      </c>
      <c r="DB73" s="10" t="s">
        <v>539</v>
      </c>
      <c r="DC73" s="10"/>
      <c r="DD73" s="11"/>
      <c r="DE73" s="11">
        <f>DE72-DE63</f>
        <v>0.66875000000000151</v>
      </c>
      <c r="DF73" s="11"/>
      <c r="DG73" s="11"/>
      <c r="DH73" s="11">
        <f>DH72-DH63</f>
        <v>3.0384444444444432</v>
      </c>
      <c r="DI73" s="11"/>
      <c r="DJ73" s="11"/>
      <c r="DK73" s="11">
        <f>DK72-DK63</f>
        <v>2.720208333333332</v>
      </c>
      <c r="DL73" s="11"/>
      <c r="DM73" s="11"/>
      <c r="DN73" s="11">
        <f>DN72-DN63</f>
        <v>2.3768421052631572</v>
      </c>
      <c r="DO73" s="11"/>
      <c r="DP73" s="11"/>
      <c r="DQ73" s="11">
        <f>DQ72-DQ63</f>
        <v>2.8267272727272728</v>
      </c>
      <c r="DR73" s="11"/>
      <c r="DS73" s="11"/>
      <c r="DT73" s="11">
        <f>DT72-DT63</f>
        <v>2.6986666666666652</v>
      </c>
      <c r="DU73" s="11"/>
      <c r="DV73" s="11"/>
      <c r="DW73" s="11">
        <f>DW72-DW63</f>
        <v>0.35909090909090913</v>
      </c>
      <c r="DX73" s="11"/>
      <c r="DY73" s="11"/>
      <c r="DZ73" s="12">
        <f>DZ72-DZ63</f>
        <v>-0.44529411764705884</v>
      </c>
      <c r="EB73" s="10" t="s">
        <v>539</v>
      </c>
      <c r="EC73" s="10"/>
      <c r="ED73" s="11"/>
      <c r="EE73" s="11">
        <f>EE72-EE63</f>
        <v>2.3040740740740735</v>
      </c>
      <c r="EF73" s="11"/>
      <c r="EG73" s="11"/>
      <c r="EH73" s="11">
        <f>EH72-EH63</f>
        <v>1.5737209302325561</v>
      </c>
      <c r="EI73" s="11"/>
      <c r="EJ73" s="11"/>
      <c r="EK73" s="11">
        <f>EK72-EK63</f>
        <v>4.7756896551724131</v>
      </c>
      <c r="EL73" s="11"/>
      <c r="EM73" s="11"/>
      <c r="EN73" s="11">
        <f>EN72-EN63</f>
        <v>4.5584905660377366</v>
      </c>
      <c r="EO73" s="11"/>
      <c r="EP73" s="11"/>
      <c r="EQ73" s="11">
        <f>EQ72-EQ63</f>
        <v>3.0639130434782618</v>
      </c>
      <c r="ER73" s="11"/>
      <c r="ES73" s="11"/>
      <c r="ET73" s="11">
        <f>ET72-ET63</f>
        <v>1.8442857142857141</v>
      </c>
      <c r="EU73" s="11"/>
      <c r="EV73" s="11"/>
      <c r="EW73" s="11">
        <f>EW72-EW63</f>
        <v>2.25</v>
      </c>
      <c r="EX73" s="11"/>
      <c r="EY73" s="11"/>
      <c r="EZ73" s="12">
        <f>EZ72-EZ63</f>
        <v>1.9243999999999994</v>
      </c>
      <c r="FB73" s="10" t="s">
        <v>539</v>
      </c>
      <c r="FC73" s="10"/>
      <c r="FD73" s="11"/>
      <c r="FE73" s="11">
        <f>FE72-FE63</f>
        <v>-8.4007692307692299</v>
      </c>
      <c r="FF73" s="11"/>
      <c r="FG73" s="11"/>
      <c r="FH73" s="11">
        <f t="shared" ref="FH73" si="271">FH72-FH63</f>
        <v>2.8922222222222231</v>
      </c>
      <c r="FI73" s="11"/>
      <c r="FJ73" s="11"/>
      <c r="FK73" s="11">
        <f t="shared" ref="FK73" si="272">FK72-FK63</f>
        <v>2.038448275862069</v>
      </c>
      <c r="FL73" s="11"/>
      <c r="FM73" s="11"/>
      <c r="FN73" s="11">
        <f t="shared" ref="FN73" si="273">FN72-FN63</f>
        <v>0.91904761904761711</v>
      </c>
      <c r="FO73" s="11"/>
      <c r="FP73" s="11"/>
      <c r="FQ73" s="11">
        <f t="shared" ref="FQ73" si="274">FQ72-FQ63</f>
        <v>1.7733333333333332</v>
      </c>
      <c r="FR73" s="11"/>
      <c r="FS73" s="11"/>
      <c r="FT73" s="11">
        <f t="shared" ref="FT73" si="275">FT72-FT63</f>
        <v>0.78061224489795933</v>
      </c>
      <c r="FU73" s="11"/>
      <c r="FV73" s="11"/>
      <c r="FW73" s="11">
        <f t="shared" ref="FW73" si="276">FW72-FW63</f>
        <v>1.5248214285714285</v>
      </c>
      <c r="FX73" s="11"/>
      <c r="FY73" s="11"/>
      <c r="FZ73" s="12">
        <f t="shared" ref="FZ73" si="277">FZ72-FZ63</f>
        <v>0.90877551020408176</v>
      </c>
      <c r="GB73" s="10" t="s">
        <v>539</v>
      </c>
      <c r="GC73" s="10"/>
      <c r="GD73" s="11"/>
      <c r="GE73" s="11">
        <f>GE72-GE63</f>
        <v>3.2899999999999991</v>
      </c>
      <c r="GF73" s="11"/>
      <c r="GG73" s="11"/>
      <c r="GH73" s="11">
        <f t="shared" ref="GH73" si="278">GH72-GH63</f>
        <v>5.4824528301886799</v>
      </c>
      <c r="GI73" s="11"/>
      <c r="GJ73" s="11"/>
      <c r="GK73" s="11">
        <f t="shared" ref="GK73" si="279">GK72-GK63</f>
        <v>3.5126415094339625</v>
      </c>
      <c r="GL73" s="11"/>
      <c r="GM73" s="11"/>
      <c r="GN73" s="11">
        <f t="shared" ref="GN73" si="280">GN72-GN63</f>
        <v>3.7845454545454542</v>
      </c>
      <c r="GO73" s="11"/>
      <c r="GP73" s="11"/>
      <c r="GQ73" s="11">
        <f t="shared" ref="GQ73" si="281">GQ72-GQ63</f>
        <v>3.3821739130434794</v>
      </c>
      <c r="GR73" s="11"/>
      <c r="GS73" s="11"/>
      <c r="GT73" s="11">
        <f t="shared" ref="GT73" si="282">GT72-GT63</f>
        <v>1.1297674418604648</v>
      </c>
      <c r="GU73" s="11"/>
      <c r="GV73" s="11"/>
      <c r="GW73" s="11">
        <f t="shared" ref="GW73" si="283">GW72-GW63</f>
        <v>3.4629545454545454</v>
      </c>
      <c r="GX73" s="11"/>
      <c r="GY73" s="11"/>
      <c r="GZ73" s="12">
        <f t="shared" ref="GZ73" si="284">GZ72-GZ63</f>
        <v>0.69234042553191566</v>
      </c>
    </row>
    <row r="74" spans="2:208" ht="15.75" thickBot="1">
      <c r="B74" s="20" t="s">
        <v>558</v>
      </c>
      <c r="C74" s="3">
        <v>3.03</v>
      </c>
      <c r="D74" s="3">
        <f t="shared" si="207"/>
        <v>3.03</v>
      </c>
      <c r="E74" s="4">
        <f t="shared" si="208"/>
        <v>3.03</v>
      </c>
      <c r="F74" s="3">
        <v>4.3499999999999996</v>
      </c>
      <c r="G74" s="3">
        <f t="shared" si="209"/>
        <v>4.3499999999999996</v>
      </c>
      <c r="H74" s="4">
        <f t="shared" si="210"/>
        <v>4.3499999999999996</v>
      </c>
      <c r="I74" s="3">
        <v>5.36</v>
      </c>
      <c r="J74" s="3">
        <f t="shared" si="211"/>
        <v>5.36</v>
      </c>
      <c r="K74" s="4">
        <f t="shared" si="212"/>
        <v>5.36</v>
      </c>
      <c r="L74" s="3">
        <v>5.64</v>
      </c>
      <c r="M74" s="3">
        <f t="shared" si="213"/>
        <v>5.64</v>
      </c>
      <c r="N74" s="4">
        <f t="shared" si="214"/>
        <v>5.64</v>
      </c>
      <c r="O74" s="3">
        <v>4.32</v>
      </c>
      <c r="P74" s="3">
        <f t="shared" si="215"/>
        <v>4.32</v>
      </c>
      <c r="Q74" s="4">
        <f t="shared" si="216"/>
        <v>4.32</v>
      </c>
      <c r="R74" s="3">
        <v>4.82</v>
      </c>
      <c r="S74" s="3">
        <f t="shared" si="217"/>
        <v>4.82</v>
      </c>
      <c r="T74" s="4">
        <f t="shared" si="218"/>
        <v>4.82</v>
      </c>
      <c r="U74" s="3">
        <v>1.78</v>
      </c>
      <c r="V74" s="3">
        <f t="shared" si="219"/>
        <v>1.78</v>
      </c>
      <c r="W74" s="4">
        <f t="shared" si="220"/>
        <v>1.78</v>
      </c>
      <c r="X74" s="3">
        <v>2.25</v>
      </c>
      <c r="Y74" s="3">
        <f t="shared" si="221"/>
        <v>2.25</v>
      </c>
      <c r="Z74" s="21">
        <f t="shared" si="222"/>
        <v>2.25</v>
      </c>
      <c r="AB74" s="22" t="s">
        <v>559</v>
      </c>
      <c r="AC74" s="3">
        <v>2.85</v>
      </c>
      <c r="AD74" s="3">
        <f t="shared" si="223"/>
        <v>2.85</v>
      </c>
      <c r="AE74" s="4">
        <f t="shared" si="224"/>
        <v>2.85</v>
      </c>
      <c r="AF74" s="3">
        <v>0.86</v>
      </c>
      <c r="AG74" s="3">
        <f t="shared" si="225"/>
        <v>0.86</v>
      </c>
      <c r="AH74" s="4" t="str">
        <f t="shared" si="226"/>
        <v/>
      </c>
      <c r="AI74" s="3">
        <v>5.17</v>
      </c>
      <c r="AJ74" s="3">
        <f t="shared" si="227"/>
        <v>5.17</v>
      </c>
      <c r="AK74" s="4">
        <f t="shared" si="228"/>
        <v>5.17</v>
      </c>
      <c r="AL74" s="3">
        <v>6.12</v>
      </c>
      <c r="AM74" s="3">
        <f t="shared" si="229"/>
        <v>6.12</v>
      </c>
      <c r="AN74" s="4">
        <f t="shared" si="230"/>
        <v>6.12</v>
      </c>
      <c r="AO74" s="3">
        <v>0</v>
      </c>
      <c r="AP74" s="3" t="str">
        <f t="shared" si="231"/>
        <v/>
      </c>
      <c r="AQ74" s="4" t="str">
        <f t="shared" si="232"/>
        <v/>
      </c>
      <c r="AR74" s="3">
        <v>3.71</v>
      </c>
      <c r="AS74" s="3">
        <f t="shared" si="233"/>
        <v>3.71</v>
      </c>
      <c r="AT74" s="4">
        <f t="shared" si="234"/>
        <v>3.71</v>
      </c>
      <c r="AU74" s="3">
        <v>3.05</v>
      </c>
      <c r="AV74" s="3">
        <f t="shared" si="235"/>
        <v>3.05</v>
      </c>
      <c r="AW74" s="4">
        <f t="shared" si="236"/>
        <v>3.05</v>
      </c>
      <c r="AX74" s="3">
        <v>3.46</v>
      </c>
      <c r="AY74" s="3">
        <f t="shared" si="237"/>
        <v>3.46</v>
      </c>
      <c r="AZ74" s="21">
        <f>IF(AND(AY74 &lt;= AY$77, AY74 &gt;= AY$78), AY74, "")</f>
        <v>3.46</v>
      </c>
      <c r="BB74" s="20" t="s">
        <v>560</v>
      </c>
      <c r="BC74" s="3">
        <v>3.93</v>
      </c>
      <c r="BD74" s="3">
        <f t="shared" si="239"/>
        <v>3.93</v>
      </c>
      <c r="BE74" s="4">
        <f t="shared" si="240"/>
        <v>3.93</v>
      </c>
      <c r="BF74" s="3">
        <v>4.25</v>
      </c>
      <c r="BG74" s="3">
        <f t="shared" si="241"/>
        <v>4.25</v>
      </c>
      <c r="BH74" s="4">
        <f t="shared" si="242"/>
        <v>4.25</v>
      </c>
      <c r="BI74" s="3">
        <v>4.1500000000000004</v>
      </c>
      <c r="BJ74" s="3">
        <f t="shared" si="243"/>
        <v>4.1500000000000004</v>
      </c>
      <c r="BK74" s="4">
        <f t="shared" si="244"/>
        <v>4.1500000000000004</v>
      </c>
      <c r="BL74" s="3">
        <v>4.29</v>
      </c>
      <c r="BM74" s="3">
        <f t="shared" si="245"/>
        <v>4.29</v>
      </c>
      <c r="BN74" s="4">
        <f t="shared" si="246"/>
        <v>4.29</v>
      </c>
      <c r="BO74" s="3">
        <v>3.64</v>
      </c>
      <c r="BP74" s="3">
        <f t="shared" si="247"/>
        <v>3.64</v>
      </c>
      <c r="BQ74" s="4">
        <f t="shared" si="248"/>
        <v>3.64</v>
      </c>
      <c r="BR74" s="3">
        <v>3.12</v>
      </c>
      <c r="BS74" s="3">
        <f t="shared" si="249"/>
        <v>3.12</v>
      </c>
      <c r="BT74" s="4">
        <f t="shared" si="250"/>
        <v>3.12</v>
      </c>
      <c r="BU74" s="3">
        <v>1.63</v>
      </c>
      <c r="BV74" s="3">
        <f t="shared" si="251"/>
        <v>1.63</v>
      </c>
      <c r="BW74" s="4">
        <f t="shared" si="252"/>
        <v>1.63</v>
      </c>
      <c r="BX74" s="3">
        <v>1.24</v>
      </c>
      <c r="BY74" s="3">
        <f t="shared" si="253"/>
        <v>1.24</v>
      </c>
      <c r="BZ74" s="21">
        <f t="shared" si="254"/>
        <v>1.24</v>
      </c>
      <c r="CB74" s="20" t="s">
        <v>561</v>
      </c>
      <c r="CC74" s="3">
        <v>0.6</v>
      </c>
      <c r="CD74" s="3">
        <f t="shared" si="255"/>
        <v>0.6</v>
      </c>
      <c r="CE74" s="4" t="str">
        <f t="shared" si="256"/>
        <v/>
      </c>
      <c r="CF74" s="3">
        <v>6.07</v>
      </c>
      <c r="CG74" s="3">
        <f t="shared" si="257"/>
        <v>6.07</v>
      </c>
      <c r="CH74" s="4">
        <f t="shared" si="258"/>
        <v>6.07</v>
      </c>
      <c r="CI74" s="3">
        <v>0.98</v>
      </c>
      <c r="CJ74" s="3">
        <f t="shared" si="259"/>
        <v>0.98</v>
      </c>
      <c r="CK74" s="4" t="str">
        <f t="shared" si="260"/>
        <v/>
      </c>
      <c r="CL74" s="3">
        <v>5.15</v>
      </c>
      <c r="CM74" s="3">
        <f t="shared" si="261"/>
        <v>5.15</v>
      </c>
      <c r="CN74" s="4">
        <f t="shared" si="262"/>
        <v>5.15</v>
      </c>
      <c r="CO74" s="3">
        <v>5.44</v>
      </c>
      <c r="CP74" s="3">
        <f t="shared" si="263"/>
        <v>5.44</v>
      </c>
      <c r="CQ74" s="4">
        <f t="shared" si="264"/>
        <v>5.44</v>
      </c>
      <c r="CR74" s="3">
        <v>1.84</v>
      </c>
      <c r="CS74" s="3">
        <f t="shared" si="265"/>
        <v>1.84</v>
      </c>
      <c r="CT74" s="4">
        <f t="shared" si="266"/>
        <v>1.84</v>
      </c>
      <c r="CU74" s="3">
        <v>3.77</v>
      </c>
      <c r="CV74" s="3">
        <f t="shared" si="267"/>
        <v>3.77</v>
      </c>
      <c r="CW74" s="4">
        <f t="shared" si="268"/>
        <v>3.77</v>
      </c>
      <c r="CX74" s="3">
        <v>3.26</v>
      </c>
      <c r="CY74" s="3">
        <f t="shared" si="269"/>
        <v>3.26</v>
      </c>
      <c r="CZ74" s="21">
        <f t="shared" si="270"/>
        <v>3.26</v>
      </c>
      <c r="DB74" s="13" t="s">
        <v>544</v>
      </c>
      <c r="DC74" s="13"/>
      <c r="DD74" s="14"/>
      <c r="DE74" s="14">
        <f>(DE73/DE63)*100</f>
        <v>28.809908454496579</v>
      </c>
      <c r="DF74" s="14"/>
      <c r="DG74" s="14"/>
      <c r="DH74" s="14">
        <f t="shared" ref="DH74" si="285">(DH73/DH63)*100</f>
        <v>266.16702355460353</v>
      </c>
      <c r="DI74" s="14"/>
      <c r="DJ74" s="14"/>
      <c r="DK74" s="14">
        <f>(DK73/DK63)*100</f>
        <v>106.26678603401957</v>
      </c>
      <c r="DL74" s="14"/>
      <c r="DM74" s="14"/>
      <c r="DN74" s="14">
        <f t="shared" ref="DN74" si="286">(DN73/DN63)*100</f>
        <v>71.739475774424093</v>
      </c>
      <c r="DO74" s="14"/>
      <c r="DP74" s="14"/>
      <c r="DQ74" s="14">
        <f>(DQ73/DQ63)*100</f>
        <v>202.88398799425815</v>
      </c>
      <c r="DR74" s="14"/>
      <c r="DS74" s="14"/>
      <c r="DT74" s="14">
        <f t="shared" ref="DT74" si="287">(DT73/DT63)*100</f>
        <v>159.55853370122176</v>
      </c>
      <c r="DU74" s="14"/>
      <c r="DV74" s="14"/>
      <c r="DW74" s="14">
        <f>(DW73/DW63)*100</f>
        <v>28.478731074260999</v>
      </c>
      <c r="DX74" s="14"/>
      <c r="DY74" s="14"/>
      <c r="DZ74" s="15">
        <f>(DZ73/DZ63)*100</f>
        <v>-15.433231396534151</v>
      </c>
      <c r="EB74" s="13" t="s">
        <v>544</v>
      </c>
      <c r="EC74" s="13"/>
      <c r="ED74" s="14"/>
      <c r="EE74" s="14">
        <f>(EE73/EE63)*100</f>
        <v>429.92398064961952</v>
      </c>
      <c r="EF74" s="14"/>
      <c r="EG74" s="14"/>
      <c r="EH74" s="14">
        <f t="shared" ref="EH74" si="288">(EH73/EH63)*100</f>
        <v>41.022065955383049</v>
      </c>
      <c r="EI74" s="14"/>
      <c r="EJ74" s="14"/>
      <c r="EK74" s="14">
        <f>(EK73/EK63)*100</f>
        <v>1472.5677830940983</v>
      </c>
      <c r="EL74" s="14"/>
      <c r="EM74" s="14"/>
      <c r="EN74" s="14">
        <f t="shared" ref="EN74" si="289">(EN73/EN63)*100</f>
        <v>282.87085821332408</v>
      </c>
      <c r="EO74" s="14"/>
      <c r="EP74" s="14"/>
      <c r="EQ74" s="14">
        <f>(EQ73/EQ63)*100</f>
        <v>135.20721412125872</v>
      </c>
      <c r="ER74" s="14"/>
      <c r="ES74" s="14"/>
      <c r="ET74" s="14">
        <f>(ET73/ET63)*100</f>
        <v>102.13607594936707</v>
      </c>
      <c r="EU74" s="14"/>
      <c r="EV74" s="14"/>
      <c r="EW74" s="14">
        <f>(EW73/EW63)*100</f>
        <v>326.08695652173918</v>
      </c>
      <c r="EX74" s="14"/>
      <c r="EY74" s="14"/>
      <c r="EZ74" s="15">
        <f>(EZ73/EZ63)*100</f>
        <v>160.95684175309455</v>
      </c>
      <c r="FB74" s="13" t="s">
        <v>544</v>
      </c>
      <c r="FC74" s="13"/>
      <c r="FD74" s="14"/>
      <c r="FE74" s="14">
        <f>(FE73/FE63)*100</f>
        <v>-68.517472865298956</v>
      </c>
      <c r="FF74" s="14"/>
      <c r="FG74" s="14"/>
      <c r="FH74" s="14">
        <f>(FH73/FH63)*100</f>
        <v>214.59192085737854</v>
      </c>
      <c r="FI74" s="14"/>
      <c r="FJ74" s="14"/>
      <c r="FK74" s="14">
        <f>(FK73/FK63)*100</f>
        <v>153.08817816910528</v>
      </c>
      <c r="FL74" s="14"/>
      <c r="FM74" s="14"/>
      <c r="FN74" s="14">
        <f>(FN73/FN63)*100</f>
        <v>26.554760594386277</v>
      </c>
      <c r="FO74" s="14"/>
      <c r="FP74" s="14"/>
      <c r="FQ74" s="14">
        <f>(FQ73/FQ63)*100</f>
        <v>98.701298701298697</v>
      </c>
      <c r="FR74" s="14"/>
      <c r="FS74" s="14"/>
      <c r="FT74" s="14">
        <f>(FT73/FT63)*100</f>
        <v>32.39878028121295</v>
      </c>
      <c r="FU74" s="14"/>
      <c r="FV74" s="14"/>
      <c r="FW74" s="14">
        <f t="shared" ref="FW74" si="290">(FW73/FW63)*100</f>
        <v>708.63070539419084</v>
      </c>
      <c r="FX74" s="14"/>
      <c r="FY74" s="14"/>
      <c r="FZ74" s="15">
        <f>(FZ73/FZ63)*100</f>
        <v>430.24154589371994</v>
      </c>
      <c r="GB74" s="13" t="s">
        <v>544</v>
      </c>
      <c r="GC74" s="13"/>
      <c r="GD74" s="14"/>
      <c r="GE74" s="14">
        <f>(GE73/GE63)*100</f>
        <v>387.05882352941148</v>
      </c>
      <c r="GF74" s="14"/>
      <c r="GG74" s="14"/>
      <c r="GH74" s="14">
        <f>(GH73/GH63)*100</f>
        <v>917.49289548468619</v>
      </c>
      <c r="GI74" s="14"/>
      <c r="GJ74" s="14"/>
      <c r="GK74" s="14">
        <f>(GK73/GK63)*100</f>
        <v>2383.7387964148511</v>
      </c>
      <c r="GL74" s="14"/>
      <c r="GM74" s="14"/>
      <c r="GN74" s="14">
        <f>(GN73/GN63)*100</f>
        <v>246.47720544700996</v>
      </c>
      <c r="GO74" s="14"/>
      <c r="GP74" s="14"/>
      <c r="GQ74" s="14">
        <f>(GQ73/GQ63)*100</f>
        <v>164.35664483414337</v>
      </c>
      <c r="GR74" s="14"/>
      <c r="GS74" s="14"/>
      <c r="GT74" s="14">
        <f>(GT73/GT63)*100</f>
        <v>161.34174692793079</v>
      </c>
      <c r="GU74" s="14"/>
      <c r="GV74" s="14"/>
      <c r="GW74" s="14">
        <f t="shared" ref="GW74" si="291">(GW73/GW63)*100</f>
        <v>1165.7995409334355</v>
      </c>
      <c r="GX74" s="14"/>
      <c r="GY74" s="14"/>
      <c r="GZ74" s="15">
        <f>(GZ73/GZ63)*100</f>
        <v>31.219418593495195</v>
      </c>
    </row>
    <row r="75" spans="2:208" ht="15.75" thickBot="1">
      <c r="B75" s="20" t="s">
        <v>562</v>
      </c>
      <c r="C75" s="3">
        <v>2.95</v>
      </c>
      <c r="D75" s="3">
        <f t="shared" si="207"/>
        <v>2.95</v>
      </c>
      <c r="E75" s="4">
        <f t="shared" si="208"/>
        <v>2.95</v>
      </c>
      <c r="F75" s="3">
        <v>4.38</v>
      </c>
      <c r="G75" s="3">
        <f t="shared" si="209"/>
        <v>4.38</v>
      </c>
      <c r="H75" s="4">
        <f t="shared" si="210"/>
        <v>4.38</v>
      </c>
      <c r="I75" s="3">
        <v>3.77</v>
      </c>
      <c r="J75" s="3">
        <f t="shared" si="211"/>
        <v>3.77</v>
      </c>
      <c r="K75" s="4" t="str">
        <f t="shared" si="212"/>
        <v/>
      </c>
      <c r="L75" s="3">
        <v>5.62</v>
      </c>
      <c r="M75" s="3">
        <f t="shared" si="213"/>
        <v>5.62</v>
      </c>
      <c r="N75" s="4">
        <f t="shared" si="214"/>
        <v>5.62</v>
      </c>
      <c r="O75" s="3">
        <v>4.32</v>
      </c>
      <c r="P75" s="3">
        <f t="shared" si="215"/>
        <v>4.32</v>
      </c>
      <c r="Q75" s="4">
        <f t="shared" si="216"/>
        <v>4.32</v>
      </c>
      <c r="R75" s="3">
        <v>2.4500000000000002</v>
      </c>
      <c r="S75" s="3">
        <f t="shared" si="217"/>
        <v>2.4500000000000002</v>
      </c>
      <c r="T75" s="4" t="str">
        <f t="shared" si="218"/>
        <v/>
      </c>
      <c r="U75" s="3">
        <v>1.75</v>
      </c>
      <c r="V75" s="3">
        <f t="shared" si="219"/>
        <v>1.75</v>
      </c>
      <c r="W75" s="4">
        <f t="shared" si="220"/>
        <v>1.75</v>
      </c>
      <c r="X75" s="3">
        <v>2.27</v>
      </c>
      <c r="Y75" s="3">
        <f t="shared" si="221"/>
        <v>2.27</v>
      </c>
      <c r="Z75" s="21">
        <f t="shared" si="222"/>
        <v>2.27</v>
      </c>
      <c r="AB75" s="7" t="s">
        <v>510</v>
      </c>
      <c r="AC75" s="7"/>
      <c r="AD75" s="8">
        <f t="shared" ref="AD75:AZ75" si="292">AVERAGE(AD4:AD74)</f>
        <v>2.7501408450704226</v>
      </c>
      <c r="AE75" s="8">
        <f t="shared" si="292"/>
        <v>2.8377611940298508</v>
      </c>
      <c r="AF75" s="8">
        <f t="shared" si="292"/>
        <v>5.0811267605633796</v>
      </c>
      <c r="AG75" s="8">
        <f t="shared" si="292"/>
        <v>5.0811267605633796</v>
      </c>
      <c r="AH75" s="8">
        <f t="shared" si="292"/>
        <v>5.4406153846153824</v>
      </c>
      <c r="AI75" s="8">
        <f t="shared" si="292"/>
        <v>5.0657746478873236</v>
      </c>
      <c r="AJ75" s="8">
        <f t="shared" si="292"/>
        <v>5.0657746478873236</v>
      </c>
      <c r="AK75" s="8">
        <f t="shared" si="292"/>
        <v>5.166029411764705</v>
      </c>
      <c r="AL75" s="8">
        <f t="shared" si="292"/>
        <v>5.3908450704225368</v>
      </c>
      <c r="AM75" s="8">
        <f t="shared" si="292"/>
        <v>5.3908450704225368</v>
      </c>
      <c r="AN75" s="8">
        <f t="shared" si="292"/>
        <v>5.8579661016949176</v>
      </c>
      <c r="AO75" s="8">
        <f t="shared" si="292"/>
        <v>0.63718309859154931</v>
      </c>
      <c r="AP75" s="8">
        <f t="shared" si="292"/>
        <v>5.0266666666666673</v>
      </c>
      <c r="AQ75" s="8">
        <f t="shared" si="292"/>
        <v>5.2675000000000001</v>
      </c>
      <c r="AR75" s="8">
        <f t="shared" si="292"/>
        <v>3.4778873239436603</v>
      </c>
      <c r="AS75" s="8">
        <f t="shared" si="292"/>
        <v>3.4778873239436603</v>
      </c>
      <c r="AT75" s="8">
        <f t="shared" si="292"/>
        <v>3.7246031746031729</v>
      </c>
      <c r="AU75" s="8">
        <f t="shared" si="292"/>
        <v>4.1649295774647896</v>
      </c>
      <c r="AV75" s="8">
        <f t="shared" si="292"/>
        <v>2.7960000000000007</v>
      </c>
      <c r="AW75" s="8">
        <f t="shared" si="292"/>
        <v>3.0245161290322589</v>
      </c>
      <c r="AX75" s="8">
        <f t="shared" si="292"/>
        <v>3.1487323943661969</v>
      </c>
      <c r="AY75" s="8">
        <f t="shared" si="292"/>
        <v>3.2876470588235289</v>
      </c>
      <c r="AZ75" s="9">
        <f t="shared" si="292"/>
        <v>3.4040350877192984</v>
      </c>
      <c r="BB75" s="20" t="s">
        <v>563</v>
      </c>
      <c r="BC75" s="3">
        <v>3.94</v>
      </c>
      <c r="BD75" s="3">
        <f t="shared" si="239"/>
        <v>3.94</v>
      </c>
      <c r="BE75" s="4">
        <f t="shared" si="240"/>
        <v>3.94</v>
      </c>
      <c r="BF75" s="3">
        <v>4.26</v>
      </c>
      <c r="BG75" s="3">
        <f t="shared" si="241"/>
        <v>4.26</v>
      </c>
      <c r="BH75" s="4">
        <f t="shared" si="242"/>
        <v>4.26</v>
      </c>
      <c r="BI75" s="3">
        <v>3.05</v>
      </c>
      <c r="BJ75" s="3">
        <f t="shared" si="243"/>
        <v>3.05</v>
      </c>
      <c r="BK75" s="4" t="str">
        <f t="shared" si="244"/>
        <v/>
      </c>
      <c r="BL75" s="3">
        <v>4.32</v>
      </c>
      <c r="BM75" s="3">
        <f t="shared" si="245"/>
        <v>4.32</v>
      </c>
      <c r="BN75" s="4">
        <f t="shared" si="246"/>
        <v>4.32</v>
      </c>
      <c r="BO75" s="3">
        <v>3.6</v>
      </c>
      <c r="BP75" s="3">
        <f t="shared" si="247"/>
        <v>3.6</v>
      </c>
      <c r="BQ75" s="4">
        <f t="shared" si="248"/>
        <v>3.6</v>
      </c>
      <c r="BR75" s="3">
        <v>3.12</v>
      </c>
      <c r="BS75" s="3">
        <f t="shared" si="249"/>
        <v>3.12</v>
      </c>
      <c r="BT75" s="4">
        <f t="shared" si="250"/>
        <v>3.12</v>
      </c>
      <c r="BU75" s="3">
        <v>1.63</v>
      </c>
      <c r="BV75" s="3">
        <f t="shared" si="251"/>
        <v>1.63</v>
      </c>
      <c r="BW75" s="4">
        <f t="shared" si="252"/>
        <v>1.63</v>
      </c>
      <c r="BX75" s="3">
        <v>1.28</v>
      </c>
      <c r="BY75" s="3">
        <f t="shared" si="253"/>
        <v>1.28</v>
      </c>
      <c r="BZ75" s="21">
        <f t="shared" si="254"/>
        <v>1.28</v>
      </c>
      <c r="CB75" s="20" t="s">
        <v>564</v>
      </c>
      <c r="CC75" s="3">
        <v>4.16</v>
      </c>
      <c r="CD75" s="3">
        <f t="shared" si="255"/>
        <v>4.16</v>
      </c>
      <c r="CE75" s="4">
        <f t="shared" si="256"/>
        <v>4.16</v>
      </c>
      <c r="CF75" s="3">
        <v>6.08</v>
      </c>
      <c r="CG75" s="3">
        <f t="shared" si="257"/>
        <v>6.08</v>
      </c>
      <c r="CH75" s="4">
        <f t="shared" si="258"/>
        <v>6.08</v>
      </c>
      <c r="CI75" s="3">
        <v>3.78</v>
      </c>
      <c r="CJ75" s="3">
        <f t="shared" si="259"/>
        <v>3.78</v>
      </c>
      <c r="CK75" s="4">
        <f t="shared" si="260"/>
        <v>3.78</v>
      </c>
      <c r="CL75" s="3">
        <v>5.45</v>
      </c>
      <c r="CM75" s="3">
        <f t="shared" si="261"/>
        <v>5.45</v>
      </c>
      <c r="CN75" s="4">
        <f t="shared" si="262"/>
        <v>5.45</v>
      </c>
      <c r="CO75" s="3">
        <v>5</v>
      </c>
      <c r="CP75" s="3">
        <f t="shared" si="263"/>
        <v>5</v>
      </c>
      <c r="CQ75" s="4">
        <f t="shared" si="264"/>
        <v>5</v>
      </c>
      <c r="CR75" s="3">
        <v>1.83</v>
      </c>
      <c r="CS75" s="3">
        <f t="shared" si="265"/>
        <v>1.83</v>
      </c>
      <c r="CT75" s="4">
        <f t="shared" si="266"/>
        <v>1.83</v>
      </c>
      <c r="CU75" s="3">
        <v>3.78</v>
      </c>
      <c r="CV75" s="3">
        <f t="shared" si="267"/>
        <v>3.78</v>
      </c>
      <c r="CW75" s="4">
        <f t="shared" si="268"/>
        <v>3.78</v>
      </c>
      <c r="CX75" s="3">
        <v>3.11</v>
      </c>
      <c r="CY75" s="3">
        <f t="shared" si="269"/>
        <v>3.11</v>
      </c>
      <c r="CZ75" s="21">
        <f t="shared" si="270"/>
        <v>3.11</v>
      </c>
    </row>
    <row r="76" spans="2:208" ht="30">
      <c r="B76" s="20" t="s">
        <v>565</v>
      </c>
      <c r="C76" s="3">
        <v>3.01</v>
      </c>
      <c r="D76" s="3">
        <f t="shared" si="207"/>
        <v>3.01</v>
      </c>
      <c r="E76" s="4">
        <f t="shared" si="208"/>
        <v>3.01</v>
      </c>
      <c r="F76" s="3">
        <v>4.4000000000000004</v>
      </c>
      <c r="G76" s="3">
        <f t="shared" si="209"/>
        <v>4.4000000000000004</v>
      </c>
      <c r="H76" s="4">
        <f t="shared" si="210"/>
        <v>4.4000000000000004</v>
      </c>
      <c r="I76" s="3">
        <v>5.3</v>
      </c>
      <c r="J76" s="3">
        <f t="shared" si="211"/>
        <v>5.3</v>
      </c>
      <c r="K76" s="4">
        <f t="shared" si="212"/>
        <v>5.3</v>
      </c>
      <c r="L76" s="3">
        <v>5.62</v>
      </c>
      <c r="M76" s="3">
        <f t="shared" si="213"/>
        <v>5.62</v>
      </c>
      <c r="N76" s="4">
        <f t="shared" si="214"/>
        <v>5.62</v>
      </c>
      <c r="O76" s="3">
        <v>4.3499999999999996</v>
      </c>
      <c r="P76" s="3">
        <f t="shared" si="215"/>
        <v>4.3499999999999996</v>
      </c>
      <c r="Q76" s="4">
        <f t="shared" si="216"/>
        <v>4.3499999999999996</v>
      </c>
      <c r="R76" s="3">
        <v>4.84</v>
      </c>
      <c r="S76" s="3">
        <f t="shared" si="217"/>
        <v>4.84</v>
      </c>
      <c r="T76" s="4">
        <f t="shared" si="218"/>
        <v>4.84</v>
      </c>
      <c r="U76" s="3">
        <v>1.77</v>
      </c>
      <c r="V76" s="3">
        <f t="shared" si="219"/>
        <v>1.77</v>
      </c>
      <c r="W76" s="4">
        <f t="shared" si="220"/>
        <v>1.77</v>
      </c>
      <c r="X76" s="3">
        <v>1.33</v>
      </c>
      <c r="Y76" s="3">
        <f t="shared" si="221"/>
        <v>1.33</v>
      </c>
      <c r="Z76" s="21" t="str">
        <f t="shared" si="222"/>
        <v/>
      </c>
      <c r="AB76" s="10" t="s">
        <v>515</v>
      </c>
      <c r="AC76" s="10"/>
      <c r="AD76" s="11">
        <f t="shared" ref="AD76:AZ76" si="293">STDEV(AD4:AD74)</f>
        <v>0.42273089365541955</v>
      </c>
      <c r="AE76" s="11">
        <f t="shared" si="293"/>
        <v>1.8490037901069737E-2</v>
      </c>
      <c r="AF76" s="11">
        <f t="shared" si="293"/>
        <v>1.2370362615031434</v>
      </c>
      <c r="AG76" s="11">
        <f t="shared" si="293"/>
        <v>1.2370362615031434</v>
      </c>
      <c r="AH76" s="11">
        <f t="shared" si="293"/>
        <v>9.24641302593356E-2</v>
      </c>
      <c r="AI76" s="11">
        <f t="shared" si="293"/>
        <v>0.49876608308284465</v>
      </c>
      <c r="AJ76" s="11">
        <f t="shared" si="293"/>
        <v>0.49876608308284465</v>
      </c>
      <c r="AK76" s="11">
        <f t="shared" si="293"/>
        <v>6.5452265980918287E-2</v>
      </c>
      <c r="AL76" s="11">
        <f t="shared" si="293"/>
        <v>1.2377349664134401</v>
      </c>
      <c r="AM76" s="11">
        <f t="shared" si="293"/>
        <v>1.2377349664134401</v>
      </c>
      <c r="AN76" s="11">
        <f t="shared" si="293"/>
        <v>0.51033720988833475</v>
      </c>
      <c r="AO76" s="11">
        <f t="shared" si="293"/>
        <v>1.7028809060770194</v>
      </c>
      <c r="AP76" s="11">
        <f t="shared" si="293"/>
        <v>0.74212532634319972</v>
      </c>
      <c r="AQ76" s="11">
        <f t="shared" si="293"/>
        <v>0.18124568960391862</v>
      </c>
      <c r="AR76" s="11">
        <f t="shared" si="293"/>
        <v>0.75597792011022302</v>
      </c>
      <c r="AS76" s="11">
        <f t="shared" si="293"/>
        <v>0.75597792011022302</v>
      </c>
      <c r="AT76" s="11">
        <f t="shared" si="293"/>
        <v>0.10946829555489948</v>
      </c>
      <c r="AU76" s="11">
        <f t="shared" si="293"/>
        <v>11.554650995933496</v>
      </c>
      <c r="AV76" s="11">
        <f t="shared" si="293"/>
        <v>0.68180578644859191</v>
      </c>
      <c r="AW76" s="11">
        <f t="shared" si="293"/>
        <v>0.14915804599956817</v>
      </c>
      <c r="AX76" s="11">
        <f t="shared" si="293"/>
        <v>0.88845440364950345</v>
      </c>
      <c r="AY76" s="11">
        <f t="shared" si="293"/>
        <v>0.60097959248900001</v>
      </c>
      <c r="AZ76" s="12">
        <f t="shared" si="293"/>
        <v>0.15270021574878115</v>
      </c>
      <c r="BB76" s="20" t="s">
        <v>566</v>
      </c>
      <c r="BC76" s="3">
        <v>3.9</v>
      </c>
      <c r="BD76" s="3">
        <f t="shared" si="239"/>
        <v>3.9</v>
      </c>
      <c r="BE76" s="4">
        <f t="shared" si="240"/>
        <v>3.9</v>
      </c>
      <c r="BF76" s="3">
        <v>4.28</v>
      </c>
      <c r="BG76" s="3">
        <f t="shared" si="241"/>
        <v>4.28</v>
      </c>
      <c r="BH76" s="4">
        <f t="shared" si="242"/>
        <v>4.28</v>
      </c>
      <c r="BI76" s="3">
        <v>4.1900000000000004</v>
      </c>
      <c r="BJ76" s="3">
        <f t="shared" si="243"/>
        <v>4.1900000000000004</v>
      </c>
      <c r="BK76" s="4">
        <f t="shared" si="244"/>
        <v>4.1900000000000004</v>
      </c>
      <c r="BL76" s="3">
        <v>4.28</v>
      </c>
      <c r="BM76" s="3">
        <f t="shared" si="245"/>
        <v>4.28</v>
      </c>
      <c r="BN76" s="4">
        <f t="shared" si="246"/>
        <v>4.28</v>
      </c>
      <c r="BO76" s="3">
        <v>3.36</v>
      </c>
      <c r="BP76" s="3">
        <f t="shared" si="247"/>
        <v>3.36</v>
      </c>
      <c r="BQ76" s="4">
        <f t="shared" si="248"/>
        <v>3.36</v>
      </c>
      <c r="BR76" s="3">
        <v>3.15</v>
      </c>
      <c r="BS76" s="3">
        <f t="shared" si="249"/>
        <v>3.15</v>
      </c>
      <c r="BT76" s="4">
        <f t="shared" si="250"/>
        <v>3.15</v>
      </c>
      <c r="BU76" s="3">
        <v>1.63</v>
      </c>
      <c r="BV76" s="3">
        <f t="shared" si="251"/>
        <v>1.63</v>
      </c>
      <c r="BW76" s="4">
        <f t="shared" si="252"/>
        <v>1.63</v>
      </c>
      <c r="BX76" s="3">
        <v>1.22</v>
      </c>
      <c r="BY76" s="3">
        <f t="shared" si="253"/>
        <v>1.22</v>
      </c>
      <c r="BZ76" s="21">
        <f t="shared" si="254"/>
        <v>1.22</v>
      </c>
      <c r="CB76" s="20" t="s">
        <v>567</v>
      </c>
      <c r="CC76" s="3">
        <v>4.1399999999999997</v>
      </c>
      <c r="CD76" s="3">
        <f t="shared" si="255"/>
        <v>4.1399999999999997</v>
      </c>
      <c r="CE76" s="4">
        <f t="shared" si="256"/>
        <v>4.1399999999999997</v>
      </c>
      <c r="CF76" s="3">
        <v>6.08</v>
      </c>
      <c r="CG76" s="3">
        <f t="shared" si="257"/>
        <v>6.08</v>
      </c>
      <c r="CH76" s="4">
        <f t="shared" si="258"/>
        <v>6.08</v>
      </c>
      <c r="CI76" s="3">
        <v>3.77</v>
      </c>
      <c r="CJ76" s="3">
        <f t="shared" si="259"/>
        <v>3.77</v>
      </c>
      <c r="CK76" s="4">
        <f t="shared" si="260"/>
        <v>3.77</v>
      </c>
      <c r="CL76" s="3">
        <v>5.13</v>
      </c>
      <c r="CM76" s="3">
        <f t="shared" si="261"/>
        <v>5.13</v>
      </c>
      <c r="CN76" s="4">
        <f t="shared" si="262"/>
        <v>5.13</v>
      </c>
      <c r="CO76" s="3">
        <v>5.46</v>
      </c>
      <c r="CP76" s="3">
        <f t="shared" si="263"/>
        <v>5.46</v>
      </c>
      <c r="CQ76" s="4">
        <f t="shared" si="264"/>
        <v>5.46</v>
      </c>
      <c r="CR76" s="3">
        <v>1.85</v>
      </c>
      <c r="CS76" s="3">
        <f t="shared" si="265"/>
        <v>1.85</v>
      </c>
      <c r="CT76" s="4">
        <f t="shared" si="266"/>
        <v>1.85</v>
      </c>
      <c r="CU76" s="3">
        <v>3.77</v>
      </c>
      <c r="CV76" s="3">
        <f t="shared" si="267"/>
        <v>3.77</v>
      </c>
      <c r="CW76" s="4">
        <f t="shared" si="268"/>
        <v>3.77</v>
      </c>
      <c r="CX76" s="3">
        <v>4.01</v>
      </c>
      <c r="CY76" s="3">
        <f t="shared" si="269"/>
        <v>4.01</v>
      </c>
      <c r="CZ76" s="21" t="str">
        <f t="shared" si="270"/>
        <v/>
      </c>
      <c r="DB76" s="81" t="s">
        <v>568</v>
      </c>
      <c r="DC76" s="7"/>
      <c r="DD76" s="8"/>
      <c r="DE76" s="8">
        <v>2.99</v>
      </c>
      <c r="DF76" s="8"/>
      <c r="DG76" s="8"/>
      <c r="DH76" s="8">
        <v>4.1900000000000004</v>
      </c>
      <c r="DI76" s="8"/>
      <c r="DJ76" s="8"/>
      <c r="DK76" s="8">
        <v>5.3</v>
      </c>
      <c r="DL76" s="8"/>
      <c r="DM76" s="8"/>
      <c r="DN76" s="8">
        <v>5.73</v>
      </c>
      <c r="DO76" s="8"/>
      <c r="DP76" s="8"/>
      <c r="DQ76" s="8">
        <v>4.24</v>
      </c>
      <c r="DR76" s="8"/>
      <c r="DS76" s="8"/>
      <c r="DT76" s="8">
        <v>4.45</v>
      </c>
      <c r="DU76" s="8"/>
      <c r="DV76" s="8"/>
      <c r="DW76" s="8">
        <v>1.61</v>
      </c>
      <c r="DX76" s="8"/>
      <c r="DY76" s="8"/>
      <c r="DZ76" s="9">
        <v>2.42</v>
      </c>
      <c r="EB76" s="81" t="s">
        <v>568</v>
      </c>
      <c r="EC76" s="7"/>
      <c r="ED76" s="8"/>
      <c r="EE76" s="8">
        <v>2.88</v>
      </c>
      <c r="EF76" s="8"/>
      <c r="EG76" s="8"/>
      <c r="EH76" s="8">
        <v>5.38</v>
      </c>
      <c r="EI76" s="8"/>
      <c r="EJ76" s="8"/>
      <c r="EK76" s="8">
        <v>5.0999999999999996</v>
      </c>
      <c r="EL76" s="8"/>
      <c r="EM76" s="8"/>
      <c r="EN76" s="8">
        <v>6.21</v>
      </c>
      <c r="EO76" s="8"/>
      <c r="EP76" s="8"/>
      <c r="EQ76" s="8">
        <v>5.33</v>
      </c>
      <c r="ER76" s="8"/>
      <c r="ES76" s="8"/>
      <c r="ET76" s="8">
        <v>3.71</v>
      </c>
      <c r="EU76" s="8"/>
      <c r="EV76" s="8"/>
      <c r="EW76" s="8">
        <v>2.87</v>
      </c>
      <c r="EX76" s="8"/>
      <c r="EY76" s="8"/>
      <c r="EZ76" s="9">
        <v>3.05</v>
      </c>
      <c r="FB76" s="81" t="s">
        <v>568</v>
      </c>
      <c r="FC76" s="7"/>
      <c r="FD76" s="8"/>
      <c r="FE76" s="8">
        <v>3.83</v>
      </c>
      <c r="FF76" s="8"/>
      <c r="FG76" s="8"/>
      <c r="FH76" s="8">
        <v>4.29</v>
      </c>
      <c r="FI76" s="8"/>
      <c r="FJ76" s="8"/>
      <c r="FK76" s="8">
        <v>3.95</v>
      </c>
      <c r="FL76" s="8"/>
      <c r="FM76" s="8"/>
      <c r="FN76" s="8">
        <v>4.43</v>
      </c>
      <c r="FO76" s="8"/>
      <c r="FP76" s="8"/>
      <c r="FQ76" s="8">
        <v>3.64</v>
      </c>
      <c r="FR76" s="8"/>
      <c r="FS76" s="8"/>
      <c r="FT76" s="8">
        <v>3.23</v>
      </c>
      <c r="FU76" s="8"/>
      <c r="FV76" s="8"/>
      <c r="FW76" s="8">
        <v>1.7</v>
      </c>
      <c r="FX76" s="8"/>
      <c r="FY76" s="8"/>
      <c r="FZ76" s="9">
        <v>1.1299999999999999</v>
      </c>
      <c r="GB76" s="81" t="s">
        <v>568</v>
      </c>
      <c r="GC76" s="7"/>
      <c r="GD76" s="8"/>
      <c r="GE76" s="8">
        <v>4.1900000000000004</v>
      </c>
      <c r="GF76" s="8"/>
      <c r="GG76" s="8"/>
      <c r="GH76" s="8">
        <v>6.13</v>
      </c>
      <c r="GI76" s="8"/>
      <c r="GJ76" s="8"/>
      <c r="GK76" s="8">
        <v>3.69</v>
      </c>
      <c r="GL76" s="8"/>
      <c r="GM76" s="8"/>
      <c r="GN76" s="8">
        <v>5.35</v>
      </c>
      <c r="GO76" s="8"/>
      <c r="GP76" s="8"/>
      <c r="GQ76" s="8">
        <v>5.49</v>
      </c>
      <c r="GR76" s="8"/>
      <c r="GS76" s="8"/>
      <c r="GT76" s="8">
        <v>1.85</v>
      </c>
      <c r="GU76" s="8"/>
      <c r="GV76" s="8"/>
      <c r="GW76" s="8">
        <v>3.72</v>
      </c>
      <c r="GX76" s="8"/>
      <c r="GY76" s="8"/>
      <c r="GZ76" s="9">
        <v>2.9</v>
      </c>
    </row>
    <row r="77" spans="2:208">
      <c r="B77" s="20" t="s">
        <v>569</v>
      </c>
      <c r="C77" s="3">
        <v>3.02</v>
      </c>
      <c r="D77" s="3">
        <f t="shared" si="207"/>
        <v>3.02</v>
      </c>
      <c r="E77" s="4">
        <f t="shared" si="208"/>
        <v>3.02</v>
      </c>
      <c r="F77" s="3">
        <v>4.4400000000000004</v>
      </c>
      <c r="G77" s="3">
        <f t="shared" si="209"/>
        <v>4.4400000000000004</v>
      </c>
      <c r="H77" s="4">
        <f t="shared" si="210"/>
        <v>4.4400000000000004</v>
      </c>
      <c r="I77" s="3">
        <v>5.27</v>
      </c>
      <c r="J77" s="3">
        <f t="shared" si="211"/>
        <v>5.27</v>
      </c>
      <c r="K77" s="4">
        <f t="shared" si="212"/>
        <v>5.27</v>
      </c>
      <c r="L77" s="3">
        <v>1.86</v>
      </c>
      <c r="M77" s="3">
        <f t="shared" si="213"/>
        <v>1.86</v>
      </c>
      <c r="N77" s="4" t="str">
        <f t="shared" si="214"/>
        <v/>
      </c>
      <c r="O77" s="3">
        <v>2.58</v>
      </c>
      <c r="P77" s="3">
        <f t="shared" si="215"/>
        <v>2.58</v>
      </c>
      <c r="Q77" s="4" t="str">
        <f t="shared" si="216"/>
        <v/>
      </c>
      <c r="R77" s="3">
        <v>4.87</v>
      </c>
      <c r="S77" s="3">
        <f t="shared" si="217"/>
        <v>4.87</v>
      </c>
      <c r="T77" s="4">
        <f t="shared" si="218"/>
        <v>4.87</v>
      </c>
      <c r="U77" s="3">
        <v>1.76</v>
      </c>
      <c r="V77" s="3">
        <f t="shared" si="219"/>
        <v>1.76</v>
      </c>
      <c r="W77" s="4">
        <f t="shared" si="220"/>
        <v>1.76</v>
      </c>
      <c r="X77" s="3">
        <v>2.2599999999999998</v>
      </c>
      <c r="Y77" s="3">
        <f t="shared" si="221"/>
        <v>2.2599999999999998</v>
      </c>
      <c r="Z77" s="21">
        <f t="shared" si="222"/>
        <v>2.2599999999999998</v>
      </c>
      <c r="AB77" s="10" t="s">
        <v>520</v>
      </c>
      <c r="AC77" s="10"/>
      <c r="AD77" s="11">
        <f>AD75+AD76</f>
        <v>3.1728717387258421</v>
      </c>
      <c r="AE77" s="11"/>
      <c r="AF77" s="11"/>
      <c r="AG77" s="11">
        <f>AG75+AG76</f>
        <v>6.318163022066523</v>
      </c>
      <c r="AH77" s="11"/>
      <c r="AI77" s="11"/>
      <c r="AJ77" s="11">
        <f>AJ75+AJ76</f>
        <v>5.564540730970168</v>
      </c>
      <c r="AK77" s="11"/>
      <c r="AL77" s="11"/>
      <c r="AM77" s="11">
        <f>AM75+AM76</f>
        <v>6.6285800368359773</v>
      </c>
      <c r="AN77" s="11"/>
      <c r="AO77" s="11"/>
      <c r="AP77" s="11">
        <f>AP75+AP76</f>
        <v>5.7687919930098666</v>
      </c>
      <c r="AQ77" s="11"/>
      <c r="AR77" s="11"/>
      <c r="AS77" s="11">
        <f>AS75+AS76</f>
        <v>4.2338652440538835</v>
      </c>
      <c r="AT77" s="11"/>
      <c r="AU77" s="11"/>
      <c r="AV77" s="11">
        <f>AV75+AV76</f>
        <v>3.4778057864485925</v>
      </c>
      <c r="AW77" s="11"/>
      <c r="AX77" s="11"/>
      <c r="AY77" s="11">
        <f>AY75+AY76</f>
        <v>3.8886266513125287</v>
      </c>
      <c r="AZ77" s="12"/>
      <c r="BB77" s="20" t="s">
        <v>570</v>
      </c>
      <c r="BC77" s="3">
        <v>3.93</v>
      </c>
      <c r="BD77" s="3">
        <f t="shared" si="239"/>
        <v>3.93</v>
      </c>
      <c r="BE77" s="4">
        <f t="shared" si="240"/>
        <v>3.93</v>
      </c>
      <c r="BF77" s="3">
        <v>4.2699999999999996</v>
      </c>
      <c r="BG77" s="3">
        <f t="shared" si="241"/>
        <v>4.2699999999999996</v>
      </c>
      <c r="BH77" s="4">
        <f t="shared" si="242"/>
        <v>4.2699999999999996</v>
      </c>
      <c r="BI77" s="3">
        <v>4.1500000000000004</v>
      </c>
      <c r="BJ77" s="3">
        <f t="shared" si="243"/>
        <v>4.1500000000000004</v>
      </c>
      <c r="BK77" s="4">
        <f t="shared" si="244"/>
        <v>4.1500000000000004</v>
      </c>
      <c r="BL77" s="3">
        <v>2.85</v>
      </c>
      <c r="BM77" s="3">
        <f t="shared" si="245"/>
        <v>2.85</v>
      </c>
      <c r="BN77" s="4" t="str">
        <f t="shared" si="246"/>
        <v/>
      </c>
      <c r="BO77" s="3">
        <v>3.59</v>
      </c>
      <c r="BP77" s="3">
        <f t="shared" si="247"/>
        <v>3.59</v>
      </c>
      <c r="BQ77" s="4">
        <f t="shared" si="248"/>
        <v>3.59</v>
      </c>
      <c r="BR77" s="3">
        <v>3.13</v>
      </c>
      <c r="BS77" s="3">
        <f t="shared" si="249"/>
        <v>3.13</v>
      </c>
      <c r="BT77" s="4">
        <f t="shared" si="250"/>
        <v>3.13</v>
      </c>
      <c r="BU77" s="3">
        <v>1.61</v>
      </c>
      <c r="BV77" s="3">
        <f t="shared" si="251"/>
        <v>1.61</v>
      </c>
      <c r="BW77" s="4">
        <f t="shared" si="252"/>
        <v>1.61</v>
      </c>
      <c r="BX77" s="3">
        <v>99.99</v>
      </c>
      <c r="BY77" s="3" t="str">
        <f t="shared" si="253"/>
        <v/>
      </c>
      <c r="BZ77" s="21" t="str">
        <f t="shared" si="254"/>
        <v/>
      </c>
      <c r="CB77" s="20" t="s">
        <v>571</v>
      </c>
      <c r="CC77" s="3">
        <v>4.1399999999999997</v>
      </c>
      <c r="CD77" s="3">
        <f t="shared" si="255"/>
        <v>4.1399999999999997</v>
      </c>
      <c r="CE77" s="4">
        <f t="shared" si="256"/>
        <v>4.1399999999999997</v>
      </c>
      <c r="CF77" s="3">
        <v>6.08</v>
      </c>
      <c r="CG77" s="3">
        <f t="shared" si="257"/>
        <v>6.08</v>
      </c>
      <c r="CH77" s="4">
        <f t="shared" si="258"/>
        <v>6.08</v>
      </c>
      <c r="CI77" s="3">
        <v>1.86</v>
      </c>
      <c r="CJ77" s="3">
        <f t="shared" si="259"/>
        <v>1.86</v>
      </c>
      <c r="CK77" s="4" t="str">
        <f t="shared" si="260"/>
        <v/>
      </c>
      <c r="CL77" s="3">
        <v>5.19</v>
      </c>
      <c r="CM77" s="3">
        <f t="shared" si="261"/>
        <v>5.19</v>
      </c>
      <c r="CN77" s="4">
        <f t="shared" si="262"/>
        <v>5.19</v>
      </c>
      <c r="CO77" s="3">
        <v>4.87</v>
      </c>
      <c r="CP77" s="3">
        <f t="shared" si="263"/>
        <v>4.87</v>
      </c>
      <c r="CQ77" s="4">
        <f t="shared" si="264"/>
        <v>4.87</v>
      </c>
      <c r="CR77" s="3">
        <v>0.39</v>
      </c>
      <c r="CS77" s="3">
        <f t="shared" si="265"/>
        <v>0.39</v>
      </c>
      <c r="CT77" s="4" t="str">
        <f t="shared" si="266"/>
        <v/>
      </c>
      <c r="CU77" s="3">
        <v>3.77</v>
      </c>
      <c r="CV77" s="3">
        <f t="shared" si="267"/>
        <v>3.77</v>
      </c>
      <c r="CW77" s="4">
        <f t="shared" si="268"/>
        <v>3.77</v>
      </c>
      <c r="CX77" s="3">
        <v>3.17</v>
      </c>
      <c r="CY77" s="3">
        <f t="shared" si="269"/>
        <v>3.17</v>
      </c>
      <c r="CZ77" s="21">
        <f t="shared" si="270"/>
        <v>3.17</v>
      </c>
      <c r="DB77" s="10" t="s">
        <v>539</v>
      </c>
      <c r="DC77" s="10"/>
      <c r="DD77" s="11"/>
      <c r="DE77" s="11">
        <f>DE76-DE63</f>
        <v>0.66875000000000151</v>
      </c>
      <c r="DF77" s="11"/>
      <c r="DG77" s="11"/>
      <c r="DH77" s="11">
        <f t="shared" ref="DH77" si="294">DH76-DH63</f>
        <v>3.0484444444444438</v>
      </c>
      <c r="DI77" s="11"/>
      <c r="DJ77" s="11"/>
      <c r="DK77" s="11">
        <f t="shared" ref="DK77" si="295">DK76-DK63</f>
        <v>2.7402083333333316</v>
      </c>
      <c r="DL77" s="11"/>
      <c r="DM77" s="11"/>
      <c r="DN77" s="11">
        <f t="shared" ref="DN77" si="296">DN76-DN63</f>
        <v>2.4168421052631572</v>
      </c>
      <c r="DO77" s="11"/>
      <c r="DP77" s="11"/>
      <c r="DQ77" s="11">
        <f t="shared" ref="DQ77" si="297">DQ76-DQ63</f>
        <v>2.8467272727272732</v>
      </c>
      <c r="DR77" s="11"/>
      <c r="DS77" s="11"/>
      <c r="DT77" s="11">
        <f t="shared" ref="DT77" si="298">DT76-DT63</f>
        <v>2.7586666666666657</v>
      </c>
      <c r="DU77" s="11"/>
      <c r="DV77" s="11"/>
      <c r="DW77" s="11">
        <f t="shared" ref="DW77" si="299">DW76-DW63</f>
        <v>0.34909090909090912</v>
      </c>
      <c r="DX77" s="11"/>
      <c r="DY77" s="11"/>
      <c r="DZ77" s="12">
        <f t="shared" ref="DZ77" si="300">DZ76-DZ63</f>
        <v>-0.46529411764705886</v>
      </c>
      <c r="EB77" s="10" t="s">
        <v>539</v>
      </c>
      <c r="EC77" s="10"/>
      <c r="ED77" s="11"/>
      <c r="EE77" s="11">
        <f>EE76-EE63</f>
        <v>2.3440740740740735</v>
      </c>
      <c r="EF77" s="11"/>
      <c r="EG77" s="11"/>
      <c r="EH77" s="11">
        <f t="shared" ref="EH77" si="301">EH76-EH63</f>
        <v>1.5437209302325559</v>
      </c>
      <c r="EI77" s="11"/>
      <c r="EJ77" s="11"/>
      <c r="EK77" s="11">
        <f t="shared" ref="EK77" si="302">EK76-EK63</f>
        <v>4.7756896551724131</v>
      </c>
      <c r="EL77" s="11"/>
      <c r="EM77" s="11"/>
      <c r="EN77" s="11">
        <f t="shared" ref="EN77" si="303">EN76-EN63</f>
        <v>4.5984905660377358</v>
      </c>
      <c r="EO77" s="11"/>
      <c r="EP77" s="11"/>
      <c r="EQ77" s="11">
        <f t="shared" ref="EQ77" si="304">EQ76-EQ63</f>
        <v>3.0639130434782618</v>
      </c>
      <c r="ER77" s="11"/>
      <c r="ES77" s="11"/>
      <c r="ET77" s="11">
        <f t="shared" ref="ET77" si="305">ET76-ET63</f>
        <v>1.9042857142857141</v>
      </c>
      <c r="EU77" s="11"/>
      <c r="EV77" s="11"/>
      <c r="EW77" s="11">
        <f t="shared" ref="EW77" si="306">EW76-EW63</f>
        <v>2.1800000000000002</v>
      </c>
      <c r="EX77" s="11"/>
      <c r="EY77" s="11"/>
      <c r="EZ77" s="12">
        <f t="shared" ref="EZ77" si="307">EZ76-EZ63</f>
        <v>1.8543999999999992</v>
      </c>
      <c r="FB77" s="10" t="s">
        <v>539</v>
      </c>
      <c r="FC77" s="10"/>
      <c r="FD77" s="11"/>
      <c r="FE77" s="11">
        <f>FE76-FE63</f>
        <v>-8.4307692307692292</v>
      </c>
      <c r="FF77" s="11"/>
      <c r="FG77" s="11"/>
      <c r="FH77" s="11">
        <f t="shared" ref="FH77" si="308">FH76-FH63</f>
        <v>2.942222222222223</v>
      </c>
      <c r="FI77" s="11"/>
      <c r="FJ77" s="11"/>
      <c r="FK77" s="11">
        <f t="shared" ref="FK77" si="309">FK76-FK63</f>
        <v>2.6184482758620691</v>
      </c>
      <c r="FL77" s="11"/>
      <c r="FM77" s="11"/>
      <c r="FN77" s="11">
        <f t="shared" ref="FN77" si="310">FN76-FN63</f>
        <v>0.96904761904761694</v>
      </c>
      <c r="FO77" s="11"/>
      <c r="FP77" s="11"/>
      <c r="FQ77" s="11">
        <f t="shared" ref="FQ77" si="311">FQ76-FQ63</f>
        <v>1.8433333333333335</v>
      </c>
      <c r="FR77" s="11"/>
      <c r="FS77" s="11"/>
      <c r="FT77" s="11">
        <f t="shared" ref="FT77" si="312">FT76-FT63</f>
        <v>0.82061224489795936</v>
      </c>
      <c r="FU77" s="11"/>
      <c r="FV77" s="11"/>
      <c r="FW77" s="11">
        <f t="shared" ref="FW77" si="313">FW76-FW63</f>
        <v>1.4848214285714285</v>
      </c>
      <c r="FX77" s="11"/>
      <c r="FY77" s="11"/>
      <c r="FZ77" s="12">
        <f t="shared" ref="FZ77" si="314">FZ76-FZ63</f>
        <v>0.91877551020408155</v>
      </c>
      <c r="GB77" s="10" t="s">
        <v>539</v>
      </c>
      <c r="GC77" s="10"/>
      <c r="GD77" s="11"/>
      <c r="GE77" s="11">
        <f>GE76-GE63</f>
        <v>3.34</v>
      </c>
      <c r="GF77" s="11"/>
      <c r="GG77" s="11"/>
      <c r="GH77" s="11">
        <f>GH76-GH63</f>
        <v>5.5324528301886797</v>
      </c>
      <c r="GI77" s="11"/>
      <c r="GJ77" s="11"/>
      <c r="GK77" s="11">
        <f t="shared" ref="GK77" si="315">GK76-GK63</f>
        <v>3.5426415094339623</v>
      </c>
      <c r="GL77" s="11"/>
      <c r="GM77" s="11"/>
      <c r="GN77" s="11">
        <f>GN76-GN63</f>
        <v>3.8145454545454536</v>
      </c>
      <c r="GO77" s="11"/>
      <c r="GP77" s="11"/>
      <c r="GQ77" s="11">
        <f t="shared" ref="GQ77" si="316">GQ76-GQ63</f>
        <v>3.4321739130434792</v>
      </c>
      <c r="GR77" s="11"/>
      <c r="GS77" s="11"/>
      <c r="GT77" s="11">
        <f>GT76-GT63</f>
        <v>1.1497674418604649</v>
      </c>
      <c r="GU77" s="11"/>
      <c r="GV77" s="11"/>
      <c r="GW77" s="11">
        <f t="shared" ref="GW77" si="317">GW76-GW63</f>
        <v>3.4229545454545458</v>
      </c>
      <c r="GX77" s="11"/>
      <c r="GY77" s="11"/>
      <c r="GZ77" s="12">
        <f>GZ76-GZ63</f>
        <v>0.68234042553191543</v>
      </c>
    </row>
    <row r="78" spans="2:208" ht="15.75" thickBot="1">
      <c r="B78" s="20" t="s">
        <v>572</v>
      </c>
      <c r="C78" s="3">
        <v>2.95</v>
      </c>
      <c r="D78" s="3">
        <f t="shared" si="207"/>
        <v>2.95</v>
      </c>
      <c r="E78" s="4">
        <f t="shared" si="208"/>
        <v>2.95</v>
      </c>
      <c r="F78" s="3">
        <v>2.5</v>
      </c>
      <c r="G78" s="3">
        <f t="shared" si="209"/>
        <v>2.5</v>
      </c>
      <c r="H78" s="4" t="str">
        <f t="shared" si="210"/>
        <v/>
      </c>
      <c r="I78" s="3">
        <v>5.33</v>
      </c>
      <c r="J78" s="3">
        <f t="shared" si="211"/>
        <v>5.33</v>
      </c>
      <c r="K78" s="4">
        <f t="shared" si="212"/>
        <v>5.33</v>
      </c>
      <c r="L78" s="3">
        <v>4.96</v>
      </c>
      <c r="M78" s="3">
        <f t="shared" si="213"/>
        <v>4.96</v>
      </c>
      <c r="N78" s="4">
        <f t="shared" si="214"/>
        <v>4.96</v>
      </c>
      <c r="O78" s="3">
        <v>4.32</v>
      </c>
      <c r="P78" s="3">
        <f t="shared" si="215"/>
        <v>4.32</v>
      </c>
      <c r="Q78" s="4">
        <f t="shared" si="216"/>
        <v>4.32</v>
      </c>
      <c r="R78" s="3">
        <v>4.82</v>
      </c>
      <c r="S78" s="3">
        <f t="shared" si="217"/>
        <v>4.82</v>
      </c>
      <c r="T78" s="4">
        <f t="shared" si="218"/>
        <v>4.82</v>
      </c>
      <c r="U78" s="3">
        <v>1.73</v>
      </c>
      <c r="V78" s="3">
        <f t="shared" si="219"/>
        <v>1.73</v>
      </c>
      <c r="W78" s="4">
        <f t="shared" si="220"/>
        <v>1.73</v>
      </c>
      <c r="X78" s="3">
        <v>3.26</v>
      </c>
      <c r="Y78" s="3">
        <f t="shared" si="221"/>
        <v>3.26</v>
      </c>
      <c r="Z78" s="21" t="str">
        <f t="shared" si="222"/>
        <v/>
      </c>
      <c r="AB78" s="13" t="s">
        <v>525</v>
      </c>
      <c r="AC78" s="13"/>
      <c r="AD78" s="14">
        <f>AD75-AD76</f>
        <v>2.3274099514150031</v>
      </c>
      <c r="AE78" s="14"/>
      <c r="AF78" s="14"/>
      <c r="AG78" s="14">
        <f>AG75-AG76</f>
        <v>3.8440904990602363</v>
      </c>
      <c r="AH78" s="14"/>
      <c r="AI78" s="14"/>
      <c r="AJ78" s="14">
        <f>AJ75-AJ76</f>
        <v>4.5670085648044791</v>
      </c>
      <c r="AK78" s="14"/>
      <c r="AL78" s="14"/>
      <c r="AM78" s="14">
        <f>AM75-AM76</f>
        <v>4.1531101040090963</v>
      </c>
      <c r="AN78" s="14"/>
      <c r="AO78" s="14"/>
      <c r="AP78" s="14">
        <f>AP75-AP76</f>
        <v>4.284541340323468</v>
      </c>
      <c r="AQ78" s="14"/>
      <c r="AR78" s="14"/>
      <c r="AS78" s="14">
        <f>AS75-AS76</f>
        <v>2.721909403833437</v>
      </c>
      <c r="AT78" s="14"/>
      <c r="AU78" s="14"/>
      <c r="AV78" s="14">
        <f>AV75-AV76</f>
        <v>2.1141942135514089</v>
      </c>
      <c r="AW78" s="14"/>
      <c r="AX78" s="14"/>
      <c r="AY78" s="14">
        <f>AY75-AY76</f>
        <v>2.6866674663345291</v>
      </c>
      <c r="AZ78" s="15"/>
      <c r="BB78" s="20" t="s">
        <v>573</v>
      </c>
      <c r="BC78" s="3">
        <v>3.95</v>
      </c>
      <c r="BD78" s="3">
        <f t="shared" si="239"/>
        <v>3.95</v>
      </c>
      <c r="BE78" s="4">
        <f t="shared" si="240"/>
        <v>3.95</v>
      </c>
      <c r="BF78" s="3">
        <v>4.29</v>
      </c>
      <c r="BG78" s="3">
        <f t="shared" si="241"/>
        <v>4.29</v>
      </c>
      <c r="BH78" s="4">
        <f t="shared" si="242"/>
        <v>4.29</v>
      </c>
      <c r="BI78" s="3">
        <v>4.17</v>
      </c>
      <c r="BJ78" s="3">
        <f t="shared" si="243"/>
        <v>4.17</v>
      </c>
      <c r="BK78" s="4">
        <f t="shared" si="244"/>
        <v>4.17</v>
      </c>
      <c r="BL78" s="3">
        <v>4.28</v>
      </c>
      <c r="BM78" s="3">
        <f t="shared" si="245"/>
        <v>4.28</v>
      </c>
      <c r="BN78" s="4">
        <f t="shared" si="246"/>
        <v>4.28</v>
      </c>
      <c r="BO78" s="3">
        <v>3.58</v>
      </c>
      <c r="BP78" s="3">
        <f t="shared" si="247"/>
        <v>3.58</v>
      </c>
      <c r="BQ78" s="4">
        <f t="shared" si="248"/>
        <v>3.58</v>
      </c>
      <c r="BR78" s="3">
        <v>3.14</v>
      </c>
      <c r="BS78" s="3">
        <f t="shared" si="249"/>
        <v>3.14</v>
      </c>
      <c r="BT78" s="4">
        <f t="shared" si="250"/>
        <v>3.14</v>
      </c>
      <c r="BU78" s="3">
        <v>1.62</v>
      </c>
      <c r="BV78" s="3">
        <f t="shared" si="251"/>
        <v>1.62</v>
      </c>
      <c r="BW78" s="4">
        <f t="shared" si="252"/>
        <v>1.62</v>
      </c>
      <c r="BX78" s="3">
        <v>1.32</v>
      </c>
      <c r="BY78" s="3">
        <f t="shared" si="253"/>
        <v>1.32</v>
      </c>
      <c r="BZ78" s="21">
        <f t="shared" si="254"/>
        <v>1.32</v>
      </c>
      <c r="CB78" s="20" t="s">
        <v>574</v>
      </c>
      <c r="CC78" s="3">
        <v>4.1500000000000004</v>
      </c>
      <c r="CD78" s="3">
        <f t="shared" si="255"/>
        <v>4.1500000000000004</v>
      </c>
      <c r="CE78" s="4">
        <f t="shared" si="256"/>
        <v>4.1500000000000004</v>
      </c>
      <c r="CF78" s="3">
        <v>3.48</v>
      </c>
      <c r="CG78" s="3">
        <f t="shared" si="257"/>
        <v>3.48</v>
      </c>
      <c r="CH78" s="4" t="str">
        <f t="shared" si="258"/>
        <v/>
      </c>
      <c r="CI78" s="3">
        <v>3.79</v>
      </c>
      <c r="CJ78" s="3">
        <f t="shared" si="259"/>
        <v>3.79</v>
      </c>
      <c r="CK78" s="4">
        <f t="shared" si="260"/>
        <v>3.79</v>
      </c>
      <c r="CL78" s="3">
        <v>5.21</v>
      </c>
      <c r="CM78" s="3">
        <f t="shared" si="261"/>
        <v>5.21</v>
      </c>
      <c r="CN78" s="4">
        <f t="shared" si="262"/>
        <v>5.21</v>
      </c>
      <c r="CO78" s="3">
        <v>5.45</v>
      </c>
      <c r="CP78" s="3">
        <f t="shared" si="263"/>
        <v>5.45</v>
      </c>
      <c r="CQ78" s="4">
        <f t="shared" si="264"/>
        <v>5.45</v>
      </c>
      <c r="CR78" s="3">
        <v>1.86</v>
      </c>
      <c r="CS78" s="3">
        <f t="shared" si="265"/>
        <v>1.86</v>
      </c>
      <c r="CT78" s="4">
        <f t="shared" si="266"/>
        <v>1.86</v>
      </c>
      <c r="CU78" s="3">
        <v>3.71</v>
      </c>
      <c r="CV78" s="3">
        <f t="shared" si="267"/>
        <v>3.71</v>
      </c>
      <c r="CW78" s="4">
        <f t="shared" si="268"/>
        <v>3.71</v>
      </c>
      <c r="CX78" s="3">
        <v>3.11</v>
      </c>
      <c r="CY78" s="3">
        <f t="shared" si="269"/>
        <v>3.11</v>
      </c>
      <c r="CZ78" s="21">
        <f t="shared" si="270"/>
        <v>3.11</v>
      </c>
      <c r="DB78" s="13" t="s">
        <v>544</v>
      </c>
      <c r="DC78" s="13"/>
      <c r="DD78" s="14"/>
      <c r="DE78" s="14">
        <f>(DE77/DE63)*100</f>
        <v>28.809908454496579</v>
      </c>
      <c r="DF78" s="14"/>
      <c r="DG78" s="14"/>
      <c r="DH78" s="14">
        <f t="shared" ref="DH78" si="318">(DH77/DH63)*100</f>
        <v>267.04302121860979</v>
      </c>
      <c r="DI78" s="14"/>
      <c r="DJ78" s="14"/>
      <c r="DK78" s="14">
        <f t="shared" ref="DK78" si="319">(DK77/DK63)*100</f>
        <v>107.04809961748177</v>
      </c>
      <c r="DL78" s="14"/>
      <c r="DM78" s="14"/>
      <c r="DN78" s="14">
        <f t="shared" ref="DN78" si="320">(DN77/DN63)*100</f>
        <v>72.94678316123904</v>
      </c>
      <c r="DO78" s="14"/>
      <c r="DP78" s="14"/>
      <c r="DQ78" s="14">
        <f t="shared" ref="DQ78" si="321">(DQ77/DQ63)*100</f>
        <v>204.31945713167175</v>
      </c>
      <c r="DR78" s="14"/>
      <c r="DS78" s="14"/>
      <c r="DT78" s="14">
        <f t="shared" ref="DT78" si="322">(DT77/DT63)*100</f>
        <v>163.10603074497422</v>
      </c>
      <c r="DU78" s="14"/>
      <c r="DV78" s="14"/>
      <c r="DW78" s="14">
        <f t="shared" ref="DW78" si="323">(DW77/DW63)*100</f>
        <v>27.685652487382839</v>
      </c>
      <c r="DX78" s="14"/>
      <c r="DY78" s="14"/>
      <c r="DZ78" s="15">
        <f t="shared" ref="DZ78" si="324">(DZ77/DZ63)*100</f>
        <v>-16.126401630988788</v>
      </c>
      <c r="EB78" s="13" t="s">
        <v>544</v>
      </c>
      <c r="EC78" s="13"/>
      <c r="ED78" s="14"/>
      <c r="EE78" s="14">
        <f>(EE77/EE63)*100</f>
        <v>437.38769868693811</v>
      </c>
      <c r="EF78" s="14"/>
      <c r="EG78" s="14"/>
      <c r="EH78" s="14">
        <f t="shared" ref="EH78" si="325">(EH77/EH63)*100</f>
        <v>40.240058195926203</v>
      </c>
      <c r="EI78" s="14"/>
      <c r="EJ78" s="14"/>
      <c r="EK78" s="14">
        <f t="shared" ref="EK78" si="326">(EK77/EK63)*100</f>
        <v>1472.5677830940983</v>
      </c>
      <c r="EL78" s="14"/>
      <c r="EM78" s="14"/>
      <c r="EN78" s="14">
        <f t="shared" ref="EN78" si="327">(EN77/EN63)*100</f>
        <v>285.35300316122243</v>
      </c>
      <c r="EO78" s="14"/>
      <c r="EP78" s="14"/>
      <c r="EQ78" s="14">
        <f t="shared" ref="EQ78" si="328">(EQ77/EQ63)*100</f>
        <v>135.20721412125872</v>
      </c>
      <c r="ER78" s="14"/>
      <c r="ES78" s="14"/>
      <c r="ET78" s="14">
        <f t="shared" ref="ET78" si="329">(ET77/ET63)*100</f>
        <v>105.45886075949366</v>
      </c>
      <c r="EU78" s="14"/>
      <c r="EV78" s="14"/>
      <c r="EW78" s="14">
        <f t="shared" ref="EW78" si="330">(EW77/EW63)*100</f>
        <v>315.94202898550736</v>
      </c>
      <c r="EX78" s="14"/>
      <c r="EY78" s="14"/>
      <c r="EZ78" s="15">
        <f t="shared" ref="EZ78" si="331">(EZ77/EZ63)*100</f>
        <v>155.10204081632637</v>
      </c>
      <c r="FB78" s="13" t="s">
        <v>544</v>
      </c>
      <c r="FC78" s="13"/>
      <c r="FD78" s="14"/>
      <c r="FE78" s="14">
        <f>(FE77/FE63)*100</f>
        <v>-68.762155718677448</v>
      </c>
      <c r="FF78" s="14"/>
      <c r="FG78" s="14"/>
      <c r="FH78" s="14">
        <f t="shared" ref="FH78" si="332">(FH77/FH63)*100</f>
        <v>218.30173124484759</v>
      </c>
      <c r="FI78" s="14"/>
      <c r="FJ78" s="14"/>
      <c r="FK78" s="14">
        <f>(FK77/FK63)*100</f>
        <v>196.6463809400492</v>
      </c>
      <c r="FL78" s="14"/>
      <c r="FM78" s="14"/>
      <c r="FN78" s="14">
        <f t="shared" ref="FN78" si="333">(FN77/FN63)*100</f>
        <v>27.9994496422674</v>
      </c>
      <c r="FO78" s="14"/>
      <c r="FP78" s="14"/>
      <c r="FQ78" s="14">
        <f>(FQ77/FQ63)*100</f>
        <v>102.59740259740259</v>
      </c>
      <c r="FR78" s="14"/>
      <c r="FS78" s="14"/>
      <c r="FT78" s="14">
        <f t="shared" ref="FT78" si="334">(FT77/FT63)*100</f>
        <v>34.058953074707787</v>
      </c>
      <c r="FU78" s="14"/>
      <c r="FV78" s="14"/>
      <c r="FW78" s="14">
        <f>(FW77/FW63)*100</f>
        <v>690.04149377593353</v>
      </c>
      <c r="FX78" s="14"/>
      <c r="FY78" s="14"/>
      <c r="FZ78" s="15">
        <f t="shared" ref="FZ78" si="335">(FZ77/FZ63)*100</f>
        <v>434.97584541062804</v>
      </c>
      <c r="GB78" s="13" t="s">
        <v>544</v>
      </c>
      <c r="GC78" s="13"/>
      <c r="GD78" s="14"/>
      <c r="GE78" s="14">
        <f>(GE77/GE63)*100</f>
        <v>392.94117647058806</v>
      </c>
      <c r="GF78" s="14"/>
      <c r="GG78" s="14"/>
      <c r="GH78" s="14">
        <f>(GH77/GH63)*100</f>
        <v>925.86043574360644</v>
      </c>
      <c r="GI78" s="14"/>
      <c r="GJ78" s="14"/>
      <c r="GK78" s="14">
        <f>(GK77/GK63)*100</f>
        <v>2404.0973111395629</v>
      </c>
      <c r="GL78" s="14"/>
      <c r="GM78" s="14"/>
      <c r="GN78" s="14">
        <f>(GN77/GN63)*100</f>
        <v>248.43102427471862</v>
      </c>
      <c r="GO78" s="14"/>
      <c r="GP78" s="14"/>
      <c r="GQ78" s="14">
        <f t="shared" ref="GQ78" si="336">(GQ77/GQ63)*100</f>
        <v>166.78639340798657</v>
      </c>
      <c r="GR78" s="14"/>
      <c r="GS78" s="14"/>
      <c r="GT78" s="14">
        <f>(GT77/GT63)*100</f>
        <v>164.19794088342729</v>
      </c>
      <c r="GU78" s="14"/>
      <c r="GV78" s="14"/>
      <c r="GW78" s="14">
        <f t="shared" ref="GW78" si="337">(GW77/GW63)*100</f>
        <v>1152.3335883703139</v>
      </c>
      <c r="GX78" s="14"/>
      <c r="GY78" s="14"/>
      <c r="GZ78" s="15">
        <f>(GZ77/GZ63)*100</f>
        <v>30.768492756404136</v>
      </c>
    </row>
    <row r="79" spans="2:208" ht="15.75" thickBot="1">
      <c r="B79" s="20" t="s">
        <v>575</v>
      </c>
      <c r="C79" s="3">
        <v>3.03</v>
      </c>
      <c r="D79" s="3">
        <f t="shared" si="207"/>
        <v>3.03</v>
      </c>
      <c r="E79" s="4">
        <f t="shared" si="208"/>
        <v>3.03</v>
      </c>
      <c r="F79" s="3">
        <v>4.4000000000000004</v>
      </c>
      <c r="G79" s="3">
        <f t="shared" si="209"/>
        <v>4.4000000000000004</v>
      </c>
      <c r="H79" s="4">
        <f t="shared" si="210"/>
        <v>4.4000000000000004</v>
      </c>
      <c r="I79" s="3">
        <v>4.22</v>
      </c>
      <c r="J79" s="3">
        <f t="shared" si="211"/>
        <v>4.22</v>
      </c>
      <c r="K79" s="4" t="str">
        <f t="shared" si="212"/>
        <v/>
      </c>
      <c r="L79" s="3">
        <v>1.36</v>
      </c>
      <c r="M79" s="3">
        <f t="shared" si="213"/>
        <v>1.36</v>
      </c>
      <c r="N79" s="4" t="str">
        <f t="shared" si="214"/>
        <v/>
      </c>
      <c r="O79" s="3">
        <v>4.32</v>
      </c>
      <c r="P79" s="3">
        <f t="shared" si="215"/>
        <v>4.32</v>
      </c>
      <c r="Q79" s="4">
        <f t="shared" si="216"/>
        <v>4.32</v>
      </c>
      <c r="R79" s="3">
        <v>4.8499999999999996</v>
      </c>
      <c r="S79" s="3">
        <f t="shared" si="217"/>
        <v>4.8499999999999996</v>
      </c>
      <c r="T79" s="4">
        <f t="shared" si="218"/>
        <v>4.8499999999999996</v>
      </c>
      <c r="U79" s="3">
        <v>1.74</v>
      </c>
      <c r="V79" s="3">
        <f t="shared" si="219"/>
        <v>1.74</v>
      </c>
      <c r="W79" s="4">
        <f t="shared" si="220"/>
        <v>1.74</v>
      </c>
      <c r="X79" s="3">
        <v>3.25</v>
      </c>
      <c r="Y79" s="3">
        <f t="shared" si="221"/>
        <v>3.25</v>
      </c>
      <c r="Z79" s="21" t="str">
        <f t="shared" si="222"/>
        <v/>
      </c>
      <c r="BB79" s="20" t="s">
        <v>576</v>
      </c>
      <c r="BC79" s="3">
        <v>1.43</v>
      </c>
      <c r="BD79" s="3">
        <f t="shared" si="239"/>
        <v>1.43</v>
      </c>
      <c r="BE79" s="4" t="str">
        <f t="shared" si="240"/>
        <v/>
      </c>
      <c r="BF79" s="3">
        <v>4.2699999999999996</v>
      </c>
      <c r="BG79" s="3">
        <f t="shared" si="241"/>
        <v>4.2699999999999996</v>
      </c>
      <c r="BH79" s="4">
        <f t="shared" si="242"/>
        <v>4.2699999999999996</v>
      </c>
      <c r="BI79" s="3">
        <v>4.1900000000000004</v>
      </c>
      <c r="BJ79" s="3">
        <f t="shared" si="243"/>
        <v>4.1900000000000004</v>
      </c>
      <c r="BK79" s="4">
        <f t="shared" si="244"/>
        <v>4.1900000000000004</v>
      </c>
      <c r="BL79" s="3">
        <v>4.3099999999999996</v>
      </c>
      <c r="BM79" s="3">
        <f t="shared" si="245"/>
        <v>4.3099999999999996</v>
      </c>
      <c r="BN79" s="4">
        <f t="shared" si="246"/>
        <v>4.3099999999999996</v>
      </c>
      <c r="BO79" s="3">
        <v>3.58</v>
      </c>
      <c r="BP79" s="3">
        <f t="shared" si="247"/>
        <v>3.58</v>
      </c>
      <c r="BQ79" s="4">
        <f t="shared" si="248"/>
        <v>3.58</v>
      </c>
      <c r="BR79" s="3">
        <v>3.14</v>
      </c>
      <c r="BS79" s="3">
        <f t="shared" si="249"/>
        <v>3.14</v>
      </c>
      <c r="BT79" s="4">
        <f t="shared" si="250"/>
        <v>3.14</v>
      </c>
      <c r="BU79" s="3">
        <v>1.63</v>
      </c>
      <c r="BV79" s="3">
        <f t="shared" si="251"/>
        <v>1.63</v>
      </c>
      <c r="BW79" s="4">
        <f t="shared" si="252"/>
        <v>1.63</v>
      </c>
      <c r="BX79" s="3">
        <v>1.24</v>
      </c>
      <c r="BY79" s="3">
        <f t="shared" si="253"/>
        <v>1.24</v>
      </c>
      <c r="BZ79" s="21">
        <f t="shared" si="254"/>
        <v>1.24</v>
      </c>
      <c r="CB79" s="20" t="s">
        <v>577</v>
      </c>
      <c r="CC79" s="3">
        <v>4.1399999999999997</v>
      </c>
      <c r="CD79" s="3">
        <f t="shared" si="255"/>
        <v>4.1399999999999997</v>
      </c>
      <c r="CE79" s="4">
        <f t="shared" si="256"/>
        <v>4.1399999999999997</v>
      </c>
      <c r="CF79" s="3">
        <v>2.72</v>
      </c>
      <c r="CG79" s="3">
        <f t="shared" si="257"/>
        <v>2.72</v>
      </c>
      <c r="CH79" s="4" t="str">
        <f t="shared" si="258"/>
        <v/>
      </c>
      <c r="CI79" s="3">
        <v>3.79</v>
      </c>
      <c r="CJ79" s="3">
        <f t="shared" si="259"/>
        <v>3.79</v>
      </c>
      <c r="CK79" s="4">
        <f t="shared" si="260"/>
        <v>3.79</v>
      </c>
      <c r="CL79" s="3">
        <v>5.16</v>
      </c>
      <c r="CM79" s="3">
        <f t="shared" si="261"/>
        <v>5.16</v>
      </c>
      <c r="CN79" s="4">
        <f t="shared" si="262"/>
        <v>5.16</v>
      </c>
      <c r="CO79" s="3">
        <v>5.0599999999999996</v>
      </c>
      <c r="CP79" s="3">
        <f t="shared" si="263"/>
        <v>5.0599999999999996</v>
      </c>
      <c r="CQ79" s="4">
        <f t="shared" si="264"/>
        <v>5.0599999999999996</v>
      </c>
      <c r="CR79" s="3">
        <v>1.87</v>
      </c>
      <c r="CS79" s="3">
        <f t="shared" si="265"/>
        <v>1.87</v>
      </c>
      <c r="CT79" s="4">
        <f t="shared" si="266"/>
        <v>1.87</v>
      </c>
      <c r="CU79" s="3">
        <v>3.77</v>
      </c>
      <c r="CV79" s="3">
        <f t="shared" si="267"/>
        <v>3.77</v>
      </c>
      <c r="CW79" s="4">
        <f t="shared" si="268"/>
        <v>3.77</v>
      </c>
      <c r="CX79" s="3">
        <v>0</v>
      </c>
      <c r="CY79" s="3" t="str">
        <f t="shared" si="269"/>
        <v/>
      </c>
      <c r="CZ79" s="21" t="str">
        <f t="shared" si="270"/>
        <v/>
      </c>
    </row>
    <row r="80" spans="2:208" ht="30">
      <c r="B80" s="20" t="s">
        <v>578</v>
      </c>
      <c r="C80" s="3">
        <v>3.02</v>
      </c>
      <c r="D80" s="3">
        <f t="shared" si="207"/>
        <v>3.02</v>
      </c>
      <c r="E80" s="4">
        <f t="shared" si="208"/>
        <v>3.02</v>
      </c>
      <c r="F80" s="3">
        <v>4.37</v>
      </c>
      <c r="G80" s="3">
        <f t="shared" si="209"/>
        <v>4.37</v>
      </c>
      <c r="H80" s="4">
        <f t="shared" si="210"/>
        <v>4.37</v>
      </c>
      <c r="I80" s="3">
        <v>5.28</v>
      </c>
      <c r="J80" s="3">
        <f t="shared" si="211"/>
        <v>5.28</v>
      </c>
      <c r="K80" s="4">
        <f t="shared" si="212"/>
        <v>5.28</v>
      </c>
      <c r="L80" s="3">
        <v>5.65</v>
      </c>
      <c r="M80" s="3">
        <f t="shared" si="213"/>
        <v>5.65</v>
      </c>
      <c r="N80" s="4">
        <f t="shared" si="214"/>
        <v>5.65</v>
      </c>
      <c r="O80" s="3">
        <v>4.33</v>
      </c>
      <c r="P80" s="3">
        <f t="shared" si="215"/>
        <v>4.33</v>
      </c>
      <c r="Q80" s="4">
        <f t="shared" si="216"/>
        <v>4.33</v>
      </c>
      <c r="R80" s="3">
        <v>4.82</v>
      </c>
      <c r="S80" s="3">
        <f t="shared" si="217"/>
        <v>4.82</v>
      </c>
      <c r="T80" s="4">
        <f t="shared" si="218"/>
        <v>4.82</v>
      </c>
      <c r="U80" s="3">
        <v>1.74</v>
      </c>
      <c r="V80" s="3">
        <f t="shared" si="219"/>
        <v>1.74</v>
      </c>
      <c r="W80" s="4">
        <f t="shared" si="220"/>
        <v>1.74</v>
      </c>
      <c r="X80" s="3">
        <v>2.2599999999999998</v>
      </c>
      <c r="Y80" s="3">
        <f t="shared" si="221"/>
        <v>2.2599999999999998</v>
      </c>
      <c r="Z80" s="21">
        <f t="shared" si="222"/>
        <v>2.2599999999999998</v>
      </c>
      <c r="AB80" s="80" t="s">
        <v>534</v>
      </c>
      <c r="AC80" s="7"/>
      <c r="AD80" s="8"/>
      <c r="AE80" s="8">
        <v>2.88</v>
      </c>
      <c r="AF80" s="8"/>
      <c r="AG80" s="8"/>
      <c r="AH80" s="8">
        <v>5.31</v>
      </c>
      <c r="AI80" s="8"/>
      <c r="AJ80" s="8"/>
      <c r="AK80" s="8">
        <v>5.04</v>
      </c>
      <c r="AL80" s="8"/>
      <c r="AM80" s="8"/>
      <c r="AN80" s="8">
        <v>6.21</v>
      </c>
      <c r="AO80" s="8"/>
      <c r="AP80" s="8"/>
      <c r="AQ80" s="8">
        <v>5.29</v>
      </c>
      <c r="AR80" s="8"/>
      <c r="AS80" s="8"/>
      <c r="AT80" s="8">
        <v>3.65</v>
      </c>
      <c r="AU80" s="8"/>
      <c r="AV80" s="8"/>
      <c r="AW80" s="8">
        <v>2.85</v>
      </c>
      <c r="AX80" s="8"/>
      <c r="AY80" s="8"/>
      <c r="AZ80" s="9">
        <v>3.06</v>
      </c>
      <c r="BB80" s="20" t="s">
        <v>579</v>
      </c>
      <c r="BC80" s="3">
        <v>3.94</v>
      </c>
      <c r="BD80" s="3">
        <f t="shared" si="239"/>
        <v>3.94</v>
      </c>
      <c r="BE80" s="4">
        <f t="shared" si="240"/>
        <v>3.94</v>
      </c>
      <c r="BF80" s="3">
        <v>4.26</v>
      </c>
      <c r="BG80" s="3">
        <f t="shared" si="241"/>
        <v>4.26</v>
      </c>
      <c r="BH80" s="4">
        <f t="shared" si="242"/>
        <v>4.26</v>
      </c>
      <c r="BI80" s="3">
        <v>4.17</v>
      </c>
      <c r="BJ80" s="3">
        <f t="shared" si="243"/>
        <v>4.17</v>
      </c>
      <c r="BK80" s="4">
        <f t="shared" si="244"/>
        <v>4.17</v>
      </c>
      <c r="BL80" s="3">
        <v>4.32</v>
      </c>
      <c r="BM80" s="3">
        <f t="shared" si="245"/>
        <v>4.32</v>
      </c>
      <c r="BN80" s="4">
        <f t="shared" si="246"/>
        <v>4.32</v>
      </c>
      <c r="BO80" s="3">
        <v>3.62</v>
      </c>
      <c r="BP80" s="3">
        <f t="shared" si="247"/>
        <v>3.62</v>
      </c>
      <c r="BQ80" s="4">
        <f t="shared" si="248"/>
        <v>3.62</v>
      </c>
      <c r="BR80" s="3">
        <v>3.11</v>
      </c>
      <c r="BS80" s="3">
        <f t="shared" si="249"/>
        <v>3.11</v>
      </c>
      <c r="BT80" s="4">
        <f t="shared" si="250"/>
        <v>3.11</v>
      </c>
      <c r="BU80" s="3">
        <v>1.67</v>
      </c>
      <c r="BV80" s="3">
        <f t="shared" si="251"/>
        <v>1.67</v>
      </c>
      <c r="BW80" s="4">
        <f t="shared" si="252"/>
        <v>1.67</v>
      </c>
      <c r="BX80" s="3">
        <v>1.21</v>
      </c>
      <c r="BY80" s="3">
        <f t="shared" si="253"/>
        <v>1.21</v>
      </c>
      <c r="BZ80" s="21">
        <f t="shared" si="254"/>
        <v>1.21</v>
      </c>
      <c r="CB80" s="20" t="s">
        <v>580</v>
      </c>
      <c r="CC80" s="3">
        <v>4.1399999999999997</v>
      </c>
      <c r="CD80" s="3">
        <f t="shared" si="255"/>
        <v>4.1399999999999997</v>
      </c>
      <c r="CE80" s="4">
        <f t="shared" si="256"/>
        <v>4.1399999999999997</v>
      </c>
      <c r="CF80" s="3">
        <v>6.08</v>
      </c>
      <c r="CG80" s="3">
        <f t="shared" si="257"/>
        <v>6.08</v>
      </c>
      <c r="CH80" s="4">
        <f t="shared" si="258"/>
        <v>6.08</v>
      </c>
      <c r="CI80" s="3">
        <v>3.79</v>
      </c>
      <c r="CJ80" s="3">
        <f t="shared" si="259"/>
        <v>3.79</v>
      </c>
      <c r="CK80" s="4">
        <f t="shared" si="260"/>
        <v>3.79</v>
      </c>
      <c r="CL80" s="3">
        <v>2.72</v>
      </c>
      <c r="CM80" s="3">
        <f t="shared" si="261"/>
        <v>2.72</v>
      </c>
      <c r="CN80" s="4" t="str">
        <f t="shared" si="262"/>
        <v/>
      </c>
      <c r="CO80" s="3">
        <v>5.49</v>
      </c>
      <c r="CP80" s="3">
        <f t="shared" si="263"/>
        <v>5.49</v>
      </c>
      <c r="CQ80" s="4">
        <f t="shared" si="264"/>
        <v>5.49</v>
      </c>
      <c r="CR80" s="3">
        <v>1.85</v>
      </c>
      <c r="CS80" s="3">
        <f t="shared" si="265"/>
        <v>1.85</v>
      </c>
      <c r="CT80" s="4">
        <f t="shared" si="266"/>
        <v>1.85</v>
      </c>
      <c r="CU80" s="3">
        <v>3.75</v>
      </c>
      <c r="CV80" s="3">
        <f t="shared" si="267"/>
        <v>3.75</v>
      </c>
      <c r="CW80" s="4">
        <f t="shared" si="268"/>
        <v>3.75</v>
      </c>
      <c r="CX80" s="3">
        <v>3.26</v>
      </c>
      <c r="CY80" s="3">
        <f t="shared" si="269"/>
        <v>3.26</v>
      </c>
      <c r="CZ80" s="21">
        <f t="shared" si="270"/>
        <v>3.26</v>
      </c>
    </row>
    <row r="81" spans="2:194">
      <c r="B81" s="20" t="s">
        <v>581</v>
      </c>
      <c r="C81" s="3">
        <v>3</v>
      </c>
      <c r="D81" s="3">
        <f t="shared" si="207"/>
        <v>3</v>
      </c>
      <c r="E81" s="4">
        <f t="shared" si="208"/>
        <v>3</v>
      </c>
      <c r="F81" s="3">
        <v>4.3899999999999997</v>
      </c>
      <c r="G81" s="3">
        <f t="shared" si="209"/>
        <v>4.3899999999999997</v>
      </c>
      <c r="H81" s="4">
        <f t="shared" si="210"/>
        <v>4.3899999999999997</v>
      </c>
      <c r="I81" s="3">
        <v>5.3</v>
      </c>
      <c r="J81" s="3">
        <f t="shared" si="211"/>
        <v>5.3</v>
      </c>
      <c r="K81" s="4">
        <f t="shared" si="212"/>
        <v>5.3</v>
      </c>
      <c r="L81" s="3">
        <v>5.66</v>
      </c>
      <c r="M81" s="3">
        <f t="shared" si="213"/>
        <v>5.66</v>
      </c>
      <c r="N81" s="4">
        <f t="shared" si="214"/>
        <v>5.66</v>
      </c>
      <c r="O81" s="3">
        <v>4.33</v>
      </c>
      <c r="P81" s="3">
        <f t="shared" si="215"/>
        <v>4.33</v>
      </c>
      <c r="Q81" s="4">
        <f t="shared" si="216"/>
        <v>4.33</v>
      </c>
      <c r="R81" s="3">
        <v>4.8499999999999996</v>
      </c>
      <c r="S81" s="3">
        <f t="shared" si="217"/>
        <v>4.8499999999999996</v>
      </c>
      <c r="T81" s="4">
        <f t="shared" si="218"/>
        <v>4.8499999999999996</v>
      </c>
      <c r="U81" s="3">
        <v>1.83</v>
      </c>
      <c r="V81" s="3">
        <f t="shared" si="219"/>
        <v>1.83</v>
      </c>
      <c r="W81" s="4">
        <f t="shared" si="220"/>
        <v>1.83</v>
      </c>
      <c r="X81" s="3">
        <v>3.27</v>
      </c>
      <c r="Y81" s="3">
        <f t="shared" si="221"/>
        <v>3.27</v>
      </c>
      <c r="Z81" s="21" t="str">
        <f t="shared" si="222"/>
        <v/>
      </c>
      <c r="AB81" s="34" t="s">
        <v>539</v>
      </c>
      <c r="AC81" s="10"/>
      <c r="AD81" s="11"/>
      <c r="AE81" s="11">
        <f>AE80-AE75</f>
        <v>4.2238805970149063E-2</v>
      </c>
      <c r="AF81" s="11"/>
      <c r="AG81" s="11"/>
      <c r="AH81" s="11">
        <f>AH80-AH75</f>
        <v>-0.1306153846153828</v>
      </c>
      <c r="AI81" s="11"/>
      <c r="AJ81" s="11"/>
      <c r="AK81" s="11">
        <f>AK80-AK75</f>
        <v>-0.12602941176470495</v>
      </c>
      <c r="AL81" s="11"/>
      <c r="AM81" s="11"/>
      <c r="AN81" s="11">
        <f>AN80-AN75</f>
        <v>0.35203389830508236</v>
      </c>
      <c r="AO81" s="11"/>
      <c r="AP81" s="11"/>
      <c r="AQ81" s="11">
        <f>AQ80-AQ75</f>
        <v>2.2499999999999964E-2</v>
      </c>
      <c r="AR81" s="11"/>
      <c r="AS81" s="11"/>
      <c r="AT81" s="11">
        <f>AT80-AT75</f>
        <v>-7.4603174603173006E-2</v>
      </c>
      <c r="AU81" s="11"/>
      <c r="AV81" s="11"/>
      <c r="AW81" s="11">
        <f>AW80-AW75</f>
        <v>-0.17451612903225877</v>
      </c>
      <c r="AX81" s="11"/>
      <c r="AY81" s="11"/>
      <c r="AZ81" s="12">
        <f>AZ80-AZ75</f>
        <v>-0.34403508771929836</v>
      </c>
      <c r="BB81" s="20" t="s">
        <v>582</v>
      </c>
      <c r="BC81" s="3">
        <v>3.91</v>
      </c>
      <c r="BD81" s="3">
        <f t="shared" si="239"/>
        <v>3.91</v>
      </c>
      <c r="BE81" s="4">
        <f t="shared" si="240"/>
        <v>3.91</v>
      </c>
      <c r="BF81" s="3">
        <v>4.3099999999999996</v>
      </c>
      <c r="BG81" s="3">
        <f t="shared" si="241"/>
        <v>4.3099999999999996</v>
      </c>
      <c r="BH81" s="4">
        <f t="shared" si="242"/>
        <v>4.3099999999999996</v>
      </c>
      <c r="BI81" s="3">
        <v>4.16</v>
      </c>
      <c r="BJ81" s="3">
        <f t="shared" si="243"/>
        <v>4.16</v>
      </c>
      <c r="BK81" s="4">
        <f t="shared" si="244"/>
        <v>4.16</v>
      </c>
      <c r="BL81" s="3">
        <v>4.2699999999999996</v>
      </c>
      <c r="BM81" s="3">
        <f t="shared" si="245"/>
        <v>4.2699999999999996</v>
      </c>
      <c r="BN81" s="4">
        <f t="shared" si="246"/>
        <v>4.2699999999999996</v>
      </c>
      <c r="BO81" s="3">
        <v>3.64</v>
      </c>
      <c r="BP81" s="3">
        <f t="shared" si="247"/>
        <v>3.64</v>
      </c>
      <c r="BQ81" s="4">
        <f t="shared" si="248"/>
        <v>3.64</v>
      </c>
      <c r="BR81" s="3">
        <v>3.12</v>
      </c>
      <c r="BS81" s="3">
        <f t="shared" si="249"/>
        <v>3.12</v>
      </c>
      <c r="BT81" s="4">
        <f t="shared" si="250"/>
        <v>3.12</v>
      </c>
      <c r="BU81" s="3">
        <v>1.65</v>
      </c>
      <c r="BV81" s="3">
        <f t="shared" si="251"/>
        <v>1.65</v>
      </c>
      <c r="BW81" s="4">
        <f t="shared" si="252"/>
        <v>1.65</v>
      </c>
      <c r="BX81" s="3">
        <v>1.25</v>
      </c>
      <c r="BY81" s="3">
        <f t="shared" si="253"/>
        <v>1.25</v>
      </c>
      <c r="BZ81" s="21">
        <f t="shared" si="254"/>
        <v>1.25</v>
      </c>
      <c r="CB81" s="20" t="s">
        <v>583</v>
      </c>
      <c r="CC81" s="3">
        <v>4.1500000000000004</v>
      </c>
      <c r="CD81" s="3">
        <f t="shared" si="255"/>
        <v>4.1500000000000004</v>
      </c>
      <c r="CE81" s="4">
        <f t="shared" si="256"/>
        <v>4.1500000000000004</v>
      </c>
      <c r="CF81" s="3">
        <v>6.08</v>
      </c>
      <c r="CG81" s="3">
        <f t="shared" si="257"/>
        <v>6.08</v>
      </c>
      <c r="CH81" s="4">
        <f t="shared" si="258"/>
        <v>6.08</v>
      </c>
      <c r="CI81" s="3">
        <v>3.76</v>
      </c>
      <c r="CJ81" s="3">
        <f t="shared" si="259"/>
        <v>3.76</v>
      </c>
      <c r="CK81" s="4">
        <f t="shared" si="260"/>
        <v>3.76</v>
      </c>
      <c r="CL81" s="3">
        <v>5.17</v>
      </c>
      <c r="CM81" s="3">
        <f t="shared" si="261"/>
        <v>5.17</v>
      </c>
      <c r="CN81" s="4">
        <f t="shared" si="262"/>
        <v>5.17</v>
      </c>
      <c r="CO81" s="3">
        <v>5.0599999999999996</v>
      </c>
      <c r="CP81" s="3">
        <f t="shared" si="263"/>
        <v>5.0599999999999996</v>
      </c>
      <c r="CQ81" s="4">
        <f t="shared" si="264"/>
        <v>5.0599999999999996</v>
      </c>
      <c r="CR81" s="3">
        <v>1.83</v>
      </c>
      <c r="CS81" s="3">
        <f t="shared" si="265"/>
        <v>1.83</v>
      </c>
      <c r="CT81" s="4">
        <f t="shared" si="266"/>
        <v>1.83</v>
      </c>
      <c r="CU81" s="3">
        <v>3.75</v>
      </c>
      <c r="CV81" s="3">
        <f t="shared" si="267"/>
        <v>3.75</v>
      </c>
      <c r="CW81" s="4">
        <f t="shared" si="268"/>
        <v>3.75</v>
      </c>
      <c r="CX81" s="3">
        <v>3.2</v>
      </c>
      <c r="CY81" s="3">
        <f t="shared" si="269"/>
        <v>3.2</v>
      </c>
      <c r="CZ81" s="21">
        <f t="shared" si="270"/>
        <v>3.2</v>
      </c>
    </row>
    <row r="82" spans="2:194" ht="15.75" thickBot="1">
      <c r="B82" s="20" t="s">
        <v>584</v>
      </c>
      <c r="C82" s="3">
        <v>3.01</v>
      </c>
      <c r="D82" s="3">
        <f t="shared" si="207"/>
        <v>3.01</v>
      </c>
      <c r="E82" s="4">
        <f t="shared" si="208"/>
        <v>3.01</v>
      </c>
      <c r="F82" s="3">
        <v>4.4000000000000004</v>
      </c>
      <c r="G82" s="3">
        <f t="shared" si="209"/>
        <v>4.4000000000000004</v>
      </c>
      <c r="H82" s="4">
        <f t="shared" si="210"/>
        <v>4.4000000000000004</v>
      </c>
      <c r="I82" s="3">
        <v>1.36</v>
      </c>
      <c r="J82" s="3">
        <f t="shared" si="211"/>
        <v>1.36</v>
      </c>
      <c r="K82" s="4" t="str">
        <f t="shared" si="212"/>
        <v/>
      </c>
      <c r="L82" s="3">
        <v>5.65</v>
      </c>
      <c r="M82" s="3">
        <f t="shared" si="213"/>
        <v>5.65</v>
      </c>
      <c r="N82" s="4">
        <f t="shared" si="214"/>
        <v>5.65</v>
      </c>
      <c r="O82" s="3">
        <v>4.3099999999999996</v>
      </c>
      <c r="P82" s="3">
        <f t="shared" si="215"/>
        <v>4.3099999999999996</v>
      </c>
      <c r="Q82" s="4">
        <f t="shared" si="216"/>
        <v>4.3099999999999996</v>
      </c>
      <c r="R82" s="3">
        <v>4.8899999999999997</v>
      </c>
      <c r="S82" s="3">
        <f t="shared" si="217"/>
        <v>4.8899999999999997</v>
      </c>
      <c r="T82" s="4">
        <f t="shared" si="218"/>
        <v>4.8899999999999997</v>
      </c>
      <c r="U82" s="3">
        <v>1.8</v>
      </c>
      <c r="V82" s="3">
        <f t="shared" si="219"/>
        <v>1.8</v>
      </c>
      <c r="W82" s="4">
        <f t="shared" si="220"/>
        <v>1.8</v>
      </c>
      <c r="X82" s="3">
        <v>2.27</v>
      </c>
      <c r="Y82" s="3">
        <f t="shared" si="221"/>
        <v>2.27</v>
      </c>
      <c r="Z82" s="21">
        <f t="shared" si="222"/>
        <v>2.27</v>
      </c>
      <c r="AB82" s="36" t="s">
        <v>544</v>
      </c>
      <c r="AC82" s="13"/>
      <c r="AD82" s="14"/>
      <c r="AE82" s="14">
        <f>(AE81/AE75)*100</f>
        <v>1.4884552674485809</v>
      </c>
      <c r="AF82" s="14"/>
      <c r="AG82" s="14"/>
      <c r="AH82" s="14">
        <f>(AH81/AH75)*100</f>
        <v>-2.400746521886632</v>
      </c>
      <c r="AI82" s="14"/>
      <c r="AJ82" s="14"/>
      <c r="AK82" s="14">
        <f>(AK81/AK75)*100</f>
        <v>-2.4395798343248991</v>
      </c>
      <c r="AL82" s="14"/>
      <c r="AM82" s="14"/>
      <c r="AN82" s="14">
        <f>(AN81/AN75)*100</f>
        <v>6.0094901915397987</v>
      </c>
      <c r="AO82" s="14"/>
      <c r="AP82" s="14"/>
      <c r="AQ82" s="14">
        <f>(AQ81/AQ75)*100</f>
        <v>0.4271476032273368</v>
      </c>
      <c r="AR82" s="14"/>
      <c r="AS82" s="14"/>
      <c r="AT82" s="14">
        <f>(AT81/AT75)*100</f>
        <v>-2.0029831664180273</v>
      </c>
      <c r="AU82" s="14"/>
      <c r="AV82" s="14"/>
      <c r="AW82" s="14">
        <f>(AW81/AW75)*100</f>
        <v>-5.7700511945392714</v>
      </c>
      <c r="AX82" s="14"/>
      <c r="AY82" s="14"/>
      <c r="AZ82" s="15">
        <f>(AZ81/AZ75)*100</f>
        <v>-10.106684533319592</v>
      </c>
      <c r="BB82" s="20" t="s">
        <v>585</v>
      </c>
      <c r="BC82" s="3">
        <v>3.9</v>
      </c>
      <c r="BD82" s="3">
        <f t="shared" si="239"/>
        <v>3.9</v>
      </c>
      <c r="BE82" s="4">
        <f t="shared" si="240"/>
        <v>3.9</v>
      </c>
      <c r="BF82" s="3">
        <v>4.28</v>
      </c>
      <c r="BG82" s="3">
        <f t="shared" si="241"/>
        <v>4.28</v>
      </c>
      <c r="BH82" s="4">
        <f t="shared" si="242"/>
        <v>4.28</v>
      </c>
      <c r="BI82" s="3">
        <v>4.1500000000000004</v>
      </c>
      <c r="BJ82" s="3">
        <f t="shared" si="243"/>
        <v>4.1500000000000004</v>
      </c>
      <c r="BK82" s="4">
        <f t="shared" si="244"/>
        <v>4.1500000000000004</v>
      </c>
      <c r="BL82" s="3">
        <v>4.28</v>
      </c>
      <c r="BM82" s="3">
        <f t="shared" si="245"/>
        <v>4.28</v>
      </c>
      <c r="BN82" s="4">
        <f t="shared" si="246"/>
        <v>4.28</v>
      </c>
      <c r="BO82" s="3">
        <v>3.62</v>
      </c>
      <c r="BP82" s="3">
        <f t="shared" si="247"/>
        <v>3.62</v>
      </c>
      <c r="BQ82" s="4">
        <f t="shared" si="248"/>
        <v>3.62</v>
      </c>
      <c r="BR82" s="3">
        <v>3.13</v>
      </c>
      <c r="BS82" s="3">
        <f t="shared" si="249"/>
        <v>3.13</v>
      </c>
      <c r="BT82" s="4">
        <f t="shared" si="250"/>
        <v>3.13</v>
      </c>
      <c r="BU82" s="3">
        <v>1.65</v>
      </c>
      <c r="BV82" s="3">
        <f t="shared" si="251"/>
        <v>1.65</v>
      </c>
      <c r="BW82" s="4">
        <f t="shared" si="252"/>
        <v>1.65</v>
      </c>
      <c r="BX82" s="3">
        <v>1.24</v>
      </c>
      <c r="BY82" s="3">
        <f t="shared" si="253"/>
        <v>1.24</v>
      </c>
      <c r="BZ82" s="21">
        <f t="shared" si="254"/>
        <v>1.24</v>
      </c>
      <c r="CB82" s="20" t="s">
        <v>586</v>
      </c>
      <c r="CC82" s="3">
        <v>4.17</v>
      </c>
      <c r="CD82" s="3">
        <f t="shared" si="255"/>
        <v>4.17</v>
      </c>
      <c r="CE82" s="4">
        <f t="shared" si="256"/>
        <v>4.17</v>
      </c>
      <c r="CF82" s="3">
        <v>6.06</v>
      </c>
      <c r="CG82" s="3">
        <f t="shared" si="257"/>
        <v>6.06</v>
      </c>
      <c r="CH82" s="4">
        <f t="shared" si="258"/>
        <v>6.06</v>
      </c>
      <c r="CI82" s="3">
        <v>3.79</v>
      </c>
      <c r="CJ82" s="3">
        <f t="shared" si="259"/>
        <v>3.79</v>
      </c>
      <c r="CK82" s="4">
        <f t="shared" si="260"/>
        <v>3.79</v>
      </c>
      <c r="CL82" s="3">
        <v>3.93</v>
      </c>
      <c r="CM82" s="3">
        <f t="shared" si="261"/>
        <v>3.93</v>
      </c>
      <c r="CN82" s="4" t="str">
        <f t="shared" si="262"/>
        <v/>
      </c>
      <c r="CO82" s="3">
        <v>5.46</v>
      </c>
      <c r="CP82" s="3">
        <f t="shared" si="263"/>
        <v>5.46</v>
      </c>
      <c r="CQ82" s="4">
        <f t="shared" si="264"/>
        <v>5.46</v>
      </c>
      <c r="CR82" s="3">
        <v>1.87</v>
      </c>
      <c r="CS82" s="3">
        <f t="shared" si="265"/>
        <v>1.87</v>
      </c>
      <c r="CT82" s="4">
        <f t="shared" si="266"/>
        <v>1.87</v>
      </c>
      <c r="CU82" s="3">
        <v>3.72</v>
      </c>
      <c r="CV82" s="3">
        <f t="shared" si="267"/>
        <v>3.72</v>
      </c>
      <c r="CW82" s="4">
        <f t="shared" si="268"/>
        <v>3.72</v>
      </c>
      <c r="CX82" s="3">
        <v>0</v>
      </c>
      <c r="CY82" s="3" t="str">
        <f t="shared" si="269"/>
        <v/>
      </c>
      <c r="CZ82" s="21" t="str">
        <f t="shared" si="270"/>
        <v/>
      </c>
    </row>
    <row r="83" spans="2:194" ht="15.75" thickBot="1">
      <c r="B83" s="20" t="s">
        <v>587</v>
      </c>
      <c r="C83" s="3">
        <v>3.02</v>
      </c>
      <c r="D83" s="3">
        <f t="shared" si="207"/>
        <v>3.02</v>
      </c>
      <c r="E83" s="4">
        <f t="shared" si="208"/>
        <v>3.02</v>
      </c>
      <c r="F83" s="3">
        <v>4.41</v>
      </c>
      <c r="G83" s="3">
        <f t="shared" si="209"/>
        <v>4.41</v>
      </c>
      <c r="H83" s="4">
        <f t="shared" si="210"/>
        <v>4.41</v>
      </c>
      <c r="I83" s="3">
        <v>2.0099999999999998</v>
      </c>
      <c r="J83" s="3">
        <f t="shared" si="211"/>
        <v>2.0099999999999998</v>
      </c>
      <c r="K83" s="4" t="str">
        <f t="shared" si="212"/>
        <v/>
      </c>
      <c r="L83" s="3">
        <v>2.37</v>
      </c>
      <c r="M83" s="3">
        <f t="shared" si="213"/>
        <v>2.37</v>
      </c>
      <c r="N83" s="4" t="str">
        <f t="shared" si="214"/>
        <v/>
      </c>
      <c r="O83" s="3">
        <v>2.4300000000000002</v>
      </c>
      <c r="P83" s="3">
        <f t="shared" si="215"/>
        <v>2.4300000000000002</v>
      </c>
      <c r="Q83" s="4" t="str">
        <f t="shared" si="216"/>
        <v/>
      </c>
      <c r="R83" s="3">
        <v>2.2400000000000002</v>
      </c>
      <c r="S83" s="3">
        <f t="shared" si="217"/>
        <v>2.2400000000000002</v>
      </c>
      <c r="T83" s="4" t="str">
        <f t="shared" si="218"/>
        <v/>
      </c>
      <c r="U83" s="3">
        <v>1.81</v>
      </c>
      <c r="V83" s="3">
        <f t="shared" si="219"/>
        <v>1.81</v>
      </c>
      <c r="W83" s="4">
        <f t="shared" si="220"/>
        <v>1.81</v>
      </c>
      <c r="X83" s="3">
        <v>2.25</v>
      </c>
      <c r="Y83" s="3">
        <f t="shared" si="221"/>
        <v>2.25</v>
      </c>
      <c r="Z83" s="21">
        <f t="shared" si="222"/>
        <v>2.25</v>
      </c>
      <c r="BB83" s="20" t="s">
        <v>588</v>
      </c>
      <c r="BC83" s="3">
        <v>3.94</v>
      </c>
      <c r="BD83" s="3">
        <f t="shared" si="239"/>
        <v>3.94</v>
      </c>
      <c r="BE83" s="4">
        <f t="shared" si="240"/>
        <v>3.94</v>
      </c>
      <c r="BF83" s="3">
        <v>4.2300000000000004</v>
      </c>
      <c r="BG83" s="3">
        <f t="shared" si="241"/>
        <v>4.2300000000000004</v>
      </c>
      <c r="BH83" s="4">
        <f t="shared" si="242"/>
        <v>4.2300000000000004</v>
      </c>
      <c r="BI83" s="3">
        <v>4.17</v>
      </c>
      <c r="BJ83" s="3">
        <f t="shared" si="243"/>
        <v>4.17</v>
      </c>
      <c r="BK83" s="4">
        <f t="shared" si="244"/>
        <v>4.17</v>
      </c>
      <c r="BL83" s="3">
        <v>4.26</v>
      </c>
      <c r="BM83" s="3">
        <f t="shared" si="245"/>
        <v>4.26</v>
      </c>
      <c r="BN83" s="4">
        <f t="shared" si="246"/>
        <v>4.26</v>
      </c>
      <c r="BO83" s="3">
        <v>3.58</v>
      </c>
      <c r="BP83" s="3">
        <f t="shared" si="247"/>
        <v>3.58</v>
      </c>
      <c r="BQ83" s="4">
        <f t="shared" si="248"/>
        <v>3.58</v>
      </c>
      <c r="BR83" s="3">
        <v>3.12</v>
      </c>
      <c r="BS83" s="3">
        <f t="shared" si="249"/>
        <v>3.12</v>
      </c>
      <c r="BT83" s="4">
        <f t="shared" si="250"/>
        <v>3.12</v>
      </c>
      <c r="BU83" s="3">
        <v>1.63</v>
      </c>
      <c r="BV83" s="3">
        <f t="shared" si="251"/>
        <v>1.63</v>
      </c>
      <c r="BW83" s="4">
        <f t="shared" si="252"/>
        <v>1.63</v>
      </c>
      <c r="BX83" s="3">
        <v>1.25</v>
      </c>
      <c r="BY83" s="3">
        <f t="shared" si="253"/>
        <v>1.25</v>
      </c>
      <c r="BZ83" s="21">
        <f t="shared" si="254"/>
        <v>1.25</v>
      </c>
      <c r="CB83" s="20" t="s">
        <v>589</v>
      </c>
      <c r="CC83" s="3">
        <v>4.1900000000000004</v>
      </c>
      <c r="CD83" s="3">
        <f t="shared" si="255"/>
        <v>4.1900000000000004</v>
      </c>
      <c r="CE83" s="4">
        <f t="shared" si="256"/>
        <v>4.1900000000000004</v>
      </c>
      <c r="CF83" s="3">
        <v>6.09</v>
      </c>
      <c r="CG83" s="3">
        <f t="shared" si="257"/>
        <v>6.09</v>
      </c>
      <c r="CH83" s="4">
        <f t="shared" si="258"/>
        <v>6.09</v>
      </c>
      <c r="CI83" s="3">
        <v>3.79</v>
      </c>
      <c r="CJ83" s="3">
        <f t="shared" si="259"/>
        <v>3.79</v>
      </c>
      <c r="CK83" s="4">
        <f t="shared" si="260"/>
        <v>3.79</v>
      </c>
      <c r="CL83" s="3">
        <v>6.22</v>
      </c>
      <c r="CM83" s="3">
        <f t="shared" si="261"/>
        <v>6.22</v>
      </c>
      <c r="CN83" s="4" t="str">
        <f t="shared" si="262"/>
        <v/>
      </c>
      <c r="CO83" s="3">
        <v>4.78</v>
      </c>
      <c r="CP83" s="3">
        <f t="shared" si="263"/>
        <v>4.78</v>
      </c>
      <c r="CQ83" s="4">
        <f t="shared" si="264"/>
        <v>4.78</v>
      </c>
      <c r="CR83" s="3">
        <v>0.92</v>
      </c>
      <c r="CS83" s="3">
        <f t="shared" si="265"/>
        <v>0.92</v>
      </c>
      <c r="CT83" s="4" t="str">
        <f t="shared" si="266"/>
        <v/>
      </c>
      <c r="CU83" s="3">
        <v>3.78</v>
      </c>
      <c r="CV83" s="3">
        <f t="shared" si="267"/>
        <v>3.78</v>
      </c>
      <c r="CW83" s="4">
        <f t="shared" si="268"/>
        <v>3.78</v>
      </c>
      <c r="CX83" s="3">
        <v>1.88</v>
      </c>
      <c r="CY83" s="3">
        <f t="shared" si="269"/>
        <v>1.88</v>
      </c>
      <c r="CZ83" s="21" t="str">
        <f t="shared" si="270"/>
        <v/>
      </c>
    </row>
    <row r="84" spans="2:194">
      <c r="B84" s="20" t="s">
        <v>590</v>
      </c>
      <c r="C84" s="3">
        <v>3.02</v>
      </c>
      <c r="D84" s="3">
        <f t="shared" si="207"/>
        <v>3.02</v>
      </c>
      <c r="E84" s="4">
        <f t="shared" si="208"/>
        <v>3.02</v>
      </c>
      <c r="F84" s="3">
        <v>4.4000000000000004</v>
      </c>
      <c r="G84" s="3">
        <f t="shared" si="209"/>
        <v>4.4000000000000004</v>
      </c>
      <c r="H84" s="4">
        <f t="shared" si="210"/>
        <v>4.4000000000000004</v>
      </c>
      <c r="I84" s="3">
        <v>5.28</v>
      </c>
      <c r="J84" s="3">
        <f t="shared" si="211"/>
        <v>5.28</v>
      </c>
      <c r="K84" s="4">
        <f t="shared" si="212"/>
        <v>5.28</v>
      </c>
      <c r="L84" s="3">
        <v>5.66</v>
      </c>
      <c r="M84" s="3">
        <f t="shared" si="213"/>
        <v>5.66</v>
      </c>
      <c r="N84" s="4">
        <f t="shared" si="214"/>
        <v>5.66</v>
      </c>
      <c r="O84" s="3">
        <v>4.3499999999999996</v>
      </c>
      <c r="P84" s="3">
        <f t="shared" si="215"/>
        <v>4.3499999999999996</v>
      </c>
      <c r="Q84" s="4">
        <f t="shared" si="216"/>
        <v>4.3499999999999996</v>
      </c>
      <c r="R84" s="3">
        <v>4.8099999999999996</v>
      </c>
      <c r="S84" s="3">
        <f t="shared" si="217"/>
        <v>4.8099999999999996</v>
      </c>
      <c r="T84" s="4">
        <f t="shared" si="218"/>
        <v>4.8099999999999996</v>
      </c>
      <c r="U84" s="3">
        <v>1.75</v>
      </c>
      <c r="V84" s="3">
        <f t="shared" si="219"/>
        <v>1.75</v>
      </c>
      <c r="W84" s="4">
        <f t="shared" si="220"/>
        <v>1.75</v>
      </c>
      <c r="X84" s="3">
        <v>2.2400000000000002</v>
      </c>
      <c r="Y84" s="3">
        <f t="shared" si="221"/>
        <v>2.2400000000000002</v>
      </c>
      <c r="Z84" s="21">
        <f t="shared" si="222"/>
        <v>2.2400000000000002</v>
      </c>
      <c r="AB84" s="81" t="s">
        <v>553</v>
      </c>
      <c r="AC84" s="7"/>
      <c r="AD84" s="8"/>
      <c r="AE84" s="8">
        <v>2.84</v>
      </c>
      <c r="AF84" s="8"/>
      <c r="AG84" s="8"/>
      <c r="AH84" s="8">
        <v>5.41</v>
      </c>
      <c r="AI84" s="8"/>
      <c r="AJ84" s="8"/>
      <c r="AK84" s="8">
        <v>5.0999999999999996</v>
      </c>
      <c r="AL84" s="8"/>
      <c r="AM84" s="8"/>
      <c r="AN84" s="8">
        <v>6.17</v>
      </c>
      <c r="AO84" s="8"/>
      <c r="AP84" s="8"/>
      <c r="AQ84" s="8">
        <v>5.33</v>
      </c>
      <c r="AR84" s="8"/>
      <c r="AS84" s="8"/>
      <c r="AT84" s="8">
        <v>3.65</v>
      </c>
      <c r="AU84" s="8"/>
      <c r="AV84" s="8"/>
      <c r="AW84" s="8">
        <v>2.94</v>
      </c>
      <c r="AX84" s="8"/>
      <c r="AY84" s="8"/>
      <c r="AZ84" s="9">
        <v>3.12</v>
      </c>
      <c r="BB84" s="20" t="s">
        <v>591</v>
      </c>
      <c r="BC84" s="3">
        <v>3.93</v>
      </c>
      <c r="BD84" s="3">
        <f t="shared" si="239"/>
        <v>3.93</v>
      </c>
      <c r="BE84" s="4">
        <f t="shared" si="240"/>
        <v>3.93</v>
      </c>
      <c r="BF84" s="3">
        <v>4.25</v>
      </c>
      <c r="BG84" s="3">
        <f t="shared" si="241"/>
        <v>4.25</v>
      </c>
      <c r="BH84" s="4">
        <f t="shared" si="242"/>
        <v>4.25</v>
      </c>
      <c r="BI84" s="3">
        <v>4.1399999999999997</v>
      </c>
      <c r="BJ84" s="3">
        <f t="shared" si="243"/>
        <v>4.1399999999999997</v>
      </c>
      <c r="BK84" s="4">
        <f t="shared" si="244"/>
        <v>4.1399999999999997</v>
      </c>
      <c r="BL84" s="3">
        <v>4.3099999999999996</v>
      </c>
      <c r="BM84" s="3">
        <f t="shared" si="245"/>
        <v>4.3099999999999996</v>
      </c>
      <c r="BN84" s="4">
        <f t="shared" si="246"/>
        <v>4.3099999999999996</v>
      </c>
      <c r="BO84" s="3">
        <v>3.57</v>
      </c>
      <c r="BP84" s="3">
        <f t="shared" si="247"/>
        <v>3.57</v>
      </c>
      <c r="BQ84" s="4">
        <f t="shared" si="248"/>
        <v>3.57</v>
      </c>
      <c r="BR84" s="3">
        <v>3.13</v>
      </c>
      <c r="BS84" s="3">
        <f t="shared" si="249"/>
        <v>3.13</v>
      </c>
      <c r="BT84" s="4">
        <f t="shared" si="250"/>
        <v>3.13</v>
      </c>
      <c r="BU84" s="3">
        <v>1.63</v>
      </c>
      <c r="BV84" s="3">
        <f t="shared" si="251"/>
        <v>1.63</v>
      </c>
      <c r="BW84" s="4">
        <f t="shared" si="252"/>
        <v>1.63</v>
      </c>
      <c r="BX84" s="3">
        <v>1.29</v>
      </c>
      <c r="BY84" s="3">
        <f t="shared" si="253"/>
        <v>1.29</v>
      </c>
      <c r="BZ84" s="21">
        <f t="shared" si="254"/>
        <v>1.29</v>
      </c>
      <c r="CB84" s="20" t="s">
        <v>592</v>
      </c>
      <c r="CC84" s="3">
        <v>4.1399999999999997</v>
      </c>
      <c r="CD84" s="3">
        <f t="shared" si="255"/>
        <v>4.1399999999999997</v>
      </c>
      <c r="CE84" s="4">
        <f t="shared" si="256"/>
        <v>4.1399999999999997</v>
      </c>
      <c r="CF84" s="3">
        <v>6.11</v>
      </c>
      <c r="CG84" s="3">
        <f t="shared" si="257"/>
        <v>6.11</v>
      </c>
      <c r="CH84" s="4">
        <f t="shared" si="258"/>
        <v>6.11</v>
      </c>
      <c r="CI84" s="3">
        <v>3.83</v>
      </c>
      <c r="CJ84" s="3">
        <f t="shared" si="259"/>
        <v>3.83</v>
      </c>
      <c r="CK84" s="4">
        <f t="shared" si="260"/>
        <v>3.83</v>
      </c>
      <c r="CL84" s="3">
        <v>5.12</v>
      </c>
      <c r="CM84" s="3">
        <f t="shared" si="261"/>
        <v>5.12</v>
      </c>
      <c r="CN84" s="4">
        <f t="shared" si="262"/>
        <v>5.12</v>
      </c>
      <c r="CO84" s="3">
        <v>5.45</v>
      </c>
      <c r="CP84" s="3">
        <f t="shared" si="263"/>
        <v>5.45</v>
      </c>
      <c r="CQ84" s="4">
        <f t="shared" si="264"/>
        <v>5.45</v>
      </c>
      <c r="CR84" s="3">
        <v>0.97</v>
      </c>
      <c r="CS84" s="3">
        <f t="shared" si="265"/>
        <v>0.97</v>
      </c>
      <c r="CT84" s="4" t="str">
        <f t="shared" si="266"/>
        <v/>
      </c>
      <c r="CU84" s="3">
        <v>3.76</v>
      </c>
      <c r="CV84" s="3">
        <f t="shared" si="267"/>
        <v>3.76</v>
      </c>
      <c r="CW84" s="4">
        <f t="shared" si="268"/>
        <v>3.76</v>
      </c>
      <c r="CX84" s="3">
        <v>3.14</v>
      </c>
      <c r="CY84" s="3">
        <f t="shared" si="269"/>
        <v>3.14</v>
      </c>
      <c r="CZ84" s="21">
        <f t="shared" si="270"/>
        <v>3.14</v>
      </c>
    </row>
    <row r="85" spans="2:194">
      <c r="B85" s="20" t="s">
        <v>593</v>
      </c>
      <c r="C85" s="3">
        <v>3.03</v>
      </c>
      <c r="D85" s="3">
        <f t="shared" si="207"/>
        <v>3.03</v>
      </c>
      <c r="E85" s="4">
        <f t="shared" si="208"/>
        <v>3.03</v>
      </c>
      <c r="F85" s="3">
        <v>0</v>
      </c>
      <c r="G85" s="3" t="str">
        <f t="shared" si="209"/>
        <v/>
      </c>
      <c r="H85" s="4" t="str">
        <f t="shared" si="210"/>
        <v/>
      </c>
      <c r="I85" s="3">
        <v>5.32</v>
      </c>
      <c r="J85" s="3">
        <f t="shared" si="211"/>
        <v>5.32</v>
      </c>
      <c r="K85" s="4">
        <f t="shared" si="212"/>
        <v>5.32</v>
      </c>
      <c r="L85" s="3">
        <v>5.63</v>
      </c>
      <c r="M85" s="3">
        <f t="shared" si="213"/>
        <v>5.63</v>
      </c>
      <c r="N85" s="4">
        <f t="shared" si="214"/>
        <v>5.63</v>
      </c>
      <c r="O85" s="3">
        <v>2.73</v>
      </c>
      <c r="P85" s="3">
        <f t="shared" si="215"/>
        <v>2.73</v>
      </c>
      <c r="Q85" s="4" t="str">
        <f t="shared" si="216"/>
        <v/>
      </c>
      <c r="R85" s="3">
        <v>4.84</v>
      </c>
      <c r="S85" s="3">
        <f t="shared" si="217"/>
        <v>4.84</v>
      </c>
      <c r="T85" s="4">
        <f t="shared" si="218"/>
        <v>4.84</v>
      </c>
      <c r="U85" s="3">
        <v>1.78</v>
      </c>
      <c r="V85" s="3">
        <f t="shared" si="219"/>
        <v>1.78</v>
      </c>
      <c r="W85" s="4">
        <f t="shared" si="220"/>
        <v>1.78</v>
      </c>
      <c r="X85" s="3">
        <v>3.22</v>
      </c>
      <c r="Y85" s="3">
        <f t="shared" si="221"/>
        <v>3.22</v>
      </c>
      <c r="Z85" s="21" t="str">
        <f t="shared" si="222"/>
        <v/>
      </c>
      <c r="AB85" s="10" t="s">
        <v>539</v>
      </c>
      <c r="AC85" s="10"/>
      <c r="AD85" s="11"/>
      <c r="AE85" s="11">
        <f>AE84-AE75</f>
        <v>2.238805970149027E-3</v>
      </c>
      <c r="AF85" s="11"/>
      <c r="AG85" s="11"/>
      <c r="AH85" s="11">
        <f>AH84-AH75</f>
        <v>-3.0615384615382268E-2</v>
      </c>
      <c r="AI85" s="11"/>
      <c r="AJ85" s="11"/>
      <c r="AK85" s="11">
        <f>AK84-AK75</f>
        <v>-6.6029411764705337E-2</v>
      </c>
      <c r="AL85" s="11"/>
      <c r="AM85" s="11"/>
      <c r="AN85" s="11">
        <f>AN84-AN75</f>
        <v>0.31203389830508232</v>
      </c>
      <c r="AO85" s="11"/>
      <c r="AP85" s="11"/>
      <c r="AQ85" s="11">
        <f>AQ84-AQ75</f>
        <v>6.25E-2</v>
      </c>
      <c r="AR85" s="11"/>
      <c r="AS85" s="11"/>
      <c r="AT85" s="11">
        <f>AT84-AT75</f>
        <v>-7.4603174603173006E-2</v>
      </c>
      <c r="AU85" s="11"/>
      <c r="AV85" s="11"/>
      <c r="AW85" s="11">
        <f>AW84-AW75</f>
        <v>-8.4516129032258913E-2</v>
      </c>
      <c r="AX85" s="11"/>
      <c r="AY85" s="11"/>
      <c r="AZ85" s="12">
        <f>AZ84-AZ75</f>
        <v>-0.28403508771929831</v>
      </c>
      <c r="BB85" s="20" t="s">
        <v>594</v>
      </c>
      <c r="BC85" s="3">
        <v>3.94</v>
      </c>
      <c r="BD85" s="3">
        <f t="shared" si="239"/>
        <v>3.94</v>
      </c>
      <c r="BE85" s="4">
        <f t="shared" si="240"/>
        <v>3.94</v>
      </c>
      <c r="BF85" s="3">
        <v>4.26</v>
      </c>
      <c r="BG85" s="3">
        <f t="shared" si="241"/>
        <v>4.26</v>
      </c>
      <c r="BH85" s="4">
        <f t="shared" si="242"/>
        <v>4.26</v>
      </c>
      <c r="BI85" s="3">
        <v>4.13</v>
      </c>
      <c r="BJ85" s="3">
        <f t="shared" si="243"/>
        <v>4.13</v>
      </c>
      <c r="BK85" s="4">
        <f t="shared" si="244"/>
        <v>4.13</v>
      </c>
      <c r="BL85" s="3">
        <v>4.29</v>
      </c>
      <c r="BM85" s="3">
        <f t="shared" si="245"/>
        <v>4.29</v>
      </c>
      <c r="BN85" s="4">
        <f t="shared" si="246"/>
        <v>4.29</v>
      </c>
      <c r="BO85" s="3">
        <v>3.59</v>
      </c>
      <c r="BP85" s="3">
        <f t="shared" si="247"/>
        <v>3.59</v>
      </c>
      <c r="BQ85" s="4">
        <f t="shared" si="248"/>
        <v>3.59</v>
      </c>
      <c r="BR85" s="3">
        <v>3.13</v>
      </c>
      <c r="BS85" s="3">
        <f t="shared" si="249"/>
        <v>3.13</v>
      </c>
      <c r="BT85" s="4">
        <f t="shared" si="250"/>
        <v>3.13</v>
      </c>
      <c r="BU85" s="3">
        <v>1.6</v>
      </c>
      <c r="BV85" s="3">
        <f t="shared" si="251"/>
        <v>1.6</v>
      </c>
      <c r="BW85" s="4">
        <f t="shared" si="252"/>
        <v>1.6</v>
      </c>
      <c r="BX85" s="3">
        <v>1.36</v>
      </c>
      <c r="BY85" s="3">
        <f t="shared" si="253"/>
        <v>1.36</v>
      </c>
      <c r="BZ85" s="21" t="str">
        <f t="shared" si="254"/>
        <v/>
      </c>
      <c r="CB85" s="20" t="s">
        <v>595</v>
      </c>
      <c r="CC85" s="3">
        <v>4.1399999999999997</v>
      </c>
      <c r="CD85" s="3">
        <f t="shared" si="255"/>
        <v>4.1399999999999997</v>
      </c>
      <c r="CE85" s="4">
        <f t="shared" si="256"/>
        <v>4.1399999999999997</v>
      </c>
      <c r="CF85" s="3">
        <v>6.06</v>
      </c>
      <c r="CG85" s="3">
        <f t="shared" si="257"/>
        <v>6.06</v>
      </c>
      <c r="CH85" s="4">
        <f t="shared" si="258"/>
        <v>6.06</v>
      </c>
      <c r="CI85" s="3">
        <v>3.22</v>
      </c>
      <c r="CJ85" s="3">
        <f t="shared" si="259"/>
        <v>3.22</v>
      </c>
      <c r="CK85" s="4">
        <f t="shared" si="260"/>
        <v>3.22</v>
      </c>
      <c r="CL85" s="3">
        <v>5.13</v>
      </c>
      <c r="CM85" s="3">
        <f t="shared" si="261"/>
        <v>5.13</v>
      </c>
      <c r="CN85" s="4">
        <f t="shared" si="262"/>
        <v>5.13</v>
      </c>
      <c r="CO85" s="3">
        <v>5.48</v>
      </c>
      <c r="CP85" s="3">
        <f t="shared" si="263"/>
        <v>5.48</v>
      </c>
      <c r="CQ85" s="4">
        <f t="shared" si="264"/>
        <v>5.48</v>
      </c>
      <c r="CR85" s="3">
        <v>1.85</v>
      </c>
      <c r="CS85" s="3">
        <f t="shared" si="265"/>
        <v>1.85</v>
      </c>
      <c r="CT85" s="4">
        <f t="shared" si="266"/>
        <v>1.85</v>
      </c>
      <c r="CU85" s="3">
        <v>3.76</v>
      </c>
      <c r="CV85" s="3">
        <f t="shared" si="267"/>
        <v>3.76</v>
      </c>
      <c r="CW85" s="4">
        <f t="shared" si="268"/>
        <v>3.76</v>
      </c>
      <c r="CX85" s="3">
        <v>3.12</v>
      </c>
      <c r="CY85" s="3">
        <f t="shared" si="269"/>
        <v>3.12</v>
      </c>
      <c r="CZ85" s="21">
        <f t="shared" si="270"/>
        <v>3.12</v>
      </c>
    </row>
    <row r="86" spans="2:194" ht="15.75" thickBot="1">
      <c r="B86" s="20" t="s">
        <v>596</v>
      </c>
      <c r="C86" s="3">
        <v>2.99</v>
      </c>
      <c r="D86" s="3">
        <f t="shared" si="207"/>
        <v>2.99</v>
      </c>
      <c r="E86" s="4">
        <f t="shared" si="208"/>
        <v>2.99</v>
      </c>
      <c r="F86" s="3">
        <v>4.41</v>
      </c>
      <c r="G86" s="3">
        <f t="shared" si="209"/>
        <v>4.41</v>
      </c>
      <c r="H86" s="4">
        <f t="shared" si="210"/>
        <v>4.41</v>
      </c>
      <c r="I86" s="3">
        <v>5.34</v>
      </c>
      <c r="J86" s="3">
        <f t="shared" si="211"/>
        <v>5.34</v>
      </c>
      <c r="K86" s="4">
        <f t="shared" si="212"/>
        <v>5.34</v>
      </c>
      <c r="L86" s="3">
        <v>5.64</v>
      </c>
      <c r="M86" s="3">
        <f t="shared" si="213"/>
        <v>5.64</v>
      </c>
      <c r="N86" s="4">
        <f t="shared" si="214"/>
        <v>5.64</v>
      </c>
      <c r="O86" s="3">
        <v>4.32</v>
      </c>
      <c r="P86" s="3">
        <f t="shared" si="215"/>
        <v>4.32</v>
      </c>
      <c r="Q86" s="4">
        <f t="shared" si="216"/>
        <v>4.32</v>
      </c>
      <c r="R86" s="3">
        <v>4.5999999999999996</v>
      </c>
      <c r="S86" s="3">
        <f t="shared" si="217"/>
        <v>4.5999999999999996</v>
      </c>
      <c r="T86" s="4">
        <f t="shared" si="218"/>
        <v>4.5999999999999996</v>
      </c>
      <c r="U86" s="3">
        <v>1.74</v>
      </c>
      <c r="V86" s="3">
        <f t="shared" si="219"/>
        <v>1.74</v>
      </c>
      <c r="W86" s="4">
        <f t="shared" si="220"/>
        <v>1.74</v>
      </c>
      <c r="X86" s="3">
        <v>2.29</v>
      </c>
      <c r="Y86" s="3">
        <f t="shared" si="221"/>
        <v>2.29</v>
      </c>
      <c r="Z86" s="21">
        <f t="shared" si="222"/>
        <v>2.29</v>
      </c>
      <c r="AB86" s="13" t="s">
        <v>544</v>
      </c>
      <c r="AC86" s="13"/>
      <c r="AD86" s="14"/>
      <c r="AE86" s="14">
        <f>(AE85/AE75)*100</f>
        <v>7.8893388734016107E-2</v>
      </c>
      <c r="AF86" s="14"/>
      <c r="AG86" s="14"/>
      <c r="AH86" s="14">
        <f>(AH85/AH75)*100</f>
        <v>-0.56271914941744372</v>
      </c>
      <c r="AI86" s="14"/>
      <c r="AJ86" s="14"/>
      <c r="AK86" s="14">
        <f>(AK85/AK75)*100</f>
        <v>-1.2781462609240126</v>
      </c>
      <c r="AL86" s="14"/>
      <c r="AM86" s="14"/>
      <c r="AN86" s="14">
        <f>(AN85/AN75)*100</f>
        <v>5.326659336843889</v>
      </c>
      <c r="AO86" s="14"/>
      <c r="AP86" s="14"/>
      <c r="AQ86" s="14">
        <f>(AQ85/AQ75)*100</f>
        <v>1.1865211200759374</v>
      </c>
      <c r="AR86" s="14"/>
      <c r="AS86" s="14"/>
      <c r="AT86" s="14">
        <f>(AT85/AT75)*100</f>
        <v>-2.0029831664180273</v>
      </c>
      <c r="AU86" s="14"/>
      <c r="AV86" s="14"/>
      <c r="AW86" s="14">
        <f>(AW85/AW75)*100</f>
        <v>-2.7943686006826214</v>
      </c>
      <c r="AX86" s="14"/>
      <c r="AY86" s="14"/>
      <c r="AZ86" s="15">
        <f>(AZ85/AZ75)*100</f>
        <v>-8.3440705045611523</v>
      </c>
      <c r="BB86" s="20" t="s">
        <v>597</v>
      </c>
      <c r="BC86" s="3">
        <v>3.91</v>
      </c>
      <c r="BD86" s="3">
        <f t="shared" si="239"/>
        <v>3.91</v>
      </c>
      <c r="BE86" s="4">
        <f t="shared" si="240"/>
        <v>3.91</v>
      </c>
      <c r="BF86" s="3">
        <v>4.2699999999999996</v>
      </c>
      <c r="BG86" s="3">
        <f t="shared" si="241"/>
        <v>4.2699999999999996</v>
      </c>
      <c r="BH86" s="4">
        <f t="shared" si="242"/>
        <v>4.2699999999999996</v>
      </c>
      <c r="BI86" s="3">
        <v>4.1500000000000004</v>
      </c>
      <c r="BJ86" s="3">
        <f t="shared" si="243"/>
        <v>4.1500000000000004</v>
      </c>
      <c r="BK86" s="4">
        <f t="shared" si="244"/>
        <v>4.1500000000000004</v>
      </c>
      <c r="BL86" s="3">
        <v>4.33</v>
      </c>
      <c r="BM86" s="3">
        <f t="shared" si="245"/>
        <v>4.33</v>
      </c>
      <c r="BN86" s="4">
        <f t="shared" si="246"/>
        <v>4.33</v>
      </c>
      <c r="BO86" s="3">
        <v>3.59</v>
      </c>
      <c r="BP86" s="3">
        <f t="shared" si="247"/>
        <v>3.59</v>
      </c>
      <c r="BQ86" s="4">
        <f t="shared" si="248"/>
        <v>3.59</v>
      </c>
      <c r="BR86" s="3">
        <v>3.13</v>
      </c>
      <c r="BS86" s="3">
        <f t="shared" si="249"/>
        <v>3.13</v>
      </c>
      <c r="BT86" s="4">
        <f t="shared" si="250"/>
        <v>3.13</v>
      </c>
      <c r="BU86" s="3">
        <v>1.63</v>
      </c>
      <c r="BV86" s="3">
        <f t="shared" si="251"/>
        <v>1.63</v>
      </c>
      <c r="BW86" s="4">
        <f t="shared" si="252"/>
        <v>1.63</v>
      </c>
      <c r="BX86" s="3">
        <v>1.3</v>
      </c>
      <c r="BY86" s="3">
        <f t="shared" si="253"/>
        <v>1.3</v>
      </c>
      <c r="BZ86" s="21">
        <f t="shared" si="254"/>
        <v>1.3</v>
      </c>
      <c r="CB86" s="20" t="s">
        <v>598</v>
      </c>
      <c r="CC86" s="3">
        <v>4.16</v>
      </c>
      <c r="CD86" s="3">
        <f t="shared" si="255"/>
        <v>4.16</v>
      </c>
      <c r="CE86" s="4">
        <f t="shared" si="256"/>
        <v>4.16</v>
      </c>
      <c r="CF86" s="3">
        <v>6.2</v>
      </c>
      <c r="CG86" s="3">
        <f t="shared" si="257"/>
        <v>6.2</v>
      </c>
      <c r="CH86" s="4">
        <f t="shared" si="258"/>
        <v>6.2</v>
      </c>
      <c r="CI86" s="3">
        <v>3.79</v>
      </c>
      <c r="CJ86" s="3">
        <f t="shared" si="259"/>
        <v>3.79</v>
      </c>
      <c r="CK86" s="4">
        <f t="shared" si="260"/>
        <v>3.79</v>
      </c>
      <c r="CL86" s="3">
        <v>5.18</v>
      </c>
      <c r="CM86" s="3">
        <f t="shared" si="261"/>
        <v>5.18</v>
      </c>
      <c r="CN86" s="4">
        <f t="shared" si="262"/>
        <v>5.18</v>
      </c>
      <c r="CO86" s="3">
        <v>5.48</v>
      </c>
      <c r="CP86" s="3">
        <f t="shared" si="263"/>
        <v>5.48</v>
      </c>
      <c r="CQ86" s="4">
        <f t="shared" si="264"/>
        <v>5.48</v>
      </c>
      <c r="CR86" s="3">
        <v>1.85</v>
      </c>
      <c r="CS86" s="3">
        <f t="shared" si="265"/>
        <v>1.85</v>
      </c>
      <c r="CT86" s="4">
        <f t="shared" si="266"/>
        <v>1.85</v>
      </c>
      <c r="CU86" s="3">
        <v>3.77</v>
      </c>
      <c r="CV86" s="3">
        <f t="shared" si="267"/>
        <v>3.77</v>
      </c>
      <c r="CW86" s="4">
        <f t="shared" si="268"/>
        <v>3.77</v>
      </c>
      <c r="CX86" s="3">
        <v>3.11</v>
      </c>
      <c r="CY86" s="3">
        <f t="shared" si="269"/>
        <v>3.11</v>
      </c>
      <c r="CZ86" s="21">
        <f t="shared" si="270"/>
        <v>3.11</v>
      </c>
    </row>
    <row r="87" spans="2:194" ht="15.75" thickBot="1">
      <c r="B87" s="20" t="s">
        <v>599</v>
      </c>
      <c r="C87" s="3">
        <v>3.02</v>
      </c>
      <c r="D87" s="3">
        <f t="shared" si="207"/>
        <v>3.02</v>
      </c>
      <c r="E87" s="4">
        <f t="shared" si="208"/>
        <v>3.02</v>
      </c>
      <c r="F87" s="3">
        <v>4.4000000000000004</v>
      </c>
      <c r="G87" s="3">
        <f t="shared" si="209"/>
        <v>4.4000000000000004</v>
      </c>
      <c r="H87" s="4">
        <f t="shared" si="210"/>
        <v>4.4000000000000004</v>
      </c>
      <c r="I87" s="3">
        <v>5.28</v>
      </c>
      <c r="J87" s="3">
        <f t="shared" si="211"/>
        <v>5.28</v>
      </c>
      <c r="K87" s="4">
        <f t="shared" si="212"/>
        <v>5.28</v>
      </c>
      <c r="L87" s="3">
        <v>5.67</v>
      </c>
      <c r="M87" s="3">
        <f t="shared" si="213"/>
        <v>5.67</v>
      </c>
      <c r="N87" s="4">
        <f t="shared" si="214"/>
        <v>5.67</v>
      </c>
      <c r="O87" s="3">
        <v>1.19</v>
      </c>
      <c r="P87" s="3">
        <f t="shared" si="215"/>
        <v>1.19</v>
      </c>
      <c r="Q87" s="4" t="str">
        <f t="shared" si="216"/>
        <v/>
      </c>
      <c r="R87" s="3">
        <v>4.82</v>
      </c>
      <c r="S87" s="3">
        <f t="shared" si="217"/>
        <v>4.82</v>
      </c>
      <c r="T87" s="4">
        <f t="shared" si="218"/>
        <v>4.82</v>
      </c>
      <c r="U87" s="3">
        <v>1.76</v>
      </c>
      <c r="V87" s="3">
        <f t="shared" si="219"/>
        <v>1.76</v>
      </c>
      <c r="W87" s="4">
        <f t="shared" si="220"/>
        <v>1.76</v>
      </c>
      <c r="X87" s="3">
        <v>2.2799999999999998</v>
      </c>
      <c r="Y87" s="3">
        <f t="shared" si="221"/>
        <v>2.2799999999999998</v>
      </c>
      <c r="Z87" s="21">
        <f t="shared" si="222"/>
        <v>2.2799999999999998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BB87" s="20" t="s">
        <v>600</v>
      </c>
      <c r="BC87" s="3">
        <v>3.93</v>
      </c>
      <c r="BD87" s="3">
        <f t="shared" si="239"/>
        <v>3.93</v>
      </c>
      <c r="BE87" s="4">
        <f t="shared" si="240"/>
        <v>3.93</v>
      </c>
      <c r="BF87" s="3">
        <v>4.26</v>
      </c>
      <c r="BG87" s="3">
        <f t="shared" si="241"/>
        <v>4.26</v>
      </c>
      <c r="BH87" s="4">
        <f t="shared" si="242"/>
        <v>4.26</v>
      </c>
      <c r="BI87" s="3">
        <v>4.1500000000000004</v>
      </c>
      <c r="BJ87" s="3">
        <f t="shared" si="243"/>
        <v>4.1500000000000004</v>
      </c>
      <c r="BK87" s="4">
        <f t="shared" si="244"/>
        <v>4.1500000000000004</v>
      </c>
      <c r="BL87" s="3">
        <v>4.29</v>
      </c>
      <c r="BM87" s="3">
        <f t="shared" si="245"/>
        <v>4.29</v>
      </c>
      <c r="BN87" s="4">
        <f t="shared" si="246"/>
        <v>4.29</v>
      </c>
      <c r="BO87" s="3">
        <v>3.64</v>
      </c>
      <c r="BP87" s="3">
        <f t="shared" si="247"/>
        <v>3.64</v>
      </c>
      <c r="BQ87" s="4">
        <f t="shared" si="248"/>
        <v>3.64</v>
      </c>
      <c r="BR87" s="3">
        <v>3.11</v>
      </c>
      <c r="BS87" s="3">
        <f t="shared" si="249"/>
        <v>3.11</v>
      </c>
      <c r="BT87" s="4">
        <f t="shared" si="250"/>
        <v>3.11</v>
      </c>
      <c r="BU87" s="3">
        <v>1.61</v>
      </c>
      <c r="BV87" s="3">
        <f t="shared" si="251"/>
        <v>1.61</v>
      </c>
      <c r="BW87" s="4">
        <f t="shared" si="252"/>
        <v>1.61</v>
      </c>
      <c r="BX87" s="3">
        <v>0.21</v>
      </c>
      <c r="BY87" s="3">
        <f t="shared" si="253"/>
        <v>0.21</v>
      </c>
      <c r="BZ87" s="21" t="str">
        <f t="shared" si="254"/>
        <v/>
      </c>
      <c r="CB87" s="20" t="s">
        <v>601</v>
      </c>
      <c r="CC87" s="3">
        <v>4.17</v>
      </c>
      <c r="CD87" s="3">
        <f t="shared" si="255"/>
        <v>4.17</v>
      </c>
      <c r="CE87" s="4">
        <f t="shared" si="256"/>
        <v>4.17</v>
      </c>
      <c r="CF87" s="3">
        <v>6.08</v>
      </c>
      <c r="CG87" s="3">
        <f t="shared" si="257"/>
        <v>6.08</v>
      </c>
      <c r="CH87" s="4">
        <f t="shared" si="258"/>
        <v>6.08</v>
      </c>
      <c r="CI87" s="3">
        <v>3.75</v>
      </c>
      <c r="CJ87" s="3">
        <f t="shared" si="259"/>
        <v>3.75</v>
      </c>
      <c r="CK87" s="4">
        <f t="shared" si="260"/>
        <v>3.75</v>
      </c>
      <c r="CL87" s="3">
        <v>5.19</v>
      </c>
      <c r="CM87" s="3">
        <f t="shared" si="261"/>
        <v>5.19</v>
      </c>
      <c r="CN87" s="4">
        <f t="shared" si="262"/>
        <v>5.19</v>
      </c>
      <c r="CO87" s="3">
        <v>4.78</v>
      </c>
      <c r="CP87" s="3">
        <f t="shared" si="263"/>
        <v>4.78</v>
      </c>
      <c r="CQ87" s="4">
        <f t="shared" si="264"/>
        <v>4.78</v>
      </c>
      <c r="CR87" s="3">
        <v>1.83</v>
      </c>
      <c r="CS87" s="3">
        <f t="shared" si="265"/>
        <v>1.83</v>
      </c>
      <c r="CT87" s="4">
        <f t="shared" si="266"/>
        <v>1.83</v>
      </c>
      <c r="CU87" s="3">
        <v>3.78</v>
      </c>
      <c r="CV87" s="3">
        <f t="shared" si="267"/>
        <v>3.78</v>
      </c>
      <c r="CW87" s="4">
        <f t="shared" si="268"/>
        <v>3.78</v>
      </c>
      <c r="CX87" s="3">
        <v>3.11</v>
      </c>
      <c r="CY87" s="3">
        <f t="shared" si="269"/>
        <v>3.11</v>
      </c>
      <c r="CZ87" s="21">
        <f t="shared" si="270"/>
        <v>3.11</v>
      </c>
    </row>
    <row r="88" spans="2:194" ht="30">
      <c r="B88" s="20" t="s">
        <v>602</v>
      </c>
      <c r="C88" s="3">
        <v>2.98</v>
      </c>
      <c r="D88" s="3">
        <f t="shared" si="207"/>
        <v>2.98</v>
      </c>
      <c r="E88" s="4">
        <f t="shared" si="208"/>
        <v>2.98</v>
      </c>
      <c r="F88" s="3">
        <v>4.37</v>
      </c>
      <c r="G88" s="3">
        <f t="shared" si="209"/>
        <v>4.37</v>
      </c>
      <c r="H88" s="4">
        <f t="shared" si="210"/>
        <v>4.37</v>
      </c>
      <c r="I88" s="3">
        <v>5.3</v>
      </c>
      <c r="J88" s="3">
        <f t="shared" si="211"/>
        <v>5.3</v>
      </c>
      <c r="K88" s="4">
        <f t="shared" si="212"/>
        <v>5.3</v>
      </c>
      <c r="L88" s="3">
        <v>5.61</v>
      </c>
      <c r="M88" s="3">
        <f t="shared" si="213"/>
        <v>5.61</v>
      </c>
      <c r="N88" s="4">
        <f t="shared" si="214"/>
        <v>5.61</v>
      </c>
      <c r="O88" s="3">
        <v>4.32</v>
      </c>
      <c r="P88" s="3">
        <f t="shared" si="215"/>
        <v>4.32</v>
      </c>
      <c r="Q88" s="4">
        <f t="shared" si="216"/>
        <v>4.32</v>
      </c>
      <c r="R88" s="3">
        <v>4.83</v>
      </c>
      <c r="S88" s="3">
        <f t="shared" si="217"/>
        <v>4.83</v>
      </c>
      <c r="T88" s="4">
        <f t="shared" si="218"/>
        <v>4.83</v>
      </c>
      <c r="U88" s="3">
        <v>1.74</v>
      </c>
      <c r="V88" s="3">
        <f t="shared" si="219"/>
        <v>1.74</v>
      </c>
      <c r="W88" s="4">
        <f t="shared" si="220"/>
        <v>1.74</v>
      </c>
      <c r="X88" s="3">
        <v>2.27</v>
      </c>
      <c r="Y88" s="3">
        <f t="shared" si="221"/>
        <v>2.27</v>
      </c>
      <c r="Z88" s="21">
        <f t="shared" si="222"/>
        <v>2.27</v>
      </c>
      <c r="AB88" s="81" t="s">
        <v>568</v>
      </c>
      <c r="AC88" s="7"/>
      <c r="AD88" s="8"/>
      <c r="AE88" s="8">
        <v>2.88</v>
      </c>
      <c r="AF88" s="8"/>
      <c r="AG88" s="8"/>
      <c r="AH88" s="8">
        <v>5.38</v>
      </c>
      <c r="AI88" s="8"/>
      <c r="AJ88" s="8"/>
      <c r="AK88" s="8">
        <v>5.0999999999999996</v>
      </c>
      <c r="AL88" s="8"/>
      <c r="AM88" s="8"/>
      <c r="AN88" s="8">
        <v>6.21</v>
      </c>
      <c r="AO88" s="8"/>
      <c r="AP88" s="8"/>
      <c r="AQ88" s="8">
        <v>5.33</v>
      </c>
      <c r="AR88" s="8"/>
      <c r="AS88" s="8"/>
      <c r="AT88" s="8">
        <v>3.71</v>
      </c>
      <c r="AU88" s="8"/>
      <c r="AV88" s="8"/>
      <c r="AW88" s="8">
        <v>2.87</v>
      </c>
      <c r="AX88" s="8"/>
      <c r="AY88" s="8"/>
      <c r="AZ88" s="9">
        <v>3.05</v>
      </c>
      <c r="BB88" s="20" t="s">
        <v>603</v>
      </c>
      <c r="BC88" s="3">
        <v>3.92</v>
      </c>
      <c r="BD88" s="3">
        <f t="shared" si="239"/>
        <v>3.92</v>
      </c>
      <c r="BE88" s="4">
        <f t="shared" si="240"/>
        <v>3.92</v>
      </c>
      <c r="BF88" s="3">
        <v>4.28</v>
      </c>
      <c r="BG88" s="3">
        <f t="shared" si="241"/>
        <v>4.28</v>
      </c>
      <c r="BH88" s="4">
        <f t="shared" si="242"/>
        <v>4.28</v>
      </c>
      <c r="BI88" s="3">
        <v>4.17</v>
      </c>
      <c r="BJ88" s="3">
        <f t="shared" si="243"/>
        <v>4.17</v>
      </c>
      <c r="BK88" s="4">
        <f t="shared" si="244"/>
        <v>4.17</v>
      </c>
      <c r="BL88" s="3">
        <v>4.32</v>
      </c>
      <c r="BM88" s="3">
        <f t="shared" si="245"/>
        <v>4.32</v>
      </c>
      <c r="BN88" s="4">
        <f t="shared" si="246"/>
        <v>4.32</v>
      </c>
      <c r="BO88" s="3">
        <v>3.59</v>
      </c>
      <c r="BP88" s="3">
        <f t="shared" si="247"/>
        <v>3.59</v>
      </c>
      <c r="BQ88" s="4">
        <f t="shared" si="248"/>
        <v>3.59</v>
      </c>
      <c r="BR88" s="3">
        <v>3.12</v>
      </c>
      <c r="BS88" s="3">
        <f t="shared" si="249"/>
        <v>3.12</v>
      </c>
      <c r="BT88" s="4">
        <f t="shared" si="250"/>
        <v>3.12</v>
      </c>
      <c r="BU88" s="3">
        <v>1.63</v>
      </c>
      <c r="BV88" s="3">
        <f t="shared" si="251"/>
        <v>1.63</v>
      </c>
      <c r="BW88" s="4">
        <f t="shared" si="252"/>
        <v>1.63</v>
      </c>
      <c r="BX88" s="3">
        <v>1.24</v>
      </c>
      <c r="BY88" s="3">
        <f t="shared" si="253"/>
        <v>1.24</v>
      </c>
      <c r="BZ88" s="21">
        <f t="shared" si="254"/>
        <v>1.24</v>
      </c>
      <c r="CB88" s="20" t="s">
        <v>604</v>
      </c>
      <c r="CC88" s="3">
        <v>4.1500000000000004</v>
      </c>
      <c r="CD88" s="3">
        <f t="shared" si="255"/>
        <v>4.1500000000000004</v>
      </c>
      <c r="CE88" s="4">
        <f t="shared" si="256"/>
        <v>4.1500000000000004</v>
      </c>
      <c r="CF88" s="3">
        <v>6.11</v>
      </c>
      <c r="CG88" s="3">
        <f t="shared" si="257"/>
        <v>6.11</v>
      </c>
      <c r="CH88" s="4">
        <f t="shared" si="258"/>
        <v>6.11</v>
      </c>
      <c r="CI88" s="3">
        <v>3.77</v>
      </c>
      <c r="CJ88" s="3">
        <f t="shared" si="259"/>
        <v>3.77</v>
      </c>
      <c r="CK88" s="4">
        <f t="shared" si="260"/>
        <v>3.77</v>
      </c>
      <c r="CL88" s="3">
        <v>5.21</v>
      </c>
      <c r="CM88" s="3">
        <f t="shared" si="261"/>
        <v>5.21</v>
      </c>
      <c r="CN88" s="4">
        <f t="shared" si="262"/>
        <v>5.21</v>
      </c>
      <c r="CO88" s="3">
        <v>5.45</v>
      </c>
      <c r="CP88" s="3">
        <f t="shared" si="263"/>
        <v>5.45</v>
      </c>
      <c r="CQ88" s="4">
        <f t="shared" si="264"/>
        <v>5.45</v>
      </c>
      <c r="CR88" s="3">
        <v>1.84</v>
      </c>
      <c r="CS88" s="3">
        <f t="shared" si="265"/>
        <v>1.84</v>
      </c>
      <c r="CT88" s="4">
        <f t="shared" si="266"/>
        <v>1.84</v>
      </c>
      <c r="CU88" s="3">
        <v>3.76</v>
      </c>
      <c r="CV88" s="3">
        <f t="shared" si="267"/>
        <v>3.76</v>
      </c>
      <c r="CW88" s="4">
        <f t="shared" si="268"/>
        <v>3.76</v>
      </c>
      <c r="CX88" s="3">
        <v>3.26</v>
      </c>
      <c r="CY88" s="3">
        <f t="shared" si="269"/>
        <v>3.26</v>
      </c>
      <c r="CZ88" s="21">
        <f t="shared" si="270"/>
        <v>3.26</v>
      </c>
    </row>
    <row r="89" spans="2:194">
      <c r="B89" s="20" t="s">
        <v>605</v>
      </c>
      <c r="C89" s="3">
        <v>2.99</v>
      </c>
      <c r="D89" s="3">
        <f t="shared" si="207"/>
        <v>2.99</v>
      </c>
      <c r="E89" s="4">
        <f t="shared" si="208"/>
        <v>2.99</v>
      </c>
      <c r="F89" s="3">
        <v>4.3899999999999997</v>
      </c>
      <c r="G89" s="3">
        <f t="shared" si="209"/>
        <v>4.3899999999999997</v>
      </c>
      <c r="H89" s="4">
        <f t="shared" si="210"/>
        <v>4.3899999999999997</v>
      </c>
      <c r="I89" s="3">
        <v>5.28</v>
      </c>
      <c r="J89" s="3">
        <f t="shared" si="211"/>
        <v>5.28</v>
      </c>
      <c r="K89" s="4">
        <f t="shared" si="212"/>
        <v>5.28</v>
      </c>
      <c r="L89" s="3">
        <v>5.61</v>
      </c>
      <c r="M89" s="3">
        <f t="shared" si="213"/>
        <v>5.61</v>
      </c>
      <c r="N89" s="4">
        <f t="shared" si="214"/>
        <v>5.61</v>
      </c>
      <c r="O89" s="3">
        <v>4.3099999999999996</v>
      </c>
      <c r="P89" s="3">
        <f t="shared" si="215"/>
        <v>4.3099999999999996</v>
      </c>
      <c r="Q89" s="4">
        <f t="shared" si="216"/>
        <v>4.3099999999999996</v>
      </c>
      <c r="R89" s="3">
        <v>4.8099999999999996</v>
      </c>
      <c r="S89" s="3">
        <f t="shared" si="217"/>
        <v>4.8099999999999996</v>
      </c>
      <c r="T89" s="4">
        <f t="shared" si="218"/>
        <v>4.8099999999999996</v>
      </c>
      <c r="U89" s="3">
        <v>1.75</v>
      </c>
      <c r="V89" s="3">
        <f t="shared" si="219"/>
        <v>1.75</v>
      </c>
      <c r="W89" s="4">
        <f t="shared" si="220"/>
        <v>1.75</v>
      </c>
      <c r="X89" s="3">
        <v>2.2599999999999998</v>
      </c>
      <c r="Y89" s="3">
        <f t="shared" si="221"/>
        <v>2.2599999999999998</v>
      </c>
      <c r="Z89" s="21">
        <f t="shared" si="222"/>
        <v>2.2599999999999998</v>
      </c>
      <c r="AB89" s="10" t="s">
        <v>539</v>
      </c>
      <c r="AC89" s="10"/>
      <c r="AD89" s="11"/>
      <c r="AE89" s="11">
        <f>AE88-AE75</f>
        <v>4.2238805970149063E-2</v>
      </c>
      <c r="AF89" s="11"/>
      <c r="AG89" s="11"/>
      <c r="AH89" s="11">
        <f t="shared" ref="AH89:AZ89" si="338">AH88-AH75</f>
        <v>-6.0615384615382517E-2</v>
      </c>
      <c r="AI89" s="11"/>
      <c r="AJ89" s="11"/>
      <c r="AK89" s="11">
        <f t="shared" si="338"/>
        <v>-6.6029411764705337E-2</v>
      </c>
      <c r="AL89" s="11"/>
      <c r="AM89" s="11"/>
      <c r="AN89" s="11">
        <f t="shared" si="338"/>
        <v>0.35203389830508236</v>
      </c>
      <c r="AO89" s="11"/>
      <c r="AP89" s="11"/>
      <c r="AQ89" s="11">
        <f t="shared" si="338"/>
        <v>6.25E-2</v>
      </c>
      <c r="AR89" s="11"/>
      <c r="AS89" s="11"/>
      <c r="AT89" s="11">
        <f t="shared" si="338"/>
        <v>-1.4603174603172953E-2</v>
      </c>
      <c r="AU89" s="11"/>
      <c r="AV89" s="11"/>
      <c r="AW89" s="11">
        <f t="shared" si="338"/>
        <v>-0.15451612903225875</v>
      </c>
      <c r="AX89" s="11"/>
      <c r="AY89" s="11"/>
      <c r="AZ89" s="12">
        <f t="shared" si="338"/>
        <v>-0.35403508771929859</v>
      </c>
      <c r="BB89" s="20" t="s">
        <v>606</v>
      </c>
      <c r="BC89" s="3">
        <v>3.92</v>
      </c>
      <c r="BD89" s="3">
        <f t="shared" si="239"/>
        <v>3.92</v>
      </c>
      <c r="BE89" s="4">
        <f t="shared" si="240"/>
        <v>3.92</v>
      </c>
      <c r="BF89" s="3">
        <v>4.3</v>
      </c>
      <c r="BG89" s="3">
        <f t="shared" si="241"/>
        <v>4.3</v>
      </c>
      <c r="BH89" s="4">
        <f t="shared" si="242"/>
        <v>4.3</v>
      </c>
      <c r="BI89" s="3">
        <v>4.12</v>
      </c>
      <c r="BJ89" s="3">
        <f t="shared" si="243"/>
        <v>4.12</v>
      </c>
      <c r="BK89" s="4">
        <f t="shared" si="244"/>
        <v>4.12</v>
      </c>
      <c r="BL89" s="3">
        <v>4.3099999999999996</v>
      </c>
      <c r="BM89" s="3">
        <f t="shared" si="245"/>
        <v>4.3099999999999996</v>
      </c>
      <c r="BN89" s="4">
        <f t="shared" si="246"/>
        <v>4.3099999999999996</v>
      </c>
      <c r="BO89" s="3">
        <v>3.56</v>
      </c>
      <c r="BP89" s="3">
        <f t="shared" si="247"/>
        <v>3.56</v>
      </c>
      <c r="BQ89" s="4">
        <f t="shared" si="248"/>
        <v>3.56</v>
      </c>
      <c r="BR89" s="3">
        <v>3.13</v>
      </c>
      <c r="BS89" s="3">
        <f t="shared" si="249"/>
        <v>3.13</v>
      </c>
      <c r="BT89" s="4">
        <f t="shared" si="250"/>
        <v>3.13</v>
      </c>
      <c r="BU89" s="3">
        <v>1.64</v>
      </c>
      <c r="BV89" s="3">
        <f t="shared" si="251"/>
        <v>1.64</v>
      </c>
      <c r="BW89" s="4">
        <f t="shared" si="252"/>
        <v>1.64</v>
      </c>
      <c r="BX89" s="3">
        <v>1.22</v>
      </c>
      <c r="BY89" s="3">
        <f t="shared" si="253"/>
        <v>1.22</v>
      </c>
      <c r="BZ89" s="21">
        <f t="shared" si="254"/>
        <v>1.22</v>
      </c>
      <c r="CB89" s="20" t="s">
        <v>607</v>
      </c>
      <c r="CC89" s="3">
        <v>4.17</v>
      </c>
      <c r="CD89" s="3">
        <f t="shared" si="255"/>
        <v>4.17</v>
      </c>
      <c r="CE89" s="4">
        <f t="shared" si="256"/>
        <v>4.17</v>
      </c>
      <c r="CF89" s="3">
        <v>6.09</v>
      </c>
      <c r="CG89" s="3">
        <f t="shared" si="257"/>
        <v>6.09</v>
      </c>
      <c r="CH89" s="4">
        <f t="shared" si="258"/>
        <v>6.09</v>
      </c>
      <c r="CI89" s="3">
        <v>3.79</v>
      </c>
      <c r="CJ89" s="3">
        <f t="shared" si="259"/>
        <v>3.79</v>
      </c>
      <c r="CK89" s="4">
        <f t="shared" si="260"/>
        <v>3.79</v>
      </c>
      <c r="CL89" s="3">
        <v>5.3</v>
      </c>
      <c r="CM89" s="3">
        <f t="shared" si="261"/>
        <v>5.3</v>
      </c>
      <c r="CN89" s="4">
        <f t="shared" si="262"/>
        <v>5.3</v>
      </c>
      <c r="CO89" s="3">
        <v>5.45</v>
      </c>
      <c r="CP89" s="3">
        <f t="shared" si="263"/>
        <v>5.45</v>
      </c>
      <c r="CQ89" s="4">
        <f t="shared" si="264"/>
        <v>5.45</v>
      </c>
      <c r="CR89" s="3">
        <v>1.86</v>
      </c>
      <c r="CS89" s="3">
        <f t="shared" si="265"/>
        <v>1.86</v>
      </c>
      <c r="CT89" s="4">
        <f t="shared" si="266"/>
        <v>1.86</v>
      </c>
      <c r="CU89" s="3">
        <v>3.72</v>
      </c>
      <c r="CV89" s="3">
        <f t="shared" si="267"/>
        <v>3.72</v>
      </c>
      <c r="CW89" s="4">
        <f t="shared" si="268"/>
        <v>3.72</v>
      </c>
      <c r="CX89" s="3">
        <v>3.92</v>
      </c>
      <c r="CY89" s="3">
        <f t="shared" si="269"/>
        <v>3.92</v>
      </c>
      <c r="CZ89" s="21" t="str">
        <f t="shared" si="270"/>
        <v/>
      </c>
    </row>
    <row r="90" spans="2:194" ht="15.75" thickBot="1">
      <c r="B90" s="20" t="s">
        <v>608</v>
      </c>
      <c r="C90" s="3">
        <v>3.02</v>
      </c>
      <c r="D90" s="3">
        <f t="shared" si="207"/>
        <v>3.02</v>
      </c>
      <c r="E90" s="4">
        <f t="shared" si="208"/>
        <v>3.02</v>
      </c>
      <c r="F90" s="3">
        <v>4.37</v>
      </c>
      <c r="G90" s="3">
        <f t="shared" si="209"/>
        <v>4.37</v>
      </c>
      <c r="H90" s="4">
        <f t="shared" si="210"/>
        <v>4.37</v>
      </c>
      <c r="I90" s="3">
        <v>5.29</v>
      </c>
      <c r="J90" s="3">
        <f t="shared" si="211"/>
        <v>5.29</v>
      </c>
      <c r="K90" s="4">
        <f t="shared" si="212"/>
        <v>5.29</v>
      </c>
      <c r="L90" s="3">
        <v>5.66</v>
      </c>
      <c r="M90" s="3">
        <f t="shared" si="213"/>
        <v>5.66</v>
      </c>
      <c r="N90" s="4">
        <f t="shared" si="214"/>
        <v>5.66</v>
      </c>
      <c r="O90" s="3">
        <v>4.37</v>
      </c>
      <c r="P90" s="3">
        <f t="shared" si="215"/>
        <v>4.37</v>
      </c>
      <c r="Q90" s="4">
        <f t="shared" si="216"/>
        <v>4.37</v>
      </c>
      <c r="R90" s="3">
        <v>4.83</v>
      </c>
      <c r="S90" s="3">
        <f t="shared" si="217"/>
        <v>4.83</v>
      </c>
      <c r="T90" s="4">
        <f t="shared" si="218"/>
        <v>4.83</v>
      </c>
      <c r="U90" s="3">
        <v>1.74</v>
      </c>
      <c r="V90" s="3">
        <f t="shared" si="219"/>
        <v>1.74</v>
      </c>
      <c r="W90" s="4">
        <f t="shared" si="220"/>
        <v>1.74</v>
      </c>
      <c r="X90" s="3">
        <v>2.64</v>
      </c>
      <c r="Y90" s="3">
        <f t="shared" si="221"/>
        <v>2.64</v>
      </c>
      <c r="Z90" s="21">
        <f t="shared" si="222"/>
        <v>2.64</v>
      </c>
      <c r="AB90" s="13" t="s">
        <v>544</v>
      </c>
      <c r="AC90" s="13"/>
      <c r="AD90" s="14"/>
      <c r="AE90" s="14">
        <f>(AE89/AE75)*100</f>
        <v>1.4884552674485809</v>
      </c>
      <c r="AF90" s="14"/>
      <c r="AG90" s="14"/>
      <c r="AH90" s="14">
        <f t="shared" ref="AH90:AZ90" si="339">(AH89/AH75)*100</f>
        <v>-1.1141273611582019</v>
      </c>
      <c r="AI90" s="14"/>
      <c r="AJ90" s="14"/>
      <c r="AK90" s="14">
        <f t="shared" si="339"/>
        <v>-1.2781462609240126</v>
      </c>
      <c r="AL90" s="14"/>
      <c r="AM90" s="14"/>
      <c r="AN90" s="14">
        <f t="shared" si="339"/>
        <v>6.0094901915397987</v>
      </c>
      <c r="AO90" s="14"/>
      <c r="AP90" s="14"/>
      <c r="AQ90" s="14">
        <f t="shared" si="339"/>
        <v>1.1865211200759374</v>
      </c>
      <c r="AR90" s="14"/>
      <c r="AS90" s="14"/>
      <c r="AT90" s="14">
        <f t="shared" si="339"/>
        <v>-0.39207330066051416</v>
      </c>
      <c r="AU90" s="14"/>
      <c r="AV90" s="14"/>
      <c r="AW90" s="14">
        <f t="shared" si="339"/>
        <v>-5.1087883959044582</v>
      </c>
      <c r="AX90" s="14"/>
      <c r="AY90" s="14"/>
      <c r="AZ90" s="15">
        <f t="shared" si="339"/>
        <v>-10.400453538112671</v>
      </c>
      <c r="BB90" s="20" t="s">
        <v>609</v>
      </c>
      <c r="BC90" s="3">
        <v>3.94</v>
      </c>
      <c r="BD90" s="3">
        <f t="shared" si="239"/>
        <v>3.94</v>
      </c>
      <c r="BE90" s="4">
        <f t="shared" si="240"/>
        <v>3.94</v>
      </c>
      <c r="BF90" s="3">
        <v>4.3099999999999996</v>
      </c>
      <c r="BG90" s="3">
        <f t="shared" si="241"/>
        <v>4.3099999999999996</v>
      </c>
      <c r="BH90" s="4">
        <f t="shared" si="242"/>
        <v>4.3099999999999996</v>
      </c>
      <c r="BI90" s="3">
        <v>4.22</v>
      </c>
      <c r="BJ90" s="3">
        <f t="shared" si="243"/>
        <v>4.22</v>
      </c>
      <c r="BK90" s="4">
        <f t="shared" si="244"/>
        <v>4.22</v>
      </c>
      <c r="BL90" s="3">
        <v>4.32</v>
      </c>
      <c r="BM90" s="3">
        <f t="shared" si="245"/>
        <v>4.32</v>
      </c>
      <c r="BN90" s="4">
        <f t="shared" si="246"/>
        <v>4.32</v>
      </c>
      <c r="BO90" s="3">
        <v>3.62</v>
      </c>
      <c r="BP90" s="3">
        <f t="shared" si="247"/>
        <v>3.62</v>
      </c>
      <c r="BQ90" s="4">
        <f t="shared" si="248"/>
        <v>3.62</v>
      </c>
      <c r="BR90" s="3">
        <v>3.12</v>
      </c>
      <c r="BS90" s="3">
        <f t="shared" si="249"/>
        <v>3.12</v>
      </c>
      <c r="BT90" s="4">
        <f t="shared" si="250"/>
        <v>3.12</v>
      </c>
      <c r="BU90" s="3">
        <v>1.62</v>
      </c>
      <c r="BV90" s="3">
        <f t="shared" si="251"/>
        <v>1.62</v>
      </c>
      <c r="BW90" s="4">
        <f t="shared" si="252"/>
        <v>1.62</v>
      </c>
      <c r="BX90" s="3">
        <v>1.27</v>
      </c>
      <c r="BY90" s="3">
        <f t="shared" si="253"/>
        <v>1.27</v>
      </c>
      <c r="BZ90" s="21">
        <f t="shared" si="254"/>
        <v>1.27</v>
      </c>
      <c r="CB90" s="20" t="s">
        <v>610</v>
      </c>
      <c r="CC90" s="3">
        <v>4.17</v>
      </c>
      <c r="CD90" s="3">
        <f t="shared" si="255"/>
        <v>4.17</v>
      </c>
      <c r="CE90" s="4">
        <f t="shared" si="256"/>
        <v>4.17</v>
      </c>
      <c r="CF90" s="3">
        <v>6.1</v>
      </c>
      <c r="CG90" s="3">
        <f t="shared" si="257"/>
        <v>6.1</v>
      </c>
      <c r="CH90" s="4">
        <f t="shared" si="258"/>
        <v>6.1</v>
      </c>
      <c r="CI90" s="3">
        <v>3.76</v>
      </c>
      <c r="CJ90" s="3">
        <f t="shared" si="259"/>
        <v>3.76</v>
      </c>
      <c r="CK90" s="4">
        <f t="shared" si="260"/>
        <v>3.76</v>
      </c>
      <c r="CL90" s="3">
        <v>5.16</v>
      </c>
      <c r="CM90" s="3">
        <f t="shared" si="261"/>
        <v>5.16</v>
      </c>
      <c r="CN90" s="4">
        <f t="shared" si="262"/>
        <v>5.16</v>
      </c>
      <c r="CO90" s="3">
        <v>5.42</v>
      </c>
      <c r="CP90" s="3">
        <f t="shared" si="263"/>
        <v>5.42</v>
      </c>
      <c r="CQ90" s="4">
        <f t="shared" si="264"/>
        <v>5.42</v>
      </c>
      <c r="CR90" s="3">
        <v>1.84</v>
      </c>
      <c r="CS90" s="3">
        <f t="shared" si="265"/>
        <v>1.84</v>
      </c>
      <c r="CT90" s="4">
        <f t="shared" si="266"/>
        <v>1.84</v>
      </c>
      <c r="CU90" s="3">
        <v>3.77</v>
      </c>
      <c r="CV90" s="3">
        <f t="shared" si="267"/>
        <v>3.77</v>
      </c>
      <c r="CW90" s="4">
        <f t="shared" si="268"/>
        <v>3.77</v>
      </c>
      <c r="CX90" s="3">
        <v>0</v>
      </c>
      <c r="CY90" s="3" t="str">
        <f t="shared" si="269"/>
        <v/>
      </c>
      <c r="CZ90" s="21" t="str">
        <f t="shared" si="270"/>
        <v/>
      </c>
    </row>
    <row r="91" spans="2:194">
      <c r="B91" s="20" t="s">
        <v>611</v>
      </c>
      <c r="C91" s="3">
        <v>2.69</v>
      </c>
      <c r="D91" s="3">
        <f t="shared" si="207"/>
        <v>2.69</v>
      </c>
      <c r="E91" s="4">
        <f t="shared" si="208"/>
        <v>2.69</v>
      </c>
      <c r="F91" s="3">
        <v>4.3899999999999997</v>
      </c>
      <c r="G91" s="3">
        <f t="shared" si="209"/>
        <v>4.3899999999999997</v>
      </c>
      <c r="H91" s="4">
        <f t="shared" si="210"/>
        <v>4.3899999999999997</v>
      </c>
      <c r="I91" s="3">
        <v>5.3</v>
      </c>
      <c r="J91" s="3">
        <f t="shared" si="211"/>
        <v>5.3</v>
      </c>
      <c r="K91" s="4">
        <f t="shared" si="212"/>
        <v>5.3</v>
      </c>
      <c r="L91" s="3">
        <v>5.64</v>
      </c>
      <c r="M91" s="3">
        <f t="shared" si="213"/>
        <v>5.64</v>
      </c>
      <c r="N91" s="4">
        <f t="shared" si="214"/>
        <v>5.64</v>
      </c>
      <c r="O91" s="3">
        <v>4.33</v>
      </c>
      <c r="P91" s="3">
        <f t="shared" si="215"/>
        <v>4.33</v>
      </c>
      <c r="Q91" s="4">
        <f t="shared" si="216"/>
        <v>4.33</v>
      </c>
      <c r="R91" s="3">
        <v>4.8099999999999996</v>
      </c>
      <c r="S91" s="3">
        <f t="shared" si="217"/>
        <v>4.8099999999999996</v>
      </c>
      <c r="T91" s="4">
        <f t="shared" si="218"/>
        <v>4.8099999999999996</v>
      </c>
      <c r="U91" s="3">
        <v>1.77</v>
      </c>
      <c r="V91" s="3">
        <f t="shared" si="219"/>
        <v>1.77</v>
      </c>
      <c r="W91" s="4">
        <f t="shared" si="220"/>
        <v>1.77</v>
      </c>
      <c r="X91" s="3">
        <v>1.65</v>
      </c>
      <c r="Y91" s="3">
        <f t="shared" si="221"/>
        <v>1.65</v>
      </c>
      <c r="Z91" s="21" t="str">
        <f t="shared" si="222"/>
        <v/>
      </c>
      <c r="AK91" s="5"/>
      <c r="AL91" s="5"/>
      <c r="AM91" s="5"/>
      <c r="AN91" s="5"/>
      <c r="BB91" s="20" t="s">
        <v>612</v>
      </c>
      <c r="BC91" s="3">
        <v>3.03</v>
      </c>
      <c r="BD91" s="3">
        <f t="shared" si="239"/>
        <v>3.03</v>
      </c>
      <c r="BE91" s="4" t="str">
        <f t="shared" si="240"/>
        <v/>
      </c>
      <c r="BF91" s="3">
        <v>4.25</v>
      </c>
      <c r="BG91" s="3">
        <f t="shared" si="241"/>
        <v>4.25</v>
      </c>
      <c r="BH91" s="4">
        <f t="shared" si="242"/>
        <v>4.25</v>
      </c>
      <c r="BI91" s="3">
        <v>4.18</v>
      </c>
      <c r="BJ91" s="3">
        <f t="shared" si="243"/>
        <v>4.18</v>
      </c>
      <c r="BK91" s="4">
        <f t="shared" si="244"/>
        <v>4.18</v>
      </c>
      <c r="BL91" s="3">
        <v>4.33</v>
      </c>
      <c r="BM91" s="3">
        <f t="shared" si="245"/>
        <v>4.33</v>
      </c>
      <c r="BN91" s="4">
        <f t="shared" si="246"/>
        <v>4.33</v>
      </c>
      <c r="BO91" s="3">
        <v>3.61</v>
      </c>
      <c r="BP91" s="3">
        <f t="shared" si="247"/>
        <v>3.61</v>
      </c>
      <c r="BQ91" s="4">
        <f t="shared" si="248"/>
        <v>3.61</v>
      </c>
      <c r="BR91" s="3">
        <v>3.11</v>
      </c>
      <c r="BS91" s="3">
        <f t="shared" si="249"/>
        <v>3.11</v>
      </c>
      <c r="BT91" s="4">
        <f t="shared" si="250"/>
        <v>3.11</v>
      </c>
      <c r="BU91" s="3">
        <v>1.63</v>
      </c>
      <c r="BV91" s="3">
        <f t="shared" si="251"/>
        <v>1.63</v>
      </c>
      <c r="BW91" s="4">
        <f t="shared" si="252"/>
        <v>1.63</v>
      </c>
      <c r="BX91" s="3">
        <v>0.36</v>
      </c>
      <c r="BY91" s="3">
        <f t="shared" si="253"/>
        <v>0.36</v>
      </c>
      <c r="BZ91" s="21" t="str">
        <f t="shared" si="254"/>
        <v/>
      </c>
      <c r="CB91" s="20" t="s">
        <v>613</v>
      </c>
      <c r="CC91" s="3">
        <v>4.18</v>
      </c>
      <c r="CD91" s="3">
        <f t="shared" si="255"/>
        <v>4.18</v>
      </c>
      <c r="CE91" s="4">
        <f t="shared" si="256"/>
        <v>4.18</v>
      </c>
      <c r="CF91" s="3">
        <v>6.03</v>
      </c>
      <c r="CG91" s="3">
        <f t="shared" si="257"/>
        <v>6.03</v>
      </c>
      <c r="CH91" s="4">
        <f t="shared" si="258"/>
        <v>6.03</v>
      </c>
      <c r="CI91" s="3">
        <v>3.76</v>
      </c>
      <c r="CJ91" s="3">
        <f t="shared" si="259"/>
        <v>3.76</v>
      </c>
      <c r="CK91" s="4">
        <f t="shared" si="260"/>
        <v>3.76</v>
      </c>
      <c r="CL91" s="3">
        <v>5.15</v>
      </c>
      <c r="CM91" s="3">
        <f t="shared" si="261"/>
        <v>5.15</v>
      </c>
      <c r="CN91" s="4">
        <f t="shared" si="262"/>
        <v>5.15</v>
      </c>
      <c r="CO91" s="3">
        <v>0</v>
      </c>
      <c r="CP91" s="3" t="str">
        <f t="shared" si="263"/>
        <v/>
      </c>
      <c r="CQ91" s="4" t="str">
        <f t="shared" si="264"/>
        <v/>
      </c>
      <c r="CR91" s="3">
        <v>1.84</v>
      </c>
      <c r="CS91" s="3">
        <f t="shared" si="265"/>
        <v>1.84</v>
      </c>
      <c r="CT91" s="4">
        <f t="shared" si="266"/>
        <v>1.84</v>
      </c>
      <c r="CU91" s="3">
        <v>3.75</v>
      </c>
      <c r="CV91" s="3">
        <f t="shared" si="267"/>
        <v>3.75</v>
      </c>
      <c r="CW91" s="4">
        <f t="shared" si="268"/>
        <v>3.75</v>
      </c>
      <c r="CX91" s="3">
        <v>0</v>
      </c>
      <c r="CY91" s="3" t="str">
        <f t="shared" si="269"/>
        <v/>
      </c>
      <c r="CZ91" s="21" t="str">
        <f t="shared" si="270"/>
        <v/>
      </c>
    </row>
    <row r="92" spans="2:194">
      <c r="B92" s="20" t="s">
        <v>614</v>
      </c>
      <c r="C92" s="3">
        <v>2.95</v>
      </c>
      <c r="D92" s="3">
        <f t="shared" si="207"/>
        <v>2.95</v>
      </c>
      <c r="E92" s="4">
        <f t="shared" si="208"/>
        <v>2.95</v>
      </c>
      <c r="F92" s="3">
        <v>4.42</v>
      </c>
      <c r="G92" s="3">
        <f t="shared" si="209"/>
        <v>4.42</v>
      </c>
      <c r="H92" s="4">
        <f t="shared" si="210"/>
        <v>4.42</v>
      </c>
      <c r="I92" s="3">
        <v>2.73</v>
      </c>
      <c r="J92" s="3">
        <f t="shared" si="211"/>
        <v>2.73</v>
      </c>
      <c r="K92" s="4" t="str">
        <f t="shared" si="212"/>
        <v/>
      </c>
      <c r="L92" s="3">
        <v>5.66</v>
      </c>
      <c r="M92" s="3">
        <f t="shared" si="213"/>
        <v>5.66</v>
      </c>
      <c r="N92" s="4">
        <f t="shared" si="214"/>
        <v>5.66</v>
      </c>
      <c r="O92" s="3">
        <v>4.3</v>
      </c>
      <c r="P92" s="3">
        <f t="shared" si="215"/>
        <v>4.3</v>
      </c>
      <c r="Q92" s="4">
        <f t="shared" si="216"/>
        <v>4.3</v>
      </c>
      <c r="R92" s="3">
        <v>4.84</v>
      </c>
      <c r="S92" s="3">
        <f t="shared" si="217"/>
        <v>4.84</v>
      </c>
      <c r="T92" s="4">
        <f t="shared" si="218"/>
        <v>4.84</v>
      </c>
      <c r="U92" s="3">
        <v>1.76</v>
      </c>
      <c r="V92" s="3">
        <f t="shared" si="219"/>
        <v>1.76</v>
      </c>
      <c r="W92" s="4">
        <f t="shared" si="220"/>
        <v>1.76</v>
      </c>
      <c r="X92" s="3">
        <v>3.23</v>
      </c>
      <c r="Y92" s="3">
        <f t="shared" si="221"/>
        <v>3.23</v>
      </c>
      <c r="Z92" s="21" t="str">
        <f t="shared" si="222"/>
        <v/>
      </c>
      <c r="AK92" s="5"/>
      <c r="AL92" s="5"/>
      <c r="AM92" s="5"/>
      <c r="AN92" s="5"/>
      <c r="BB92" s="20" t="s">
        <v>615</v>
      </c>
      <c r="BC92" s="3">
        <v>3.93</v>
      </c>
      <c r="BD92" s="3">
        <f t="shared" si="239"/>
        <v>3.93</v>
      </c>
      <c r="BE92" s="4">
        <f t="shared" si="240"/>
        <v>3.93</v>
      </c>
      <c r="BF92" s="3">
        <v>4.29</v>
      </c>
      <c r="BG92" s="3">
        <f t="shared" si="241"/>
        <v>4.29</v>
      </c>
      <c r="BH92" s="4">
        <f t="shared" si="242"/>
        <v>4.29</v>
      </c>
      <c r="BI92" s="3">
        <v>4.17</v>
      </c>
      <c r="BJ92" s="3">
        <f t="shared" si="243"/>
        <v>4.17</v>
      </c>
      <c r="BK92" s="4">
        <f t="shared" si="244"/>
        <v>4.17</v>
      </c>
      <c r="BL92" s="3">
        <v>4.3</v>
      </c>
      <c r="BM92" s="3">
        <f t="shared" si="245"/>
        <v>4.3</v>
      </c>
      <c r="BN92" s="4">
        <f t="shared" si="246"/>
        <v>4.3</v>
      </c>
      <c r="BO92" s="3">
        <v>3.63</v>
      </c>
      <c r="BP92" s="3">
        <f t="shared" si="247"/>
        <v>3.63</v>
      </c>
      <c r="BQ92" s="4">
        <f t="shared" si="248"/>
        <v>3.63</v>
      </c>
      <c r="BR92" s="3">
        <v>3.13</v>
      </c>
      <c r="BS92" s="3">
        <f t="shared" si="249"/>
        <v>3.13</v>
      </c>
      <c r="BT92" s="4">
        <f t="shared" si="250"/>
        <v>3.13</v>
      </c>
      <c r="BU92" s="3">
        <v>1.63</v>
      </c>
      <c r="BV92" s="3">
        <f t="shared" si="251"/>
        <v>1.63</v>
      </c>
      <c r="BW92" s="4">
        <f t="shared" si="252"/>
        <v>1.63</v>
      </c>
      <c r="BX92" s="3">
        <v>1.19</v>
      </c>
      <c r="BY92" s="3">
        <f t="shared" si="253"/>
        <v>1.19</v>
      </c>
      <c r="BZ92" s="21">
        <f t="shared" si="254"/>
        <v>1.19</v>
      </c>
      <c r="CB92" s="20" t="s">
        <v>616</v>
      </c>
      <c r="CC92" s="3">
        <v>0.11</v>
      </c>
      <c r="CD92" s="3">
        <f t="shared" si="255"/>
        <v>0.11</v>
      </c>
      <c r="CE92" s="4" t="str">
        <f t="shared" si="256"/>
        <v/>
      </c>
      <c r="CF92" s="3">
        <v>6.13</v>
      </c>
      <c r="CG92" s="3">
        <f t="shared" si="257"/>
        <v>6.13</v>
      </c>
      <c r="CH92" s="4">
        <f t="shared" si="258"/>
        <v>6.13</v>
      </c>
      <c r="CI92" s="3">
        <v>2.98</v>
      </c>
      <c r="CJ92" s="3">
        <f t="shared" si="259"/>
        <v>2.98</v>
      </c>
      <c r="CK92" s="4" t="str">
        <f t="shared" si="260"/>
        <v/>
      </c>
      <c r="CL92" s="3">
        <v>4.46</v>
      </c>
      <c r="CM92" s="3">
        <f t="shared" si="261"/>
        <v>4.46</v>
      </c>
      <c r="CN92" s="4">
        <f t="shared" si="262"/>
        <v>4.46</v>
      </c>
      <c r="CO92" s="3">
        <v>5.46</v>
      </c>
      <c r="CP92" s="3">
        <f t="shared" si="263"/>
        <v>5.46</v>
      </c>
      <c r="CQ92" s="4">
        <f t="shared" si="264"/>
        <v>5.46</v>
      </c>
      <c r="CR92" s="3">
        <v>1.84</v>
      </c>
      <c r="CS92" s="3">
        <f t="shared" si="265"/>
        <v>1.84</v>
      </c>
      <c r="CT92" s="4">
        <f t="shared" si="266"/>
        <v>1.84</v>
      </c>
      <c r="CU92" s="3">
        <v>2.73</v>
      </c>
      <c r="CV92" s="3">
        <f t="shared" si="267"/>
        <v>2.73</v>
      </c>
      <c r="CW92" s="4">
        <f t="shared" si="268"/>
        <v>2.73</v>
      </c>
      <c r="CX92" s="3">
        <v>3.17</v>
      </c>
      <c r="CY92" s="3">
        <f t="shared" si="269"/>
        <v>3.17</v>
      </c>
      <c r="CZ92" s="21">
        <f t="shared" si="270"/>
        <v>3.17</v>
      </c>
    </row>
    <row r="93" spans="2:194">
      <c r="B93" s="20" t="s">
        <v>617</v>
      </c>
      <c r="C93" s="3">
        <v>3</v>
      </c>
      <c r="D93" s="3">
        <f t="shared" si="207"/>
        <v>3</v>
      </c>
      <c r="E93" s="4">
        <f t="shared" si="208"/>
        <v>3</v>
      </c>
      <c r="F93" s="3">
        <v>4.4000000000000004</v>
      </c>
      <c r="G93" s="3">
        <f t="shared" si="209"/>
        <v>4.4000000000000004</v>
      </c>
      <c r="H93" s="4">
        <f t="shared" si="210"/>
        <v>4.4000000000000004</v>
      </c>
      <c r="I93" s="3">
        <v>5.3</v>
      </c>
      <c r="J93" s="3">
        <f t="shared" si="211"/>
        <v>5.3</v>
      </c>
      <c r="K93" s="4">
        <f t="shared" si="212"/>
        <v>5.3</v>
      </c>
      <c r="L93" s="3">
        <v>0.99</v>
      </c>
      <c r="M93" s="3">
        <f t="shared" si="213"/>
        <v>0.99</v>
      </c>
      <c r="N93" s="4" t="str">
        <f t="shared" si="214"/>
        <v/>
      </c>
      <c r="O93" s="3">
        <v>1.66</v>
      </c>
      <c r="P93" s="3">
        <f t="shared" si="215"/>
        <v>1.66</v>
      </c>
      <c r="Q93" s="4" t="str">
        <f t="shared" si="216"/>
        <v/>
      </c>
      <c r="R93" s="3">
        <v>4.8899999999999997</v>
      </c>
      <c r="S93" s="3">
        <f t="shared" si="217"/>
        <v>4.8899999999999997</v>
      </c>
      <c r="T93" s="4">
        <f t="shared" si="218"/>
        <v>4.8899999999999997</v>
      </c>
      <c r="U93" s="3">
        <v>1.75</v>
      </c>
      <c r="V93" s="3">
        <f t="shared" si="219"/>
        <v>1.75</v>
      </c>
      <c r="W93" s="4">
        <f t="shared" si="220"/>
        <v>1.75</v>
      </c>
      <c r="X93" s="3">
        <v>2.23</v>
      </c>
      <c r="Y93" s="3">
        <f t="shared" si="221"/>
        <v>2.23</v>
      </c>
      <c r="Z93" s="21">
        <f t="shared" si="222"/>
        <v>2.23</v>
      </c>
      <c r="BB93" s="20" t="s">
        <v>618</v>
      </c>
      <c r="BC93" s="3">
        <v>3.91</v>
      </c>
      <c r="BD93" s="3">
        <f t="shared" si="239"/>
        <v>3.91</v>
      </c>
      <c r="BE93" s="4">
        <f t="shared" si="240"/>
        <v>3.91</v>
      </c>
      <c r="BF93" s="3">
        <v>4.26</v>
      </c>
      <c r="BG93" s="3">
        <f t="shared" si="241"/>
        <v>4.26</v>
      </c>
      <c r="BH93" s="4">
        <f t="shared" si="242"/>
        <v>4.26</v>
      </c>
      <c r="BI93" s="3">
        <v>4.13</v>
      </c>
      <c r="BJ93" s="3">
        <f t="shared" si="243"/>
        <v>4.13</v>
      </c>
      <c r="BK93" s="4">
        <f t="shared" si="244"/>
        <v>4.13</v>
      </c>
      <c r="BL93" s="3">
        <v>4.37</v>
      </c>
      <c r="BM93" s="3">
        <f t="shared" si="245"/>
        <v>4.37</v>
      </c>
      <c r="BN93" s="4">
        <f t="shared" si="246"/>
        <v>4.37</v>
      </c>
      <c r="BO93" s="3">
        <v>3.61</v>
      </c>
      <c r="BP93" s="3">
        <f t="shared" si="247"/>
        <v>3.61</v>
      </c>
      <c r="BQ93" s="4">
        <f t="shared" si="248"/>
        <v>3.61</v>
      </c>
      <c r="BR93" s="3">
        <v>3.14</v>
      </c>
      <c r="BS93" s="3">
        <f t="shared" si="249"/>
        <v>3.14</v>
      </c>
      <c r="BT93" s="4">
        <f t="shared" si="250"/>
        <v>3.14</v>
      </c>
      <c r="BU93" s="3">
        <v>1.67</v>
      </c>
      <c r="BV93" s="3">
        <f t="shared" si="251"/>
        <v>1.67</v>
      </c>
      <c r="BW93" s="4">
        <f t="shared" si="252"/>
        <v>1.67</v>
      </c>
      <c r="BX93" s="3">
        <v>1.29</v>
      </c>
      <c r="BY93" s="3">
        <f t="shared" si="253"/>
        <v>1.29</v>
      </c>
      <c r="BZ93" s="21">
        <f t="shared" si="254"/>
        <v>1.29</v>
      </c>
      <c r="CB93" s="20" t="s">
        <v>619</v>
      </c>
      <c r="CC93" s="3">
        <v>4.1900000000000004</v>
      </c>
      <c r="CD93" s="3">
        <f t="shared" si="255"/>
        <v>4.1900000000000004</v>
      </c>
      <c r="CE93" s="4">
        <f t="shared" si="256"/>
        <v>4.1900000000000004</v>
      </c>
      <c r="CF93" s="3">
        <v>6.07</v>
      </c>
      <c r="CG93" s="3">
        <f t="shared" si="257"/>
        <v>6.07</v>
      </c>
      <c r="CH93" s="4">
        <f t="shared" si="258"/>
        <v>6.07</v>
      </c>
      <c r="CI93" s="3">
        <v>3.75</v>
      </c>
      <c r="CJ93" s="3">
        <f t="shared" si="259"/>
        <v>3.75</v>
      </c>
      <c r="CK93" s="4">
        <f t="shared" si="260"/>
        <v>3.75</v>
      </c>
      <c r="CL93" s="3">
        <v>5.15</v>
      </c>
      <c r="CM93" s="3">
        <f t="shared" si="261"/>
        <v>5.15</v>
      </c>
      <c r="CN93" s="4">
        <f t="shared" si="262"/>
        <v>5.15</v>
      </c>
      <c r="CO93" s="3">
        <v>5.43</v>
      </c>
      <c r="CP93" s="3">
        <f t="shared" si="263"/>
        <v>5.43</v>
      </c>
      <c r="CQ93" s="4">
        <f t="shared" si="264"/>
        <v>5.43</v>
      </c>
      <c r="CR93" s="3">
        <v>1.84</v>
      </c>
      <c r="CS93" s="3">
        <f t="shared" si="265"/>
        <v>1.84</v>
      </c>
      <c r="CT93" s="4">
        <f t="shared" si="266"/>
        <v>1.84</v>
      </c>
      <c r="CU93" s="3">
        <v>3.79</v>
      </c>
      <c r="CV93" s="3">
        <f t="shared" si="267"/>
        <v>3.79</v>
      </c>
      <c r="CW93" s="4">
        <f t="shared" si="268"/>
        <v>3.79</v>
      </c>
      <c r="CX93" s="3">
        <v>0</v>
      </c>
      <c r="CY93" s="3" t="str">
        <f t="shared" si="269"/>
        <v/>
      </c>
      <c r="CZ93" s="21" t="str">
        <f t="shared" si="270"/>
        <v/>
      </c>
    </row>
    <row r="94" spans="2:194">
      <c r="B94" s="20" t="s">
        <v>620</v>
      </c>
      <c r="C94" s="3">
        <v>2.97</v>
      </c>
      <c r="D94" s="3">
        <f t="shared" si="207"/>
        <v>2.97</v>
      </c>
      <c r="E94" s="4">
        <f t="shared" si="208"/>
        <v>2.97</v>
      </c>
      <c r="F94" s="3">
        <v>4.43</v>
      </c>
      <c r="G94" s="3">
        <f t="shared" si="209"/>
        <v>4.43</v>
      </c>
      <c r="H94" s="4">
        <f t="shared" si="210"/>
        <v>4.43</v>
      </c>
      <c r="I94" s="3">
        <v>5.26</v>
      </c>
      <c r="J94" s="3">
        <f t="shared" si="211"/>
        <v>5.26</v>
      </c>
      <c r="K94" s="4">
        <f t="shared" si="212"/>
        <v>5.26</v>
      </c>
      <c r="L94" s="3">
        <v>5.0999999999999996</v>
      </c>
      <c r="M94" s="3">
        <f t="shared" si="213"/>
        <v>5.0999999999999996</v>
      </c>
      <c r="N94" s="4">
        <f t="shared" si="214"/>
        <v>5.0999999999999996</v>
      </c>
      <c r="O94" s="3">
        <v>4.32</v>
      </c>
      <c r="P94" s="3">
        <f t="shared" si="215"/>
        <v>4.32</v>
      </c>
      <c r="Q94" s="4">
        <f t="shared" si="216"/>
        <v>4.32</v>
      </c>
      <c r="R94" s="3">
        <v>0.18</v>
      </c>
      <c r="S94" s="3">
        <f t="shared" si="217"/>
        <v>0.18</v>
      </c>
      <c r="T94" s="4" t="str">
        <f t="shared" si="218"/>
        <v/>
      </c>
      <c r="U94" s="3">
        <v>1.73</v>
      </c>
      <c r="V94" s="3">
        <f t="shared" si="219"/>
        <v>1.73</v>
      </c>
      <c r="W94" s="4">
        <f t="shared" si="220"/>
        <v>1.73</v>
      </c>
      <c r="X94" s="3">
        <v>2.27</v>
      </c>
      <c r="Y94" s="3">
        <f t="shared" si="221"/>
        <v>2.27</v>
      </c>
      <c r="Z94" s="21">
        <f t="shared" si="222"/>
        <v>2.27</v>
      </c>
      <c r="BB94" s="20" t="s">
        <v>621</v>
      </c>
      <c r="BC94" s="3">
        <v>3.91</v>
      </c>
      <c r="BD94" s="3">
        <f t="shared" si="239"/>
        <v>3.91</v>
      </c>
      <c r="BE94" s="4">
        <f t="shared" si="240"/>
        <v>3.91</v>
      </c>
      <c r="BF94" s="3">
        <v>4.26</v>
      </c>
      <c r="BG94" s="3">
        <f t="shared" si="241"/>
        <v>4.26</v>
      </c>
      <c r="BH94" s="4">
        <f t="shared" si="242"/>
        <v>4.26</v>
      </c>
      <c r="BI94" s="3">
        <v>4.1100000000000003</v>
      </c>
      <c r="BJ94" s="3">
        <f t="shared" si="243"/>
        <v>4.1100000000000003</v>
      </c>
      <c r="BK94" s="4">
        <f t="shared" si="244"/>
        <v>4.1100000000000003</v>
      </c>
      <c r="BL94" s="3">
        <v>4.28</v>
      </c>
      <c r="BM94" s="3">
        <f t="shared" si="245"/>
        <v>4.28</v>
      </c>
      <c r="BN94" s="4">
        <f t="shared" si="246"/>
        <v>4.28</v>
      </c>
      <c r="BO94" s="3">
        <v>3.63</v>
      </c>
      <c r="BP94" s="3">
        <f t="shared" si="247"/>
        <v>3.63</v>
      </c>
      <c r="BQ94" s="4">
        <f t="shared" si="248"/>
        <v>3.63</v>
      </c>
      <c r="BR94" s="3">
        <v>3.12</v>
      </c>
      <c r="BS94" s="3">
        <f t="shared" si="249"/>
        <v>3.12</v>
      </c>
      <c r="BT94" s="4">
        <f t="shared" si="250"/>
        <v>3.12</v>
      </c>
      <c r="BU94" s="3">
        <v>1.59</v>
      </c>
      <c r="BV94" s="3">
        <f t="shared" si="251"/>
        <v>1.59</v>
      </c>
      <c r="BW94" s="4">
        <f t="shared" si="252"/>
        <v>1.59</v>
      </c>
      <c r="BX94" s="3">
        <v>1.25</v>
      </c>
      <c r="BY94" s="3">
        <f t="shared" si="253"/>
        <v>1.25</v>
      </c>
      <c r="BZ94" s="21">
        <f t="shared" si="254"/>
        <v>1.25</v>
      </c>
      <c r="CB94" s="20" t="s">
        <v>622</v>
      </c>
      <c r="CC94" s="3">
        <v>4.1399999999999997</v>
      </c>
      <c r="CD94" s="3">
        <f t="shared" si="255"/>
        <v>4.1399999999999997</v>
      </c>
      <c r="CE94" s="4">
        <f t="shared" si="256"/>
        <v>4.1399999999999997</v>
      </c>
      <c r="CF94" s="3">
        <v>6.1</v>
      </c>
      <c r="CG94" s="3">
        <f t="shared" si="257"/>
        <v>6.1</v>
      </c>
      <c r="CH94" s="4">
        <f t="shared" si="258"/>
        <v>6.1</v>
      </c>
      <c r="CI94" s="3">
        <v>3.74</v>
      </c>
      <c r="CJ94" s="3">
        <f t="shared" si="259"/>
        <v>3.74</v>
      </c>
      <c r="CK94" s="4">
        <f t="shared" si="260"/>
        <v>3.74</v>
      </c>
      <c r="CL94" s="3">
        <v>5.62</v>
      </c>
      <c r="CM94" s="3">
        <f t="shared" si="261"/>
        <v>5.62</v>
      </c>
      <c r="CN94" s="4">
        <f t="shared" si="262"/>
        <v>5.62</v>
      </c>
      <c r="CO94" s="3">
        <v>5.46</v>
      </c>
      <c r="CP94" s="3">
        <f t="shared" si="263"/>
        <v>5.46</v>
      </c>
      <c r="CQ94" s="4">
        <f t="shared" si="264"/>
        <v>5.46</v>
      </c>
      <c r="CR94" s="3">
        <v>1.84</v>
      </c>
      <c r="CS94" s="3">
        <f t="shared" si="265"/>
        <v>1.84</v>
      </c>
      <c r="CT94" s="4">
        <f t="shared" si="266"/>
        <v>1.84</v>
      </c>
      <c r="CU94" s="3">
        <v>3.73</v>
      </c>
      <c r="CV94" s="3">
        <f t="shared" si="267"/>
        <v>3.73</v>
      </c>
      <c r="CW94" s="4">
        <f t="shared" si="268"/>
        <v>3.73</v>
      </c>
      <c r="CX94" s="3">
        <v>3.17</v>
      </c>
      <c r="CY94" s="3">
        <f t="shared" si="269"/>
        <v>3.17</v>
      </c>
      <c r="CZ94" s="21">
        <f t="shared" si="270"/>
        <v>3.17</v>
      </c>
    </row>
    <row r="95" spans="2:194">
      <c r="B95" s="20" t="s">
        <v>623</v>
      </c>
      <c r="C95" s="3">
        <v>2.02</v>
      </c>
      <c r="D95" s="3">
        <f t="shared" si="207"/>
        <v>2.02</v>
      </c>
      <c r="E95" s="4" t="str">
        <f t="shared" si="208"/>
        <v/>
      </c>
      <c r="F95" s="3">
        <v>4.4400000000000004</v>
      </c>
      <c r="G95" s="3">
        <f t="shared" si="209"/>
        <v>4.4400000000000004</v>
      </c>
      <c r="H95" s="4">
        <f t="shared" si="210"/>
        <v>4.4400000000000004</v>
      </c>
      <c r="I95" s="3">
        <v>5.31</v>
      </c>
      <c r="J95" s="3">
        <f t="shared" si="211"/>
        <v>5.31</v>
      </c>
      <c r="K95" s="4">
        <f t="shared" si="212"/>
        <v>5.31</v>
      </c>
      <c r="L95" s="3">
        <v>4.34</v>
      </c>
      <c r="M95" s="3">
        <f t="shared" si="213"/>
        <v>4.34</v>
      </c>
      <c r="N95" s="4">
        <f t="shared" si="214"/>
        <v>4.34</v>
      </c>
      <c r="O95" s="3">
        <v>4.3</v>
      </c>
      <c r="P95" s="3">
        <f t="shared" si="215"/>
        <v>4.3</v>
      </c>
      <c r="Q95" s="4">
        <f t="shared" si="216"/>
        <v>4.3</v>
      </c>
      <c r="R95" s="3">
        <v>4.84</v>
      </c>
      <c r="S95" s="3">
        <f t="shared" si="217"/>
        <v>4.84</v>
      </c>
      <c r="T95" s="4">
        <f t="shared" si="218"/>
        <v>4.84</v>
      </c>
      <c r="U95" s="3">
        <v>1.74</v>
      </c>
      <c r="V95" s="3">
        <f t="shared" si="219"/>
        <v>1.74</v>
      </c>
      <c r="W95" s="4">
        <f t="shared" si="220"/>
        <v>1.74</v>
      </c>
      <c r="X95" s="3">
        <v>2.2599999999999998</v>
      </c>
      <c r="Y95" s="3">
        <f t="shared" si="221"/>
        <v>2.2599999999999998</v>
      </c>
      <c r="Z95" s="21">
        <f t="shared" si="222"/>
        <v>2.2599999999999998</v>
      </c>
      <c r="BB95" s="20" t="s">
        <v>624</v>
      </c>
      <c r="BC95" s="3">
        <v>3.9</v>
      </c>
      <c r="BD95" s="3">
        <f t="shared" si="239"/>
        <v>3.9</v>
      </c>
      <c r="BE95" s="4">
        <f t="shared" si="240"/>
        <v>3.9</v>
      </c>
      <c r="BF95" s="3">
        <v>3.59</v>
      </c>
      <c r="BG95" s="3">
        <f t="shared" si="241"/>
        <v>3.59</v>
      </c>
      <c r="BH95" s="4">
        <f t="shared" si="242"/>
        <v>3.59</v>
      </c>
      <c r="BI95" s="3">
        <v>4.16</v>
      </c>
      <c r="BJ95" s="3">
        <f t="shared" si="243"/>
        <v>4.16</v>
      </c>
      <c r="BK95" s="4">
        <f t="shared" si="244"/>
        <v>4.16</v>
      </c>
      <c r="BL95" s="3">
        <v>4.3</v>
      </c>
      <c r="BM95" s="3">
        <f t="shared" si="245"/>
        <v>4.3</v>
      </c>
      <c r="BN95" s="4">
        <f t="shared" si="246"/>
        <v>4.3</v>
      </c>
      <c r="BO95" s="3">
        <v>1.53</v>
      </c>
      <c r="BP95" s="3">
        <f t="shared" si="247"/>
        <v>1.53</v>
      </c>
      <c r="BQ95" s="4" t="str">
        <f t="shared" si="248"/>
        <v/>
      </c>
      <c r="BR95" s="3">
        <v>3.12</v>
      </c>
      <c r="BS95" s="3">
        <f t="shared" si="249"/>
        <v>3.12</v>
      </c>
      <c r="BT95" s="4">
        <f t="shared" si="250"/>
        <v>3.12</v>
      </c>
      <c r="BU95" s="3">
        <v>1.63</v>
      </c>
      <c r="BV95" s="3">
        <f t="shared" si="251"/>
        <v>1.63</v>
      </c>
      <c r="BW95" s="4">
        <f t="shared" si="252"/>
        <v>1.63</v>
      </c>
      <c r="BX95" s="3">
        <v>1.25</v>
      </c>
      <c r="BY95" s="3">
        <f t="shared" si="253"/>
        <v>1.25</v>
      </c>
      <c r="BZ95" s="21">
        <f t="shared" si="254"/>
        <v>1.25</v>
      </c>
      <c r="CB95" s="20" t="s">
        <v>625</v>
      </c>
      <c r="CC95" s="3">
        <v>4.1399999999999997</v>
      </c>
      <c r="CD95" s="3">
        <f t="shared" si="255"/>
        <v>4.1399999999999997</v>
      </c>
      <c r="CE95" s="4">
        <f t="shared" si="256"/>
        <v>4.1399999999999997</v>
      </c>
      <c r="CF95" s="3">
        <v>6.09</v>
      </c>
      <c r="CG95" s="3">
        <f t="shared" si="257"/>
        <v>6.09</v>
      </c>
      <c r="CH95" s="4">
        <f t="shared" si="258"/>
        <v>6.09</v>
      </c>
      <c r="CI95" s="3">
        <v>3.76</v>
      </c>
      <c r="CJ95" s="3">
        <f t="shared" si="259"/>
        <v>3.76</v>
      </c>
      <c r="CK95" s="4">
        <f t="shared" si="260"/>
        <v>3.76</v>
      </c>
      <c r="CL95" s="3">
        <v>5.12</v>
      </c>
      <c r="CM95" s="3">
        <f t="shared" si="261"/>
        <v>5.12</v>
      </c>
      <c r="CN95" s="4">
        <f t="shared" si="262"/>
        <v>5.12</v>
      </c>
      <c r="CO95" s="3">
        <v>5.46</v>
      </c>
      <c r="CP95" s="3">
        <f t="shared" si="263"/>
        <v>5.46</v>
      </c>
      <c r="CQ95" s="4">
        <f t="shared" si="264"/>
        <v>5.46</v>
      </c>
      <c r="CR95" s="3">
        <v>1.84</v>
      </c>
      <c r="CS95" s="3">
        <f t="shared" si="265"/>
        <v>1.84</v>
      </c>
      <c r="CT95" s="4">
        <f t="shared" si="266"/>
        <v>1.84</v>
      </c>
      <c r="CU95" s="3">
        <v>3.72</v>
      </c>
      <c r="CV95" s="3">
        <f t="shared" si="267"/>
        <v>3.72</v>
      </c>
      <c r="CW95" s="4">
        <f t="shared" si="268"/>
        <v>3.72</v>
      </c>
      <c r="CX95" s="3">
        <v>3.18</v>
      </c>
      <c r="CY95" s="3">
        <f t="shared" si="269"/>
        <v>3.18</v>
      </c>
      <c r="CZ95" s="21">
        <f t="shared" si="270"/>
        <v>3.18</v>
      </c>
      <c r="GL95" s="6"/>
    </row>
    <row r="96" spans="2:194">
      <c r="B96" s="20" t="s">
        <v>626</v>
      </c>
      <c r="C96" s="3">
        <v>3.01</v>
      </c>
      <c r="D96" s="3">
        <f t="shared" si="207"/>
        <v>3.01</v>
      </c>
      <c r="E96" s="4">
        <f t="shared" si="208"/>
        <v>3.01</v>
      </c>
      <c r="F96" s="3">
        <v>4.38</v>
      </c>
      <c r="G96" s="3">
        <f t="shared" si="209"/>
        <v>4.38</v>
      </c>
      <c r="H96" s="4">
        <f t="shared" si="210"/>
        <v>4.38</v>
      </c>
      <c r="I96" s="3">
        <v>5.28</v>
      </c>
      <c r="J96" s="3">
        <f t="shared" si="211"/>
        <v>5.28</v>
      </c>
      <c r="K96" s="4">
        <f t="shared" si="212"/>
        <v>5.28</v>
      </c>
      <c r="L96" s="3">
        <v>5.64</v>
      </c>
      <c r="M96" s="3">
        <f t="shared" si="213"/>
        <v>5.64</v>
      </c>
      <c r="N96" s="4">
        <f t="shared" si="214"/>
        <v>5.64</v>
      </c>
      <c r="O96" s="3">
        <v>4.32</v>
      </c>
      <c r="P96" s="3">
        <f t="shared" si="215"/>
        <v>4.32</v>
      </c>
      <c r="Q96" s="4">
        <f t="shared" si="216"/>
        <v>4.32</v>
      </c>
      <c r="R96" s="3">
        <v>4.92</v>
      </c>
      <c r="S96" s="3">
        <f t="shared" si="217"/>
        <v>4.92</v>
      </c>
      <c r="T96" s="4">
        <f t="shared" si="218"/>
        <v>4.92</v>
      </c>
      <c r="U96" s="3">
        <v>1.76</v>
      </c>
      <c r="V96" s="3">
        <f t="shared" si="219"/>
        <v>1.76</v>
      </c>
      <c r="W96" s="4">
        <f t="shared" si="220"/>
        <v>1.76</v>
      </c>
      <c r="X96" s="3">
        <v>2.23</v>
      </c>
      <c r="Y96" s="3">
        <f t="shared" si="221"/>
        <v>2.23</v>
      </c>
      <c r="Z96" s="21">
        <f t="shared" si="222"/>
        <v>2.23</v>
      </c>
      <c r="BB96" s="20" t="s">
        <v>627</v>
      </c>
      <c r="BC96" s="3">
        <v>3.91</v>
      </c>
      <c r="BD96" s="3">
        <f t="shared" si="239"/>
        <v>3.91</v>
      </c>
      <c r="BE96" s="4">
        <f t="shared" si="240"/>
        <v>3.91</v>
      </c>
      <c r="BF96" s="3">
        <v>4.29</v>
      </c>
      <c r="BG96" s="3">
        <f t="shared" si="241"/>
        <v>4.29</v>
      </c>
      <c r="BH96" s="4">
        <f t="shared" si="242"/>
        <v>4.29</v>
      </c>
      <c r="BI96" s="3">
        <v>4.18</v>
      </c>
      <c r="BJ96" s="3">
        <f t="shared" si="243"/>
        <v>4.18</v>
      </c>
      <c r="BK96" s="4">
        <f t="shared" si="244"/>
        <v>4.18</v>
      </c>
      <c r="BL96" s="3">
        <v>4.32</v>
      </c>
      <c r="BM96" s="3">
        <f t="shared" si="245"/>
        <v>4.32</v>
      </c>
      <c r="BN96" s="4">
        <f t="shared" si="246"/>
        <v>4.32</v>
      </c>
      <c r="BO96" s="3">
        <v>2.99</v>
      </c>
      <c r="BP96" s="3">
        <f t="shared" si="247"/>
        <v>2.99</v>
      </c>
      <c r="BQ96" s="4">
        <f t="shared" si="248"/>
        <v>2.99</v>
      </c>
      <c r="BR96" s="3">
        <v>3.11</v>
      </c>
      <c r="BS96" s="3">
        <f t="shared" si="249"/>
        <v>3.11</v>
      </c>
      <c r="BT96" s="4">
        <f t="shared" si="250"/>
        <v>3.11</v>
      </c>
      <c r="BU96" s="3">
        <v>1.59</v>
      </c>
      <c r="BV96" s="3">
        <f t="shared" si="251"/>
        <v>1.59</v>
      </c>
      <c r="BW96" s="4">
        <f t="shared" si="252"/>
        <v>1.59</v>
      </c>
      <c r="BX96" s="3">
        <v>1.19</v>
      </c>
      <c r="BY96" s="3">
        <f t="shared" si="253"/>
        <v>1.19</v>
      </c>
      <c r="BZ96" s="21">
        <f t="shared" si="254"/>
        <v>1.19</v>
      </c>
      <c r="CB96" s="20" t="s">
        <v>628</v>
      </c>
      <c r="CC96" s="3">
        <v>4.1399999999999997</v>
      </c>
      <c r="CD96" s="3">
        <f t="shared" si="255"/>
        <v>4.1399999999999997</v>
      </c>
      <c r="CE96" s="4">
        <f t="shared" si="256"/>
        <v>4.1399999999999997</v>
      </c>
      <c r="CF96" s="3">
        <v>6.09</v>
      </c>
      <c r="CG96" s="3">
        <f t="shared" si="257"/>
        <v>6.09</v>
      </c>
      <c r="CH96" s="4">
        <f t="shared" si="258"/>
        <v>6.09</v>
      </c>
      <c r="CI96" s="3">
        <v>0.22</v>
      </c>
      <c r="CJ96" s="3">
        <f t="shared" si="259"/>
        <v>0.22</v>
      </c>
      <c r="CK96" s="4" t="str">
        <f t="shared" si="260"/>
        <v/>
      </c>
      <c r="CL96" s="3">
        <v>4.18</v>
      </c>
      <c r="CM96" s="3">
        <f t="shared" si="261"/>
        <v>4.18</v>
      </c>
      <c r="CN96" s="4">
        <f t="shared" si="262"/>
        <v>4.18</v>
      </c>
      <c r="CO96" s="3">
        <v>5.46</v>
      </c>
      <c r="CP96" s="3">
        <f t="shared" si="263"/>
        <v>5.46</v>
      </c>
      <c r="CQ96" s="4">
        <f t="shared" si="264"/>
        <v>5.46</v>
      </c>
      <c r="CR96" s="3">
        <v>1.83</v>
      </c>
      <c r="CS96" s="3">
        <f t="shared" si="265"/>
        <v>1.83</v>
      </c>
      <c r="CT96" s="4">
        <f t="shared" si="266"/>
        <v>1.83</v>
      </c>
      <c r="CU96" s="3">
        <v>3.78</v>
      </c>
      <c r="CV96" s="3">
        <f t="shared" si="267"/>
        <v>3.78</v>
      </c>
      <c r="CW96" s="4">
        <f t="shared" si="268"/>
        <v>3.78</v>
      </c>
      <c r="CX96" s="3">
        <v>0</v>
      </c>
      <c r="CY96" s="3" t="str">
        <f t="shared" si="269"/>
        <v/>
      </c>
      <c r="CZ96" s="21" t="str">
        <f t="shared" si="270"/>
        <v/>
      </c>
    </row>
    <row r="97" spans="2:104">
      <c r="B97" s="20" t="s">
        <v>629</v>
      </c>
      <c r="C97" s="3">
        <v>3.02</v>
      </c>
      <c r="D97" s="3">
        <f t="shared" si="207"/>
        <v>3.02</v>
      </c>
      <c r="E97" s="4">
        <f t="shared" si="208"/>
        <v>3.02</v>
      </c>
      <c r="F97" s="3">
        <v>4.37</v>
      </c>
      <c r="G97" s="3">
        <f t="shared" si="209"/>
        <v>4.37</v>
      </c>
      <c r="H97" s="4">
        <f t="shared" si="210"/>
        <v>4.37</v>
      </c>
      <c r="I97" s="3">
        <v>5.31</v>
      </c>
      <c r="J97" s="3">
        <f t="shared" si="211"/>
        <v>5.31</v>
      </c>
      <c r="K97" s="4">
        <f t="shared" si="212"/>
        <v>5.31</v>
      </c>
      <c r="L97" s="3">
        <v>5.67</v>
      </c>
      <c r="M97" s="3">
        <f t="shared" si="213"/>
        <v>5.67</v>
      </c>
      <c r="N97" s="4">
        <f t="shared" si="214"/>
        <v>5.67</v>
      </c>
      <c r="O97" s="3">
        <v>4.32</v>
      </c>
      <c r="P97" s="3">
        <f t="shared" si="215"/>
        <v>4.32</v>
      </c>
      <c r="Q97" s="4">
        <f t="shared" si="216"/>
        <v>4.32</v>
      </c>
      <c r="R97" s="3">
        <v>4.88</v>
      </c>
      <c r="S97" s="3">
        <f t="shared" si="217"/>
        <v>4.88</v>
      </c>
      <c r="T97" s="4">
        <f t="shared" si="218"/>
        <v>4.88</v>
      </c>
      <c r="U97" s="3">
        <v>1.72</v>
      </c>
      <c r="V97" s="3">
        <f t="shared" si="219"/>
        <v>1.72</v>
      </c>
      <c r="W97" s="4">
        <f t="shared" si="220"/>
        <v>1.72</v>
      </c>
      <c r="X97" s="3">
        <v>2.23</v>
      </c>
      <c r="Y97" s="3">
        <f t="shared" si="221"/>
        <v>2.23</v>
      </c>
      <c r="Z97" s="21">
        <f t="shared" si="222"/>
        <v>2.23</v>
      </c>
      <c r="BB97" s="20" t="s">
        <v>630</v>
      </c>
      <c r="BC97" s="3">
        <v>3.94</v>
      </c>
      <c r="BD97" s="3">
        <f t="shared" si="239"/>
        <v>3.94</v>
      </c>
      <c r="BE97" s="4">
        <f t="shared" si="240"/>
        <v>3.94</v>
      </c>
      <c r="BF97" s="3">
        <v>4.25</v>
      </c>
      <c r="BG97" s="3">
        <f t="shared" si="241"/>
        <v>4.25</v>
      </c>
      <c r="BH97" s="4">
        <f t="shared" si="242"/>
        <v>4.25</v>
      </c>
      <c r="BI97" s="3">
        <v>4.17</v>
      </c>
      <c r="BJ97" s="3">
        <f t="shared" si="243"/>
        <v>4.17</v>
      </c>
      <c r="BK97" s="4">
        <f t="shared" si="244"/>
        <v>4.17</v>
      </c>
      <c r="BL97" s="3">
        <v>4.3600000000000003</v>
      </c>
      <c r="BM97" s="3">
        <f t="shared" si="245"/>
        <v>4.3600000000000003</v>
      </c>
      <c r="BN97" s="4">
        <f t="shared" si="246"/>
        <v>4.3600000000000003</v>
      </c>
      <c r="BO97" s="3">
        <v>3.64</v>
      </c>
      <c r="BP97" s="3">
        <f t="shared" si="247"/>
        <v>3.64</v>
      </c>
      <c r="BQ97" s="4">
        <f t="shared" si="248"/>
        <v>3.64</v>
      </c>
      <c r="BR97" s="3">
        <v>3.11</v>
      </c>
      <c r="BS97" s="3">
        <f t="shared" si="249"/>
        <v>3.11</v>
      </c>
      <c r="BT97" s="4">
        <f t="shared" si="250"/>
        <v>3.11</v>
      </c>
      <c r="BU97" s="3">
        <v>1.62</v>
      </c>
      <c r="BV97" s="3">
        <f t="shared" si="251"/>
        <v>1.62</v>
      </c>
      <c r="BW97" s="4">
        <f t="shared" si="252"/>
        <v>1.62</v>
      </c>
      <c r="BX97" s="3">
        <v>1.25</v>
      </c>
      <c r="BY97" s="3">
        <f t="shared" si="253"/>
        <v>1.25</v>
      </c>
      <c r="BZ97" s="21">
        <f t="shared" si="254"/>
        <v>1.25</v>
      </c>
      <c r="CB97" s="20" t="s">
        <v>631</v>
      </c>
      <c r="CC97" s="3">
        <v>4.1399999999999997</v>
      </c>
      <c r="CD97" s="3">
        <f t="shared" si="255"/>
        <v>4.1399999999999997</v>
      </c>
      <c r="CE97" s="4">
        <f t="shared" si="256"/>
        <v>4.1399999999999997</v>
      </c>
      <c r="CF97" s="3">
        <v>6.07</v>
      </c>
      <c r="CG97" s="3">
        <f t="shared" si="257"/>
        <v>6.07</v>
      </c>
      <c r="CH97" s="4">
        <f t="shared" si="258"/>
        <v>6.07</v>
      </c>
      <c r="CI97" s="3">
        <v>3.79</v>
      </c>
      <c r="CJ97" s="3">
        <f t="shared" si="259"/>
        <v>3.79</v>
      </c>
      <c r="CK97" s="4">
        <f t="shared" si="260"/>
        <v>3.79</v>
      </c>
      <c r="CL97" s="3">
        <v>6.21</v>
      </c>
      <c r="CM97" s="3">
        <f t="shared" si="261"/>
        <v>6.21</v>
      </c>
      <c r="CN97" s="4" t="str">
        <f t="shared" si="262"/>
        <v/>
      </c>
      <c r="CO97" s="3">
        <v>4.53</v>
      </c>
      <c r="CP97" s="3">
        <f t="shared" si="263"/>
        <v>4.53</v>
      </c>
      <c r="CQ97" s="4" t="str">
        <f t="shared" si="264"/>
        <v/>
      </c>
      <c r="CR97" s="3">
        <v>1.84</v>
      </c>
      <c r="CS97" s="3">
        <f t="shared" si="265"/>
        <v>1.84</v>
      </c>
      <c r="CT97" s="4">
        <f t="shared" si="266"/>
        <v>1.84</v>
      </c>
      <c r="CU97" s="3">
        <v>3.74</v>
      </c>
      <c r="CV97" s="3">
        <f t="shared" si="267"/>
        <v>3.74</v>
      </c>
      <c r="CW97" s="4">
        <f t="shared" si="268"/>
        <v>3.74</v>
      </c>
      <c r="CX97" s="3">
        <v>0</v>
      </c>
      <c r="CY97" s="3" t="str">
        <f t="shared" si="269"/>
        <v/>
      </c>
      <c r="CZ97" s="21" t="str">
        <f t="shared" si="270"/>
        <v/>
      </c>
    </row>
    <row r="98" spans="2:104">
      <c r="B98" s="20" t="s">
        <v>632</v>
      </c>
      <c r="C98" s="3">
        <v>2.99</v>
      </c>
      <c r="D98" s="3">
        <f t="shared" si="207"/>
        <v>2.99</v>
      </c>
      <c r="E98" s="4">
        <f t="shared" si="208"/>
        <v>2.99</v>
      </c>
      <c r="F98" s="3">
        <v>4.38</v>
      </c>
      <c r="G98" s="3">
        <f t="shared" si="209"/>
        <v>4.38</v>
      </c>
      <c r="H98" s="4">
        <f t="shared" si="210"/>
        <v>4.38</v>
      </c>
      <c r="I98" s="3">
        <v>5.31</v>
      </c>
      <c r="J98" s="3">
        <f t="shared" si="211"/>
        <v>5.31</v>
      </c>
      <c r="K98" s="4">
        <f t="shared" si="212"/>
        <v>5.31</v>
      </c>
      <c r="L98" s="3">
        <v>5.62</v>
      </c>
      <c r="M98" s="3">
        <f t="shared" si="213"/>
        <v>5.62</v>
      </c>
      <c r="N98" s="4">
        <f t="shared" si="214"/>
        <v>5.62</v>
      </c>
      <c r="O98" s="3">
        <v>4.34</v>
      </c>
      <c r="P98" s="3">
        <f t="shared" si="215"/>
        <v>4.34</v>
      </c>
      <c r="Q98" s="4">
        <f t="shared" si="216"/>
        <v>4.34</v>
      </c>
      <c r="R98" s="3">
        <v>4.82</v>
      </c>
      <c r="S98" s="3">
        <f t="shared" si="217"/>
        <v>4.82</v>
      </c>
      <c r="T98" s="4">
        <f t="shared" si="218"/>
        <v>4.82</v>
      </c>
      <c r="U98" s="3">
        <v>1.77</v>
      </c>
      <c r="V98" s="3">
        <f t="shared" si="219"/>
        <v>1.77</v>
      </c>
      <c r="W98" s="4">
        <f t="shared" si="220"/>
        <v>1.77</v>
      </c>
      <c r="X98" s="3">
        <v>2.23</v>
      </c>
      <c r="Y98" s="3">
        <f t="shared" si="221"/>
        <v>2.23</v>
      </c>
      <c r="Z98" s="21">
        <f t="shared" si="222"/>
        <v>2.23</v>
      </c>
      <c r="BB98" s="20" t="s">
        <v>633</v>
      </c>
      <c r="BC98" s="3">
        <v>3.92</v>
      </c>
      <c r="BD98" s="3">
        <f t="shared" si="239"/>
        <v>3.92</v>
      </c>
      <c r="BE98" s="4">
        <f t="shared" si="240"/>
        <v>3.92</v>
      </c>
      <c r="BF98" s="3">
        <v>4.29</v>
      </c>
      <c r="BG98" s="3">
        <f t="shared" si="241"/>
        <v>4.29</v>
      </c>
      <c r="BH98" s="4">
        <f t="shared" si="242"/>
        <v>4.29</v>
      </c>
      <c r="BI98" s="3">
        <v>4.16</v>
      </c>
      <c r="BJ98" s="3">
        <f t="shared" si="243"/>
        <v>4.16</v>
      </c>
      <c r="BK98" s="4">
        <f t="shared" si="244"/>
        <v>4.16</v>
      </c>
      <c r="BL98" s="3">
        <v>4.3499999999999996</v>
      </c>
      <c r="BM98" s="3">
        <f t="shared" si="245"/>
        <v>4.3499999999999996</v>
      </c>
      <c r="BN98" s="4">
        <f t="shared" si="246"/>
        <v>4.3499999999999996</v>
      </c>
      <c r="BO98" s="3">
        <v>3.6</v>
      </c>
      <c r="BP98" s="3">
        <f t="shared" si="247"/>
        <v>3.6</v>
      </c>
      <c r="BQ98" s="4">
        <f t="shared" si="248"/>
        <v>3.6</v>
      </c>
      <c r="BR98" s="3">
        <v>3.16</v>
      </c>
      <c r="BS98" s="3">
        <f t="shared" si="249"/>
        <v>3.16</v>
      </c>
      <c r="BT98" s="4">
        <f t="shared" si="250"/>
        <v>3.16</v>
      </c>
      <c r="BU98" s="3">
        <v>1.65</v>
      </c>
      <c r="BV98" s="3">
        <f t="shared" si="251"/>
        <v>1.65</v>
      </c>
      <c r="BW98" s="4">
        <f t="shared" si="252"/>
        <v>1.65</v>
      </c>
      <c r="BX98" s="3">
        <v>1.21</v>
      </c>
      <c r="BY98" s="3">
        <f t="shared" si="253"/>
        <v>1.21</v>
      </c>
      <c r="BZ98" s="21">
        <f t="shared" si="254"/>
        <v>1.21</v>
      </c>
      <c r="CB98" s="20" t="s">
        <v>634</v>
      </c>
      <c r="CC98" s="3">
        <v>4.1500000000000004</v>
      </c>
      <c r="CD98" s="3">
        <f t="shared" si="255"/>
        <v>4.1500000000000004</v>
      </c>
      <c r="CE98" s="4">
        <f t="shared" si="256"/>
        <v>4.1500000000000004</v>
      </c>
      <c r="CF98" s="3">
        <v>6.12</v>
      </c>
      <c r="CG98" s="3">
        <f t="shared" si="257"/>
        <v>6.12</v>
      </c>
      <c r="CH98" s="4">
        <f t="shared" si="258"/>
        <v>6.12</v>
      </c>
      <c r="CI98" s="3">
        <v>3.76</v>
      </c>
      <c r="CJ98" s="3">
        <f t="shared" si="259"/>
        <v>3.76</v>
      </c>
      <c r="CK98" s="4">
        <f t="shared" si="260"/>
        <v>3.76</v>
      </c>
      <c r="CL98" s="3">
        <v>5.14</v>
      </c>
      <c r="CM98" s="3">
        <f t="shared" si="261"/>
        <v>5.14</v>
      </c>
      <c r="CN98" s="4">
        <f t="shared" si="262"/>
        <v>5.14</v>
      </c>
      <c r="CO98" s="3">
        <v>5.46</v>
      </c>
      <c r="CP98" s="3">
        <f t="shared" si="263"/>
        <v>5.46</v>
      </c>
      <c r="CQ98" s="4">
        <f t="shared" si="264"/>
        <v>5.46</v>
      </c>
      <c r="CR98" s="3">
        <v>1.86</v>
      </c>
      <c r="CS98" s="3">
        <f t="shared" si="265"/>
        <v>1.86</v>
      </c>
      <c r="CT98" s="4">
        <f t="shared" si="266"/>
        <v>1.86</v>
      </c>
      <c r="CU98" s="3">
        <v>0.56000000000000005</v>
      </c>
      <c r="CV98" s="3">
        <f t="shared" si="267"/>
        <v>0.56000000000000005</v>
      </c>
      <c r="CW98" s="4" t="str">
        <f t="shared" si="268"/>
        <v/>
      </c>
      <c r="CX98" s="3">
        <v>3.14</v>
      </c>
      <c r="CY98" s="3">
        <f t="shared" si="269"/>
        <v>3.14</v>
      </c>
      <c r="CZ98" s="21">
        <f t="shared" si="270"/>
        <v>3.14</v>
      </c>
    </row>
    <row r="99" spans="2:104">
      <c r="B99" s="20" t="s">
        <v>635</v>
      </c>
      <c r="C99" s="3">
        <v>2.98</v>
      </c>
      <c r="D99" s="3">
        <f t="shared" si="207"/>
        <v>2.98</v>
      </c>
      <c r="E99" s="4">
        <f t="shared" si="208"/>
        <v>2.98</v>
      </c>
      <c r="F99" s="3">
        <v>4.41</v>
      </c>
      <c r="G99" s="3">
        <f t="shared" si="209"/>
        <v>4.41</v>
      </c>
      <c r="H99" s="4">
        <f t="shared" si="210"/>
        <v>4.41</v>
      </c>
      <c r="I99" s="3">
        <v>5.28</v>
      </c>
      <c r="J99" s="3">
        <f t="shared" si="211"/>
        <v>5.28</v>
      </c>
      <c r="K99" s="4">
        <f t="shared" si="212"/>
        <v>5.28</v>
      </c>
      <c r="L99" s="3">
        <v>5.63</v>
      </c>
      <c r="M99" s="3">
        <f t="shared" si="213"/>
        <v>5.63</v>
      </c>
      <c r="N99" s="4">
        <f t="shared" si="214"/>
        <v>5.63</v>
      </c>
      <c r="O99" s="3">
        <v>4.33</v>
      </c>
      <c r="P99" s="3">
        <f t="shared" si="215"/>
        <v>4.33</v>
      </c>
      <c r="Q99" s="4">
        <f t="shared" si="216"/>
        <v>4.33</v>
      </c>
      <c r="R99" s="3">
        <v>4.84</v>
      </c>
      <c r="S99" s="3">
        <f t="shared" si="217"/>
        <v>4.84</v>
      </c>
      <c r="T99" s="4">
        <f t="shared" si="218"/>
        <v>4.84</v>
      </c>
      <c r="U99" s="3">
        <v>1.77</v>
      </c>
      <c r="V99" s="3">
        <f t="shared" si="219"/>
        <v>1.77</v>
      </c>
      <c r="W99" s="4">
        <f t="shared" si="220"/>
        <v>1.77</v>
      </c>
      <c r="X99" s="3">
        <v>2.2799999999999998</v>
      </c>
      <c r="Y99" s="3">
        <f t="shared" si="221"/>
        <v>2.2799999999999998</v>
      </c>
      <c r="Z99" s="21">
        <f t="shared" si="222"/>
        <v>2.2799999999999998</v>
      </c>
      <c r="BB99" s="20" t="s">
        <v>636</v>
      </c>
      <c r="BC99" s="3">
        <v>3.93</v>
      </c>
      <c r="BD99" s="3">
        <f t="shared" si="239"/>
        <v>3.93</v>
      </c>
      <c r="BE99" s="4">
        <f t="shared" si="240"/>
        <v>3.93</v>
      </c>
      <c r="BF99" s="3">
        <v>4.2699999999999996</v>
      </c>
      <c r="BG99" s="3">
        <f t="shared" si="241"/>
        <v>4.2699999999999996</v>
      </c>
      <c r="BH99" s="4">
        <f t="shared" si="242"/>
        <v>4.2699999999999996</v>
      </c>
      <c r="BI99" s="3">
        <v>4.1500000000000004</v>
      </c>
      <c r="BJ99" s="3">
        <f t="shared" si="243"/>
        <v>4.1500000000000004</v>
      </c>
      <c r="BK99" s="4">
        <f t="shared" si="244"/>
        <v>4.1500000000000004</v>
      </c>
      <c r="BL99" s="3">
        <v>4.32</v>
      </c>
      <c r="BM99" s="3">
        <f t="shared" si="245"/>
        <v>4.32</v>
      </c>
      <c r="BN99" s="4">
        <f t="shared" si="246"/>
        <v>4.32</v>
      </c>
      <c r="BO99" s="3">
        <v>3.63</v>
      </c>
      <c r="BP99" s="3">
        <f t="shared" si="247"/>
        <v>3.63</v>
      </c>
      <c r="BQ99" s="4">
        <f t="shared" si="248"/>
        <v>3.63</v>
      </c>
      <c r="BR99" s="3">
        <v>3.14</v>
      </c>
      <c r="BS99" s="3">
        <f t="shared" si="249"/>
        <v>3.14</v>
      </c>
      <c r="BT99" s="4">
        <f t="shared" si="250"/>
        <v>3.14</v>
      </c>
      <c r="BU99" s="3">
        <v>1.62</v>
      </c>
      <c r="BV99" s="3">
        <f t="shared" si="251"/>
        <v>1.62</v>
      </c>
      <c r="BW99" s="4">
        <f t="shared" si="252"/>
        <v>1.62</v>
      </c>
      <c r="BX99" s="3">
        <v>1.22</v>
      </c>
      <c r="BY99" s="3">
        <f t="shared" si="253"/>
        <v>1.22</v>
      </c>
      <c r="BZ99" s="21">
        <f t="shared" si="254"/>
        <v>1.22</v>
      </c>
      <c r="CB99" s="20" t="s">
        <v>637</v>
      </c>
      <c r="CC99" s="3">
        <v>0.83</v>
      </c>
      <c r="CD99" s="3">
        <f t="shared" si="255"/>
        <v>0.83</v>
      </c>
      <c r="CE99" s="4" t="str">
        <f t="shared" si="256"/>
        <v/>
      </c>
      <c r="CF99" s="3">
        <v>6.14</v>
      </c>
      <c r="CG99" s="3">
        <f t="shared" si="257"/>
        <v>6.14</v>
      </c>
      <c r="CH99" s="4">
        <f t="shared" si="258"/>
        <v>6.14</v>
      </c>
      <c r="CI99" s="3">
        <v>3.76</v>
      </c>
      <c r="CJ99" s="3">
        <f t="shared" si="259"/>
        <v>3.76</v>
      </c>
      <c r="CK99" s="4">
        <f t="shared" si="260"/>
        <v>3.76</v>
      </c>
      <c r="CL99" s="3">
        <v>5.22</v>
      </c>
      <c r="CM99" s="3">
        <f t="shared" si="261"/>
        <v>5.22</v>
      </c>
      <c r="CN99" s="4">
        <f t="shared" si="262"/>
        <v>5.22</v>
      </c>
      <c r="CO99" s="3">
        <v>5.05</v>
      </c>
      <c r="CP99" s="3">
        <f t="shared" si="263"/>
        <v>5.05</v>
      </c>
      <c r="CQ99" s="4">
        <f t="shared" si="264"/>
        <v>5.05</v>
      </c>
      <c r="CR99" s="3">
        <v>1.85</v>
      </c>
      <c r="CS99" s="3">
        <f t="shared" si="265"/>
        <v>1.85</v>
      </c>
      <c r="CT99" s="4">
        <f t="shared" si="266"/>
        <v>1.85</v>
      </c>
      <c r="CU99" s="3">
        <v>3.75</v>
      </c>
      <c r="CV99" s="3">
        <f t="shared" si="267"/>
        <v>3.75</v>
      </c>
      <c r="CW99" s="4">
        <f t="shared" si="268"/>
        <v>3.75</v>
      </c>
      <c r="CX99" s="3">
        <v>3.11</v>
      </c>
      <c r="CY99" s="3">
        <f t="shared" si="269"/>
        <v>3.11</v>
      </c>
      <c r="CZ99" s="21">
        <f t="shared" si="270"/>
        <v>3.11</v>
      </c>
    </row>
    <row r="100" spans="2:104">
      <c r="B100" s="20" t="s">
        <v>638</v>
      </c>
      <c r="C100" s="3">
        <v>3</v>
      </c>
      <c r="D100" s="3">
        <f t="shared" ref="D100:D131" si="340">IF(AND(C100 &lt; 99.99, C100 &gt; 0), C100, "")</f>
        <v>3</v>
      </c>
      <c r="E100" s="4">
        <f t="shared" ref="E100:E131" si="341">IF(AND(D100 &lt;= $D$214, D100 &gt;= $D$215), D100, "")</f>
        <v>3</v>
      </c>
      <c r="F100" s="3">
        <v>4.41</v>
      </c>
      <c r="G100" s="3">
        <f t="shared" ref="G100:G131" si="342">IF(AND(F100 &lt; 99.99, F100 &gt; 0), F100, "")</f>
        <v>4.41</v>
      </c>
      <c r="H100" s="4">
        <f t="shared" ref="H100:H131" si="343">IF(AND(G100 &lt;= G$214, G100 &gt;= G$215), G100, "")</f>
        <v>4.41</v>
      </c>
      <c r="I100" s="3">
        <v>5.29</v>
      </c>
      <c r="J100" s="3">
        <f t="shared" ref="J100:J131" si="344">IF(AND(I100 &lt; 99.99, I100 &gt; 0), I100, "")</f>
        <v>5.29</v>
      </c>
      <c r="K100" s="4">
        <f t="shared" ref="K100:K131" si="345">IF(AND(J100 &lt;= J$214, J100 &gt;= J$215), J100, "")</f>
        <v>5.29</v>
      </c>
      <c r="L100" s="3">
        <v>5.62</v>
      </c>
      <c r="M100" s="3">
        <f t="shared" ref="M100:M131" si="346">IF(AND(L100 &lt; 99.99, L100 &gt; 0), L100, "")</f>
        <v>5.62</v>
      </c>
      <c r="N100" s="4">
        <f t="shared" ref="N100:N131" si="347">IF(AND(M100 &lt;= M$214, M100 &gt;= M$215), M100, "")</f>
        <v>5.62</v>
      </c>
      <c r="O100" s="3">
        <v>4.3099999999999996</v>
      </c>
      <c r="P100" s="3">
        <f t="shared" ref="P100:P131" si="348">IF(AND(O100 &lt; 99.99, O100 &gt; 0), O100, "")</f>
        <v>4.3099999999999996</v>
      </c>
      <c r="Q100" s="4">
        <f t="shared" ref="Q100:Q131" si="349">IF(AND(P100 &lt;= P$214, P100 &gt;= P$215), P100, "")</f>
        <v>4.3099999999999996</v>
      </c>
      <c r="R100" s="3">
        <v>4.8600000000000003</v>
      </c>
      <c r="S100" s="3">
        <f t="shared" ref="S100:S131" si="350">IF(AND(R100 &lt; 99.99, R100 &gt; 0), R100, "")</f>
        <v>4.8600000000000003</v>
      </c>
      <c r="T100" s="4">
        <f t="shared" ref="T100:T131" si="351">IF(AND(S100 &lt;= S$214, S100 &gt;= S$215), S100, "")</f>
        <v>4.8600000000000003</v>
      </c>
      <c r="U100" s="3">
        <v>1.73</v>
      </c>
      <c r="V100" s="3">
        <f t="shared" ref="V100:V131" si="352">IF(AND(U100 &lt; 99.99, U100 &gt; 0), U100, "")</f>
        <v>1.73</v>
      </c>
      <c r="W100" s="4">
        <f t="shared" ref="W100:W131" si="353">IF(AND(V100 &lt;= V$214, V100 &gt;= V$215), V100, "")</f>
        <v>1.73</v>
      </c>
      <c r="X100" s="3">
        <v>2.27</v>
      </c>
      <c r="Y100" s="3">
        <f t="shared" ref="Y100:Y131" si="354">IF(AND(X100 &lt; 99.99, X100 &gt; 0), X100, "")</f>
        <v>2.27</v>
      </c>
      <c r="Z100" s="21">
        <f t="shared" ref="Z100:Z131" si="355">IF(AND(Y100 &lt;= Y$214, Y100 &gt;= Y$215), Y100, "")</f>
        <v>2.27</v>
      </c>
      <c r="BB100" s="20" t="s">
        <v>639</v>
      </c>
      <c r="BC100" s="3">
        <v>3.94</v>
      </c>
      <c r="BD100" s="3">
        <f t="shared" si="239"/>
        <v>3.94</v>
      </c>
      <c r="BE100" s="4">
        <f t="shared" si="240"/>
        <v>3.94</v>
      </c>
      <c r="BF100" s="3">
        <v>4.2699999999999996</v>
      </c>
      <c r="BG100" s="3">
        <f t="shared" si="241"/>
        <v>4.2699999999999996</v>
      </c>
      <c r="BH100" s="4">
        <f t="shared" si="242"/>
        <v>4.2699999999999996</v>
      </c>
      <c r="BI100" s="3">
        <v>4.2</v>
      </c>
      <c r="BJ100" s="3">
        <f t="shared" si="243"/>
        <v>4.2</v>
      </c>
      <c r="BK100" s="4">
        <f t="shared" si="244"/>
        <v>4.2</v>
      </c>
      <c r="BL100" s="3">
        <v>4.32</v>
      </c>
      <c r="BM100" s="3">
        <f t="shared" si="245"/>
        <v>4.32</v>
      </c>
      <c r="BN100" s="4">
        <f t="shared" si="246"/>
        <v>4.32</v>
      </c>
      <c r="BO100" s="3">
        <v>3.6</v>
      </c>
      <c r="BP100" s="3">
        <f t="shared" si="247"/>
        <v>3.6</v>
      </c>
      <c r="BQ100" s="4">
        <f t="shared" si="248"/>
        <v>3.6</v>
      </c>
      <c r="BR100" s="3">
        <v>3.12</v>
      </c>
      <c r="BS100" s="3">
        <f t="shared" si="249"/>
        <v>3.12</v>
      </c>
      <c r="BT100" s="4">
        <f t="shared" si="250"/>
        <v>3.12</v>
      </c>
      <c r="BU100" s="3">
        <v>1.63</v>
      </c>
      <c r="BV100" s="3">
        <f t="shared" si="251"/>
        <v>1.63</v>
      </c>
      <c r="BW100" s="4">
        <f t="shared" si="252"/>
        <v>1.63</v>
      </c>
      <c r="BX100" s="3">
        <v>1.22</v>
      </c>
      <c r="BY100" s="3">
        <f t="shared" si="253"/>
        <v>1.22</v>
      </c>
      <c r="BZ100" s="21">
        <f t="shared" si="254"/>
        <v>1.22</v>
      </c>
      <c r="CB100" s="20" t="s">
        <v>640</v>
      </c>
      <c r="CC100" s="3">
        <v>4.1399999999999997</v>
      </c>
      <c r="CD100" s="3">
        <f t="shared" si="255"/>
        <v>4.1399999999999997</v>
      </c>
      <c r="CE100" s="4">
        <f t="shared" ref="CE100:CE122" si="356">IF(AND(CD100 &lt;= CD$125, CD100 &gt;= CD$126), CD100, "")</f>
        <v>4.1399999999999997</v>
      </c>
      <c r="CF100" s="3">
        <v>6.08</v>
      </c>
      <c r="CG100" s="3">
        <f t="shared" si="257"/>
        <v>6.08</v>
      </c>
      <c r="CH100" s="4">
        <f t="shared" ref="CH100:CH122" si="357">IF(AND(CG100 &lt;= CG$125, CG100 &gt;= CG$126), CG100, "")</f>
        <v>6.08</v>
      </c>
      <c r="CI100" s="3">
        <v>3.77</v>
      </c>
      <c r="CJ100" s="3">
        <f t="shared" si="259"/>
        <v>3.77</v>
      </c>
      <c r="CK100" s="4">
        <f t="shared" ref="CK100:CK122" si="358">IF(AND(CJ100 &lt;= CJ$125, CJ100 &gt;= CJ$126), CJ100, "")</f>
        <v>3.77</v>
      </c>
      <c r="CL100" s="3">
        <v>5.1100000000000003</v>
      </c>
      <c r="CM100" s="3">
        <f t="shared" si="261"/>
        <v>5.1100000000000003</v>
      </c>
      <c r="CN100" s="4">
        <f t="shared" ref="CN100:CN122" si="359">IF(AND(CM100 &lt;= CM$125, CM100 &gt;= CM$126), CM100, "")</f>
        <v>5.1100000000000003</v>
      </c>
      <c r="CO100" s="3">
        <v>5.45</v>
      </c>
      <c r="CP100" s="3">
        <f t="shared" si="263"/>
        <v>5.45</v>
      </c>
      <c r="CQ100" s="4">
        <f t="shared" ref="CQ100:CQ122" si="360">IF(AND(CP100 &lt;= CP$125, CP100 &gt;= CP$126), CP100, "")</f>
        <v>5.45</v>
      </c>
      <c r="CR100" s="3">
        <v>1.85</v>
      </c>
      <c r="CS100" s="3">
        <f t="shared" si="265"/>
        <v>1.85</v>
      </c>
      <c r="CT100" s="4">
        <f t="shared" ref="CT100:CT122" si="361">IF(AND(CS100 &lt;= CS$125, CS100 &gt;= CS$126), CS100, "")</f>
        <v>1.85</v>
      </c>
      <c r="CU100" s="3">
        <v>3.77</v>
      </c>
      <c r="CV100" s="3">
        <f t="shared" si="267"/>
        <v>3.77</v>
      </c>
      <c r="CW100" s="4">
        <f t="shared" ref="CW100:CW122" si="362">IF(AND(CV100 &lt;= CV$125, CV100 &gt;= CV$126), CV100, "")</f>
        <v>3.77</v>
      </c>
      <c r="CX100" s="3">
        <v>3.18</v>
      </c>
      <c r="CY100" s="3">
        <f t="shared" si="269"/>
        <v>3.18</v>
      </c>
      <c r="CZ100" s="21">
        <f t="shared" ref="CZ100:CZ122" si="363">IF(AND(CY100 &lt;= CY$125, CY100 &gt;= CY$126), CY100, "")</f>
        <v>3.18</v>
      </c>
    </row>
    <row r="101" spans="2:104">
      <c r="B101" s="20" t="s">
        <v>641</v>
      </c>
      <c r="C101" s="3">
        <v>2.97</v>
      </c>
      <c r="D101" s="3">
        <f t="shared" si="340"/>
        <v>2.97</v>
      </c>
      <c r="E101" s="4">
        <f t="shared" si="341"/>
        <v>2.97</v>
      </c>
      <c r="F101" s="3">
        <v>0</v>
      </c>
      <c r="G101" s="3" t="str">
        <f t="shared" si="342"/>
        <v/>
      </c>
      <c r="H101" s="4" t="str">
        <f t="shared" si="343"/>
        <v/>
      </c>
      <c r="I101" s="3">
        <v>5.28</v>
      </c>
      <c r="J101" s="3">
        <f t="shared" si="344"/>
        <v>5.28</v>
      </c>
      <c r="K101" s="4">
        <f t="shared" si="345"/>
        <v>5.28</v>
      </c>
      <c r="L101" s="3">
        <v>5.64</v>
      </c>
      <c r="M101" s="3">
        <f t="shared" si="346"/>
        <v>5.64</v>
      </c>
      <c r="N101" s="4">
        <f t="shared" si="347"/>
        <v>5.64</v>
      </c>
      <c r="O101" s="3">
        <v>4.32</v>
      </c>
      <c r="P101" s="3">
        <f t="shared" si="348"/>
        <v>4.32</v>
      </c>
      <c r="Q101" s="4">
        <f t="shared" si="349"/>
        <v>4.32</v>
      </c>
      <c r="R101" s="3">
        <v>4.8600000000000003</v>
      </c>
      <c r="S101" s="3">
        <f t="shared" si="350"/>
        <v>4.8600000000000003</v>
      </c>
      <c r="T101" s="4">
        <f t="shared" si="351"/>
        <v>4.8600000000000003</v>
      </c>
      <c r="U101" s="3">
        <v>1.76</v>
      </c>
      <c r="V101" s="3">
        <f t="shared" si="352"/>
        <v>1.76</v>
      </c>
      <c r="W101" s="4">
        <f t="shared" si="353"/>
        <v>1.76</v>
      </c>
      <c r="X101" s="3">
        <v>2.7</v>
      </c>
      <c r="Y101" s="3">
        <f t="shared" si="354"/>
        <v>2.7</v>
      </c>
      <c r="Z101" s="21">
        <f t="shared" si="355"/>
        <v>2.7</v>
      </c>
      <c r="BB101" s="20" t="s">
        <v>642</v>
      </c>
      <c r="BC101" s="3">
        <v>3.9</v>
      </c>
      <c r="BD101" s="3">
        <f t="shared" si="239"/>
        <v>3.9</v>
      </c>
      <c r="BE101" s="4">
        <f t="shared" si="240"/>
        <v>3.9</v>
      </c>
      <c r="BF101" s="3">
        <v>4.29</v>
      </c>
      <c r="BG101" s="3">
        <f t="shared" si="241"/>
        <v>4.29</v>
      </c>
      <c r="BH101" s="4">
        <f t="shared" si="242"/>
        <v>4.29</v>
      </c>
      <c r="BI101" s="3">
        <v>4.16</v>
      </c>
      <c r="BJ101" s="3">
        <f t="shared" si="243"/>
        <v>4.16</v>
      </c>
      <c r="BK101" s="4">
        <f t="shared" si="244"/>
        <v>4.16</v>
      </c>
      <c r="BL101" s="3">
        <v>4.3099999999999996</v>
      </c>
      <c r="BM101" s="3">
        <f t="shared" si="245"/>
        <v>4.3099999999999996</v>
      </c>
      <c r="BN101" s="4">
        <f t="shared" si="246"/>
        <v>4.3099999999999996</v>
      </c>
      <c r="BO101" s="3">
        <v>3.59</v>
      </c>
      <c r="BP101" s="3">
        <f t="shared" si="247"/>
        <v>3.59</v>
      </c>
      <c r="BQ101" s="4">
        <f t="shared" si="248"/>
        <v>3.59</v>
      </c>
      <c r="BR101" s="3">
        <v>1.17</v>
      </c>
      <c r="BS101" s="3">
        <f t="shared" si="249"/>
        <v>1.17</v>
      </c>
      <c r="BT101" s="4" t="str">
        <f t="shared" si="250"/>
        <v/>
      </c>
      <c r="BU101" s="3">
        <v>1.66</v>
      </c>
      <c r="BV101" s="3">
        <f t="shared" si="251"/>
        <v>1.66</v>
      </c>
      <c r="BW101" s="4">
        <f t="shared" si="252"/>
        <v>1.66</v>
      </c>
      <c r="BX101" s="3">
        <v>1.27</v>
      </c>
      <c r="BY101" s="3">
        <f t="shared" si="253"/>
        <v>1.27</v>
      </c>
      <c r="BZ101" s="21">
        <f t="shared" si="254"/>
        <v>1.27</v>
      </c>
      <c r="CB101" s="20" t="s">
        <v>643</v>
      </c>
      <c r="CC101" s="3">
        <v>4.1399999999999997</v>
      </c>
      <c r="CD101" s="3">
        <f t="shared" si="255"/>
        <v>4.1399999999999997</v>
      </c>
      <c r="CE101" s="4">
        <f t="shared" si="356"/>
        <v>4.1399999999999997</v>
      </c>
      <c r="CF101" s="3">
        <v>4.3600000000000003</v>
      </c>
      <c r="CG101" s="3">
        <f t="shared" si="257"/>
        <v>4.3600000000000003</v>
      </c>
      <c r="CH101" s="4" t="str">
        <f t="shared" si="357"/>
        <v/>
      </c>
      <c r="CI101" s="3">
        <v>3.78</v>
      </c>
      <c r="CJ101" s="3">
        <f t="shared" si="259"/>
        <v>3.78</v>
      </c>
      <c r="CK101" s="4">
        <f t="shared" si="358"/>
        <v>3.78</v>
      </c>
      <c r="CL101" s="3">
        <v>5.56</v>
      </c>
      <c r="CM101" s="3">
        <f t="shared" si="261"/>
        <v>5.56</v>
      </c>
      <c r="CN101" s="4">
        <f t="shared" si="359"/>
        <v>5.56</v>
      </c>
      <c r="CO101" s="3">
        <v>5.49</v>
      </c>
      <c r="CP101" s="3">
        <f t="shared" si="263"/>
        <v>5.49</v>
      </c>
      <c r="CQ101" s="4">
        <f t="shared" si="360"/>
        <v>5.49</v>
      </c>
      <c r="CR101" s="3">
        <v>1.85</v>
      </c>
      <c r="CS101" s="3">
        <f t="shared" si="265"/>
        <v>1.85</v>
      </c>
      <c r="CT101" s="4">
        <f t="shared" si="361"/>
        <v>1.85</v>
      </c>
      <c r="CU101" s="3">
        <v>0.14000000000000001</v>
      </c>
      <c r="CV101" s="3">
        <f t="shared" si="267"/>
        <v>0.14000000000000001</v>
      </c>
      <c r="CW101" s="4" t="str">
        <f t="shared" si="362"/>
        <v/>
      </c>
      <c r="CX101" s="3">
        <v>3.15</v>
      </c>
      <c r="CY101" s="3">
        <f t="shared" si="269"/>
        <v>3.15</v>
      </c>
      <c r="CZ101" s="21">
        <f t="shared" si="363"/>
        <v>3.15</v>
      </c>
    </row>
    <row r="102" spans="2:104">
      <c r="B102" s="20" t="s">
        <v>644</v>
      </c>
      <c r="C102" s="3">
        <v>3</v>
      </c>
      <c r="D102" s="3">
        <f t="shared" si="340"/>
        <v>3</v>
      </c>
      <c r="E102" s="4">
        <f t="shared" si="341"/>
        <v>3</v>
      </c>
      <c r="F102" s="3">
        <v>4.3600000000000003</v>
      </c>
      <c r="G102" s="3">
        <f t="shared" si="342"/>
        <v>4.3600000000000003</v>
      </c>
      <c r="H102" s="4">
        <f t="shared" si="343"/>
        <v>4.3600000000000003</v>
      </c>
      <c r="I102" s="3">
        <v>5.29</v>
      </c>
      <c r="J102" s="3">
        <f t="shared" si="344"/>
        <v>5.29</v>
      </c>
      <c r="K102" s="4">
        <f t="shared" si="345"/>
        <v>5.29</v>
      </c>
      <c r="L102" s="3">
        <v>5.65</v>
      </c>
      <c r="M102" s="3">
        <f t="shared" si="346"/>
        <v>5.65</v>
      </c>
      <c r="N102" s="4">
        <f t="shared" si="347"/>
        <v>5.65</v>
      </c>
      <c r="O102" s="3">
        <v>4.32</v>
      </c>
      <c r="P102" s="3">
        <f t="shared" si="348"/>
        <v>4.32</v>
      </c>
      <c r="Q102" s="4">
        <f t="shared" si="349"/>
        <v>4.32</v>
      </c>
      <c r="R102" s="3">
        <v>3.54</v>
      </c>
      <c r="S102" s="3">
        <f t="shared" si="350"/>
        <v>3.54</v>
      </c>
      <c r="T102" s="4" t="str">
        <f t="shared" si="351"/>
        <v/>
      </c>
      <c r="U102" s="3">
        <v>1.76</v>
      </c>
      <c r="V102" s="3">
        <f t="shared" si="352"/>
        <v>1.76</v>
      </c>
      <c r="W102" s="4">
        <f t="shared" si="353"/>
        <v>1.76</v>
      </c>
      <c r="X102" s="3">
        <v>2.27</v>
      </c>
      <c r="Y102" s="3">
        <f t="shared" si="354"/>
        <v>2.27</v>
      </c>
      <c r="Z102" s="21">
        <f t="shared" si="355"/>
        <v>2.27</v>
      </c>
      <c r="BB102" s="20" t="s">
        <v>645</v>
      </c>
      <c r="BC102" s="3">
        <v>3.92</v>
      </c>
      <c r="BD102" s="3">
        <f t="shared" si="239"/>
        <v>3.92</v>
      </c>
      <c r="BE102" s="4">
        <f t="shared" si="240"/>
        <v>3.92</v>
      </c>
      <c r="BF102" s="3">
        <v>2.76</v>
      </c>
      <c r="BG102" s="3">
        <f t="shared" si="241"/>
        <v>2.76</v>
      </c>
      <c r="BH102" s="4" t="str">
        <f t="shared" si="242"/>
        <v/>
      </c>
      <c r="BI102" s="3">
        <v>4.17</v>
      </c>
      <c r="BJ102" s="3">
        <f t="shared" si="243"/>
        <v>4.17</v>
      </c>
      <c r="BK102" s="4">
        <f t="shared" si="244"/>
        <v>4.17</v>
      </c>
      <c r="BL102" s="3">
        <v>4.29</v>
      </c>
      <c r="BM102" s="3">
        <f t="shared" si="245"/>
        <v>4.29</v>
      </c>
      <c r="BN102" s="4">
        <f t="shared" si="246"/>
        <v>4.29</v>
      </c>
      <c r="BO102" s="3">
        <v>3.59</v>
      </c>
      <c r="BP102" s="3">
        <f t="shared" si="247"/>
        <v>3.59</v>
      </c>
      <c r="BQ102" s="4">
        <f t="shared" si="248"/>
        <v>3.59</v>
      </c>
      <c r="BR102" s="3">
        <v>3.12</v>
      </c>
      <c r="BS102" s="3">
        <f t="shared" si="249"/>
        <v>3.12</v>
      </c>
      <c r="BT102" s="4">
        <f t="shared" si="250"/>
        <v>3.12</v>
      </c>
      <c r="BU102" s="3">
        <v>1.63</v>
      </c>
      <c r="BV102" s="3">
        <f t="shared" si="251"/>
        <v>1.63</v>
      </c>
      <c r="BW102" s="4">
        <f t="shared" si="252"/>
        <v>1.63</v>
      </c>
      <c r="BX102" s="3">
        <v>1.2</v>
      </c>
      <c r="BY102" s="3">
        <f t="shared" si="253"/>
        <v>1.2</v>
      </c>
      <c r="BZ102" s="21">
        <f t="shared" si="254"/>
        <v>1.2</v>
      </c>
      <c r="CB102" s="20" t="s">
        <v>646</v>
      </c>
      <c r="CC102" s="3">
        <v>4.1399999999999997</v>
      </c>
      <c r="CD102" s="3">
        <f t="shared" si="255"/>
        <v>4.1399999999999997</v>
      </c>
      <c r="CE102" s="4">
        <f t="shared" si="356"/>
        <v>4.1399999999999997</v>
      </c>
      <c r="CF102" s="3">
        <v>6.1</v>
      </c>
      <c r="CG102" s="3">
        <f t="shared" si="257"/>
        <v>6.1</v>
      </c>
      <c r="CH102" s="4">
        <f t="shared" si="357"/>
        <v>6.1</v>
      </c>
      <c r="CI102" s="3">
        <v>1.73</v>
      </c>
      <c r="CJ102" s="3">
        <f t="shared" si="259"/>
        <v>1.73</v>
      </c>
      <c r="CK102" s="4" t="str">
        <f t="shared" si="358"/>
        <v/>
      </c>
      <c r="CL102" s="3">
        <v>5.14</v>
      </c>
      <c r="CM102" s="3">
        <f t="shared" si="261"/>
        <v>5.14</v>
      </c>
      <c r="CN102" s="4">
        <f t="shared" si="359"/>
        <v>5.14</v>
      </c>
      <c r="CO102" s="3">
        <v>5.35</v>
      </c>
      <c r="CP102" s="3">
        <f t="shared" si="263"/>
        <v>5.35</v>
      </c>
      <c r="CQ102" s="4">
        <f t="shared" si="360"/>
        <v>5.35</v>
      </c>
      <c r="CR102" s="3">
        <v>1.84</v>
      </c>
      <c r="CS102" s="3">
        <f t="shared" si="265"/>
        <v>1.84</v>
      </c>
      <c r="CT102" s="4">
        <f t="shared" si="361"/>
        <v>1.84</v>
      </c>
      <c r="CU102" s="3">
        <v>3.74</v>
      </c>
      <c r="CV102" s="3">
        <f t="shared" si="267"/>
        <v>3.74</v>
      </c>
      <c r="CW102" s="4">
        <f t="shared" si="362"/>
        <v>3.74</v>
      </c>
      <c r="CX102" s="3">
        <v>3.13</v>
      </c>
      <c r="CY102" s="3">
        <f t="shared" si="269"/>
        <v>3.13</v>
      </c>
      <c r="CZ102" s="21">
        <f t="shared" si="363"/>
        <v>3.13</v>
      </c>
    </row>
    <row r="103" spans="2:104">
      <c r="B103" s="20" t="s">
        <v>647</v>
      </c>
      <c r="C103" s="3">
        <v>3.02</v>
      </c>
      <c r="D103" s="3">
        <f t="shared" si="340"/>
        <v>3.02</v>
      </c>
      <c r="E103" s="4">
        <f t="shared" si="341"/>
        <v>3.02</v>
      </c>
      <c r="F103" s="3">
        <v>4.3600000000000003</v>
      </c>
      <c r="G103" s="3">
        <f t="shared" si="342"/>
        <v>4.3600000000000003</v>
      </c>
      <c r="H103" s="4">
        <f t="shared" si="343"/>
        <v>4.3600000000000003</v>
      </c>
      <c r="I103" s="3">
        <v>5.32</v>
      </c>
      <c r="J103" s="3">
        <f t="shared" si="344"/>
        <v>5.32</v>
      </c>
      <c r="K103" s="4">
        <f t="shared" si="345"/>
        <v>5.32</v>
      </c>
      <c r="L103" s="3">
        <v>5.63</v>
      </c>
      <c r="M103" s="3">
        <f t="shared" si="346"/>
        <v>5.63</v>
      </c>
      <c r="N103" s="4">
        <f t="shared" si="347"/>
        <v>5.63</v>
      </c>
      <c r="O103" s="3">
        <v>4.34</v>
      </c>
      <c r="P103" s="3">
        <f t="shared" si="348"/>
        <v>4.34</v>
      </c>
      <c r="Q103" s="4">
        <f t="shared" si="349"/>
        <v>4.34</v>
      </c>
      <c r="R103" s="3">
        <v>4.8499999999999996</v>
      </c>
      <c r="S103" s="3">
        <f t="shared" si="350"/>
        <v>4.8499999999999996</v>
      </c>
      <c r="T103" s="4">
        <f t="shared" si="351"/>
        <v>4.8499999999999996</v>
      </c>
      <c r="U103" s="3">
        <v>1.72</v>
      </c>
      <c r="V103" s="3">
        <f t="shared" si="352"/>
        <v>1.72</v>
      </c>
      <c r="W103" s="4">
        <f t="shared" si="353"/>
        <v>1.72</v>
      </c>
      <c r="X103" s="3">
        <v>2.27</v>
      </c>
      <c r="Y103" s="3">
        <f t="shared" si="354"/>
        <v>2.27</v>
      </c>
      <c r="Z103" s="21">
        <f t="shared" si="355"/>
        <v>2.27</v>
      </c>
      <c r="BB103" s="20" t="s">
        <v>648</v>
      </c>
      <c r="BC103" s="3">
        <v>3.9</v>
      </c>
      <c r="BD103" s="3">
        <f t="shared" si="239"/>
        <v>3.9</v>
      </c>
      <c r="BE103" s="4">
        <f t="shared" si="240"/>
        <v>3.9</v>
      </c>
      <c r="BF103" s="3">
        <v>4.26</v>
      </c>
      <c r="BG103" s="3">
        <f t="shared" si="241"/>
        <v>4.26</v>
      </c>
      <c r="BH103" s="4">
        <f t="shared" si="242"/>
        <v>4.26</v>
      </c>
      <c r="BI103" s="3">
        <v>4.13</v>
      </c>
      <c r="BJ103" s="3">
        <f t="shared" si="243"/>
        <v>4.13</v>
      </c>
      <c r="BK103" s="4">
        <f t="shared" si="244"/>
        <v>4.13</v>
      </c>
      <c r="BL103" s="3">
        <v>4.3</v>
      </c>
      <c r="BM103" s="3">
        <f t="shared" si="245"/>
        <v>4.3</v>
      </c>
      <c r="BN103" s="4">
        <f t="shared" si="246"/>
        <v>4.3</v>
      </c>
      <c r="BO103" s="3">
        <v>3.62</v>
      </c>
      <c r="BP103" s="3">
        <f t="shared" si="247"/>
        <v>3.62</v>
      </c>
      <c r="BQ103" s="4">
        <f t="shared" si="248"/>
        <v>3.62</v>
      </c>
      <c r="BR103" s="3">
        <v>2.33</v>
      </c>
      <c r="BS103" s="3">
        <f t="shared" si="249"/>
        <v>2.33</v>
      </c>
      <c r="BT103" s="4" t="str">
        <f t="shared" si="250"/>
        <v/>
      </c>
      <c r="BU103" s="3">
        <v>1.63</v>
      </c>
      <c r="BV103" s="3">
        <f t="shared" si="251"/>
        <v>1.63</v>
      </c>
      <c r="BW103" s="4">
        <f t="shared" si="252"/>
        <v>1.63</v>
      </c>
      <c r="BX103" s="3">
        <v>1.22</v>
      </c>
      <c r="BY103" s="3">
        <f t="shared" si="253"/>
        <v>1.22</v>
      </c>
      <c r="BZ103" s="21">
        <f t="shared" si="254"/>
        <v>1.22</v>
      </c>
      <c r="CB103" s="20" t="s">
        <v>649</v>
      </c>
      <c r="CC103" s="3">
        <v>4.1399999999999997</v>
      </c>
      <c r="CD103" s="3">
        <f t="shared" si="255"/>
        <v>4.1399999999999997</v>
      </c>
      <c r="CE103" s="4">
        <f t="shared" si="356"/>
        <v>4.1399999999999997</v>
      </c>
      <c r="CF103" s="3">
        <v>6.11</v>
      </c>
      <c r="CG103" s="3">
        <f t="shared" si="257"/>
        <v>6.11</v>
      </c>
      <c r="CH103" s="4">
        <f t="shared" si="357"/>
        <v>6.11</v>
      </c>
      <c r="CI103" s="3">
        <v>3.78</v>
      </c>
      <c r="CJ103" s="3">
        <f t="shared" si="259"/>
        <v>3.78</v>
      </c>
      <c r="CK103" s="4">
        <f t="shared" si="358"/>
        <v>3.78</v>
      </c>
      <c r="CL103" s="3">
        <v>5.16</v>
      </c>
      <c r="CM103" s="3">
        <f t="shared" si="261"/>
        <v>5.16</v>
      </c>
      <c r="CN103" s="4">
        <f t="shared" si="359"/>
        <v>5.16</v>
      </c>
      <c r="CO103" s="3">
        <v>5.45</v>
      </c>
      <c r="CP103" s="3">
        <f t="shared" si="263"/>
        <v>5.45</v>
      </c>
      <c r="CQ103" s="4">
        <f t="shared" si="360"/>
        <v>5.45</v>
      </c>
      <c r="CR103" s="3">
        <v>1.86</v>
      </c>
      <c r="CS103" s="3">
        <f t="shared" si="265"/>
        <v>1.86</v>
      </c>
      <c r="CT103" s="4">
        <f t="shared" si="361"/>
        <v>1.86</v>
      </c>
      <c r="CU103" s="3">
        <v>3.76</v>
      </c>
      <c r="CV103" s="3">
        <f t="shared" si="267"/>
        <v>3.76</v>
      </c>
      <c r="CW103" s="4">
        <f t="shared" si="362"/>
        <v>3.76</v>
      </c>
      <c r="CX103" s="3">
        <v>3.14</v>
      </c>
      <c r="CY103" s="3">
        <f t="shared" si="269"/>
        <v>3.14</v>
      </c>
      <c r="CZ103" s="21">
        <f t="shared" si="363"/>
        <v>3.14</v>
      </c>
    </row>
    <row r="104" spans="2:104">
      <c r="B104" s="20" t="s">
        <v>650</v>
      </c>
      <c r="C104" s="3">
        <v>3.05</v>
      </c>
      <c r="D104" s="3">
        <f t="shared" si="340"/>
        <v>3.05</v>
      </c>
      <c r="E104" s="4">
        <f t="shared" si="341"/>
        <v>3.05</v>
      </c>
      <c r="F104" s="3">
        <v>4.3899999999999997</v>
      </c>
      <c r="G104" s="3">
        <f t="shared" si="342"/>
        <v>4.3899999999999997</v>
      </c>
      <c r="H104" s="4">
        <f t="shared" si="343"/>
        <v>4.3899999999999997</v>
      </c>
      <c r="I104" s="3">
        <v>5.27</v>
      </c>
      <c r="J104" s="3">
        <f t="shared" si="344"/>
        <v>5.27</v>
      </c>
      <c r="K104" s="4">
        <f t="shared" si="345"/>
        <v>5.27</v>
      </c>
      <c r="L104" s="3">
        <v>3.27</v>
      </c>
      <c r="M104" s="3">
        <f t="shared" si="346"/>
        <v>3.27</v>
      </c>
      <c r="N104" s="4" t="str">
        <f t="shared" si="347"/>
        <v/>
      </c>
      <c r="O104" s="3">
        <v>4.37</v>
      </c>
      <c r="P104" s="3">
        <f t="shared" si="348"/>
        <v>4.37</v>
      </c>
      <c r="Q104" s="4">
        <f t="shared" si="349"/>
        <v>4.37</v>
      </c>
      <c r="R104" s="3">
        <v>4.8499999999999996</v>
      </c>
      <c r="S104" s="3">
        <f t="shared" si="350"/>
        <v>4.8499999999999996</v>
      </c>
      <c r="T104" s="4">
        <f t="shared" si="351"/>
        <v>4.8499999999999996</v>
      </c>
      <c r="U104" s="3">
        <v>1.77</v>
      </c>
      <c r="V104" s="3">
        <f t="shared" si="352"/>
        <v>1.77</v>
      </c>
      <c r="W104" s="4">
        <f t="shared" si="353"/>
        <v>1.77</v>
      </c>
      <c r="X104" s="3">
        <v>2.2200000000000002</v>
      </c>
      <c r="Y104" s="3">
        <f t="shared" si="354"/>
        <v>2.2200000000000002</v>
      </c>
      <c r="Z104" s="21">
        <f t="shared" si="355"/>
        <v>2.2200000000000002</v>
      </c>
      <c r="BB104" s="20" t="s">
        <v>651</v>
      </c>
      <c r="BC104" s="3">
        <v>3.93</v>
      </c>
      <c r="BD104" s="3">
        <f t="shared" si="239"/>
        <v>3.93</v>
      </c>
      <c r="BE104" s="4">
        <f t="shared" si="240"/>
        <v>3.93</v>
      </c>
      <c r="BF104" s="3">
        <v>4.2699999999999996</v>
      </c>
      <c r="BG104" s="3">
        <f t="shared" si="241"/>
        <v>4.2699999999999996</v>
      </c>
      <c r="BH104" s="4">
        <f t="shared" si="242"/>
        <v>4.2699999999999996</v>
      </c>
      <c r="BI104" s="3">
        <v>4.1500000000000004</v>
      </c>
      <c r="BJ104" s="3">
        <f t="shared" si="243"/>
        <v>4.1500000000000004</v>
      </c>
      <c r="BK104" s="4">
        <f t="shared" si="244"/>
        <v>4.1500000000000004</v>
      </c>
      <c r="BL104" s="3">
        <v>4.29</v>
      </c>
      <c r="BM104" s="3">
        <f t="shared" si="245"/>
        <v>4.29</v>
      </c>
      <c r="BN104" s="4">
        <f t="shared" si="246"/>
        <v>4.29</v>
      </c>
      <c r="BO104" s="3">
        <v>3.62</v>
      </c>
      <c r="BP104" s="3">
        <f t="shared" si="247"/>
        <v>3.62</v>
      </c>
      <c r="BQ104" s="4">
        <f t="shared" si="248"/>
        <v>3.62</v>
      </c>
      <c r="BR104" s="3">
        <v>3.11</v>
      </c>
      <c r="BS104" s="3">
        <f t="shared" si="249"/>
        <v>3.11</v>
      </c>
      <c r="BT104" s="4">
        <f t="shared" si="250"/>
        <v>3.11</v>
      </c>
      <c r="BU104" s="3">
        <v>1.64</v>
      </c>
      <c r="BV104" s="3">
        <f t="shared" si="251"/>
        <v>1.64</v>
      </c>
      <c r="BW104" s="4">
        <f t="shared" si="252"/>
        <v>1.64</v>
      </c>
      <c r="BX104" s="3">
        <v>1.27</v>
      </c>
      <c r="BY104" s="3">
        <f t="shared" si="253"/>
        <v>1.27</v>
      </c>
      <c r="BZ104" s="21">
        <f t="shared" si="254"/>
        <v>1.27</v>
      </c>
      <c r="CB104" s="20" t="s">
        <v>652</v>
      </c>
      <c r="CC104" s="3">
        <v>4.22</v>
      </c>
      <c r="CD104" s="3">
        <f t="shared" si="255"/>
        <v>4.22</v>
      </c>
      <c r="CE104" s="4">
        <f t="shared" si="356"/>
        <v>4.22</v>
      </c>
      <c r="CF104" s="3">
        <v>6.07</v>
      </c>
      <c r="CG104" s="3">
        <f t="shared" si="257"/>
        <v>6.07</v>
      </c>
      <c r="CH104" s="4">
        <f t="shared" si="357"/>
        <v>6.07</v>
      </c>
      <c r="CI104" s="3">
        <v>2.81</v>
      </c>
      <c r="CJ104" s="3">
        <f t="shared" si="259"/>
        <v>2.81</v>
      </c>
      <c r="CK104" s="4" t="str">
        <f t="shared" si="358"/>
        <v/>
      </c>
      <c r="CL104" s="3">
        <v>5.17</v>
      </c>
      <c r="CM104" s="3">
        <f t="shared" si="261"/>
        <v>5.17</v>
      </c>
      <c r="CN104" s="4">
        <f t="shared" si="359"/>
        <v>5.17</v>
      </c>
      <c r="CO104" s="3">
        <v>5.48</v>
      </c>
      <c r="CP104" s="3">
        <f t="shared" si="263"/>
        <v>5.48</v>
      </c>
      <c r="CQ104" s="4">
        <f t="shared" si="360"/>
        <v>5.48</v>
      </c>
      <c r="CR104" s="3">
        <v>1.85</v>
      </c>
      <c r="CS104" s="3">
        <f t="shared" si="265"/>
        <v>1.85</v>
      </c>
      <c r="CT104" s="4">
        <f t="shared" si="361"/>
        <v>1.85</v>
      </c>
      <c r="CU104" s="3">
        <v>3.75</v>
      </c>
      <c r="CV104" s="3">
        <f t="shared" si="267"/>
        <v>3.75</v>
      </c>
      <c r="CW104" s="4">
        <f t="shared" si="362"/>
        <v>3.75</v>
      </c>
      <c r="CX104" s="3">
        <v>0.32</v>
      </c>
      <c r="CY104" s="3">
        <f t="shared" si="269"/>
        <v>0.32</v>
      </c>
      <c r="CZ104" s="21" t="str">
        <f t="shared" si="363"/>
        <v/>
      </c>
    </row>
    <row r="105" spans="2:104">
      <c r="B105" s="20" t="s">
        <v>653</v>
      </c>
      <c r="C105" s="3">
        <v>2.98</v>
      </c>
      <c r="D105" s="3">
        <f t="shared" si="340"/>
        <v>2.98</v>
      </c>
      <c r="E105" s="4">
        <f t="shared" si="341"/>
        <v>2.98</v>
      </c>
      <c r="F105" s="3">
        <v>1.08</v>
      </c>
      <c r="G105" s="3">
        <f t="shared" si="342"/>
        <v>1.08</v>
      </c>
      <c r="H105" s="4" t="str">
        <f t="shared" si="343"/>
        <v/>
      </c>
      <c r="I105" s="3">
        <v>5.33</v>
      </c>
      <c r="J105" s="3">
        <f t="shared" si="344"/>
        <v>5.33</v>
      </c>
      <c r="K105" s="4">
        <f t="shared" si="345"/>
        <v>5.33</v>
      </c>
      <c r="L105" s="3">
        <v>5.64</v>
      </c>
      <c r="M105" s="3">
        <f t="shared" si="346"/>
        <v>5.64</v>
      </c>
      <c r="N105" s="4">
        <f t="shared" si="347"/>
        <v>5.64</v>
      </c>
      <c r="O105" s="3">
        <v>1.1599999999999999</v>
      </c>
      <c r="P105" s="3">
        <f t="shared" si="348"/>
        <v>1.1599999999999999</v>
      </c>
      <c r="Q105" s="4" t="str">
        <f t="shared" si="349"/>
        <v/>
      </c>
      <c r="R105" s="3">
        <v>4.8600000000000003</v>
      </c>
      <c r="S105" s="3">
        <f t="shared" si="350"/>
        <v>4.8600000000000003</v>
      </c>
      <c r="T105" s="4">
        <f t="shared" si="351"/>
        <v>4.8600000000000003</v>
      </c>
      <c r="U105" s="3">
        <v>1.77</v>
      </c>
      <c r="V105" s="3">
        <f t="shared" si="352"/>
        <v>1.77</v>
      </c>
      <c r="W105" s="4">
        <f t="shared" si="353"/>
        <v>1.77</v>
      </c>
      <c r="X105" s="3">
        <v>3.09</v>
      </c>
      <c r="Y105" s="3">
        <f t="shared" si="354"/>
        <v>3.09</v>
      </c>
      <c r="Z105" s="21" t="str">
        <f t="shared" si="355"/>
        <v/>
      </c>
      <c r="BB105" s="20" t="s">
        <v>654</v>
      </c>
      <c r="BC105" s="3">
        <v>2.54</v>
      </c>
      <c r="BD105" s="3">
        <f t="shared" si="239"/>
        <v>2.54</v>
      </c>
      <c r="BE105" s="4" t="str">
        <f t="shared" si="240"/>
        <v/>
      </c>
      <c r="BF105" s="3">
        <v>4.2699999999999996</v>
      </c>
      <c r="BG105" s="3">
        <f t="shared" si="241"/>
        <v>4.2699999999999996</v>
      </c>
      <c r="BH105" s="4">
        <f t="shared" si="242"/>
        <v>4.2699999999999996</v>
      </c>
      <c r="BI105" s="3">
        <v>4.17</v>
      </c>
      <c r="BJ105" s="3">
        <f t="shared" si="243"/>
        <v>4.17</v>
      </c>
      <c r="BK105" s="4">
        <f t="shared" si="244"/>
        <v>4.17</v>
      </c>
      <c r="BL105" s="3">
        <v>4.3</v>
      </c>
      <c r="BM105" s="3">
        <f t="shared" si="245"/>
        <v>4.3</v>
      </c>
      <c r="BN105" s="4">
        <f t="shared" si="246"/>
        <v>4.3</v>
      </c>
      <c r="BO105" s="3">
        <v>3.6</v>
      </c>
      <c r="BP105" s="3">
        <f t="shared" si="247"/>
        <v>3.6</v>
      </c>
      <c r="BQ105" s="4">
        <f t="shared" si="248"/>
        <v>3.6</v>
      </c>
      <c r="BR105" s="3">
        <v>3.12</v>
      </c>
      <c r="BS105" s="3">
        <f t="shared" si="249"/>
        <v>3.12</v>
      </c>
      <c r="BT105" s="4">
        <f t="shared" si="250"/>
        <v>3.12</v>
      </c>
      <c r="BU105" s="3">
        <v>1.63</v>
      </c>
      <c r="BV105" s="3">
        <f t="shared" si="251"/>
        <v>1.63</v>
      </c>
      <c r="BW105" s="4">
        <f t="shared" si="252"/>
        <v>1.63</v>
      </c>
      <c r="BX105" s="3">
        <v>1.21</v>
      </c>
      <c r="BY105" s="3">
        <f t="shared" si="253"/>
        <v>1.21</v>
      </c>
      <c r="BZ105" s="21">
        <f t="shared" si="254"/>
        <v>1.21</v>
      </c>
      <c r="CB105" s="20" t="s">
        <v>655</v>
      </c>
      <c r="CC105" s="3">
        <v>4.1500000000000004</v>
      </c>
      <c r="CD105" s="3">
        <f t="shared" si="255"/>
        <v>4.1500000000000004</v>
      </c>
      <c r="CE105" s="4">
        <f t="shared" si="356"/>
        <v>4.1500000000000004</v>
      </c>
      <c r="CF105" s="3">
        <v>6.08</v>
      </c>
      <c r="CG105" s="3">
        <f t="shared" si="257"/>
        <v>6.08</v>
      </c>
      <c r="CH105" s="4">
        <f t="shared" si="357"/>
        <v>6.08</v>
      </c>
      <c r="CI105" s="3">
        <v>3.44</v>
      </c>
      <c r="CJ105" s="3">
        <f t="shared" si="259"/>
        <v>3.44</v>
      </c>
      <c r="CK105" s="4">
        <f t="shared" si="358"/>
        <v>3.44</v>
      </c>
      <c r="CL105" s="3">
        <v>5.25</v>
      </c>
      <c r="CM105" s="3">
        <f t="shared" si="261"/>
        <v>5.25</v>
      </c>
      <c r="CN105" s="4">
        <f t="shared" si="359"/>
        <v>5.25</v>
      </c>
      <c r="CO105" s="3">
        <v>5.46</v>
      </c>
      <c r="CP105" s="3">
        <f t="shared" si="263"/>
        <v>5.46</v>
      </c>
      <c r="CQ105" s="4">
        <f t="shared" si="360"/>
        <v>5.46</v>
      </c>
      <c r="CR105" s="3">
        <v>1.84</v>
      </c>
      <c r="CS105" s="3">
        <f t="shared" si="265"/>
        <v>1.84</v>
      </c>
      <c r="CT105" s="4">
        <f t="shared" si="361"/>
        <v>1.84</v>
      </c>
      <c r="CU105" s="3">
        <v>3.75</v>
      </c>
      <c r="CV105" s="3">
        <f t="shared" si="267"/>
        <v>3.75</v>
      </c>
      <c r="CW105" s="4">
        <f t="shared" si="362"/>
        <v>3.75</v>
      </c>
      <c r="CX105" s="3">
        <v>3.11</v>
      </c>
      <c r="CY105" s="3">
        <f t="shared" si="269"/>
        <v>3.11</v>
      </c>
      <c r="CZ105" s="21">
        <f t="shared" si="363"/>
        <v>3.11</v>
      </c>
    </row>
    <row r="106" spans="2:104">
      <c r="B106" s="20" t="s">
        <v>656</v>
      </c>
      <c r="C106" s="3">
        <v>2.99</v>
      </c>
      <c r="D106" s="3">
        <f t="shared" si="340"/>
        <v>2.99</v>
      </c>
      <c r="E106" s="4">
        <f t="shared" si="341"/>
        <v>2.99</v>
      </c>
      <c r="F106" s="3">
        <v>4.3899999999999997</v>
      </c>
      <c r="G106" s="3">
        <f t="shared" si="342"/>
        <v>4.3899999999999997</v>
      </c>
      <c r="H106" s="4">
        <f t="shared" si="343"/>
        <v>4.3899999999999997</v>
      </c>
      <c r="I106" s="3">
        <v>5.28</v>
      </c>
      <c r="J106" s="3">
        <f t="shared" si="344"/>
        <v>5.28</v>
      </c>
      <c r="K106" s="4">
        <f t="shared" si="345"/>
        <v>5.28</v>
      </c>
      <c r="L106" s="3">
        <v>5.62</v>
      </c>
      <c r="M106" s="3">
        <f t="shared" si="346"/>
        <v>5.62</v>
      </c>
      <c r="N106" s="4">
        <f t="shared" si="347"/>
        <v>5.62</v>
      </c>
      <c r="O106" s="3">
        <v>4.3099999999999996</v>
      </c>
      <c r="P106" s="3">
        <f t="shared" si="348"/>
        <v>4.3099999999999996</v>
      </c>
      <c r="Q106" s="4">
        <f t="shared" si="349"/>
        <v>4.3099999999999996</v>
      </c>
      <c r="R106" s="3">
        <v>0.38</v>
      </c>
      <c r="S106" s="3">
        <f t="shared" si="350"/>
        <v>0.38</v>
      </c>
      <c r="T106" s="4" t="str">
        <f t="shared" si="351"/>
        <v/>
      </c>
      <c r="U106" s="3">
        <v>1.75</v>
      </c>
      <c r="V106" s="3">
        <f t="shared" si="352"/>
        <v>1.75</v>
      </c>
      <c r="W106" s="4">
        <f t="shared" si="353"/>
        <v>1.75</v>
      </c>
      <c r="X106" s="3">
        <v>2.2599999999999998</v>
      </c>
      <c r="Y106" s="3">
        <f t="shared" si="354"/>
        <v>2.2599999999999998</v>
      </c>
      <c r="Z106" s="21">
        <f t="shared" si="355"/>
        <v>2.2599999999999998</v>
      </c>
      <c r="BB106" s="20" t="s">
        <v>657</v>
      </c>
      <c r="BC106" s="3">
        <v>1.01</v>
      </c>
      <c r="BD106" s="3">
        <f t="shared" si="239"/>
        <v>1.01</v>
      </c>
      <c r="BE106" s="4" t="str">
        <f t="shared" si="240"/>
        <v/>
      </c>
      <c r="BF106" s="3">
        <v>4.26</v>
      </c>
      <c r="BG106" s="3">
        <f t="shared" si="241"/>
        <v>4.26</v>
      </c>
      <c r="BH106" s="4">
        <f t="shared" si="242"/>
        <v>4.26</v>
      </c>
      <c r="BI106" s="3">
        <v>4.13</v>
      </c>
      <c r="BJ106" s="3">
        <f t="shared" si="243"/>
        <v>4.13</v>
      </c>
      <c r="BK106" s="4">
        <f t="shared" si="244"/>
        <v>4.13</v>
      </c>
      <c r="BL106" s="3">
        <v>4.29</v>
      </c>
      <c r="BM106" s="3">
        <f t="shared" si="245"/>
        <v>4.29</v>
      </c>
      <c r="BN106" s="4">
        <f t="shared" si="246"/>
        <v>4.29</v>
      </c>
      <c r="BO106" s="3">
        <v>3.58</v>
      </c>
      <c r="BP106" s="3">
        <f t="shared" si="247"/>
        <v>3.58</v>
      </c>
      <c r="BQ106" s="4">
        <f t="shared" si="248"/>
        <v>3.58</v>
      </c>
      <c r="BR106" s="3">
        <v>3.13</v>
      </c>
      <c r="BS106" s="3">
        <f t="shared" si="249"/>
        <v>3.13</v>
      </c>
      <c r="BT106" s="4">
        <f t="shared" si="250"/>
        <v>3.13</v>
      </c>
      <c r="BU106" s="3">
        <v>1.63</v>
      </c>
      <c r="BV106" s="3">
        <f t="shared" si="251"/>
        <v>1.63</v>
      </c>
      <c r="BW106" s="4">
        <f t="shared" si="252"/>
        <v>1.63</v>
      </c>
      <c r="BX106" s="3">
        <v>1.24</v>
      </c>
      <c r="BY106" s="3">
        <f t="shared" si="253"/>
        <v>1.24</v>
      </c>
      <c r="BZ106" s="21">
        <f t="shared" si="254"/>
        <v>1.24</v>
      </c>
      <c r="CB106" s="20" t="s">
        <v>658</v>
      </c>
      <c r="CC106" s="3">
        <v>4.1500000000000004</v>
      </c>
      <c r="CD106" s="3">
        <f t="shared" si="255"/>
        <v>4.1500000000000004</v>
      </c>
      <c r="CE106" s="4">
        <f t="shared" si="356"/>
        <v>4.1500000000000004</v>
      </c>
      <c r="CF106" s="3">
        <v>6.1</v>
      </c>
      <c r="CG106" s="3">
        <f t="shared" si="257"/>
        <v>6.1</v>
      </c>
      <c r="CH106" s="4">
        <f t="shared" si="357"/>
        <v>6.1</v>
      </c>
      <c r="CI106" s="3">
        <v>3.75</v>
      </c>
      <c r="CJ106" s="3">
        <f t="shared" si="259"/>
        <v>3.75</v>
      </c>
      <c r="CK106" s="4">
        <f t="shared" si="358"/>
        <v>3.75</v>
      </c>
      <c r="CL106" s="3">
        <v>3.85</v>
      </c>
      <c r="CM106" s="3">
        <f t="shared" si="261"/>
        <v>3.85</v>
      </c>
      <c r="CN106" s="4" t="str">
        <f t="shared" si="359"/>
        <v/>
      </c>
      <c r="CO106" s="3">
        <v>1.01</v>
      </c>
      <c r="CP106" s="3">
        <f t="shared" si="263"/>
        <v>1.01</v>
      </c>
      <c r="CQ106" s="4" t="str">
        <f t="shared" si="360"/>
        <v/>
      </c>
      <c r="CR106" s="3">
        <v>1.83</v>
      </c>
      <c r="CS106" s="3">
        <f t="shared" si="265"/>
        <v>1.83</v>
      </c>
      <c r="CT106" s="4">
        <f t="shared" si="361"/>
        <v>1.83</v>
      </c>
      <c r="CU106" s="3">
        <v>3.76</v>
      </c>
      <c r="CV106" s="3">
        <f t="shared" si="267"/>
        <v>3.76</v>
      </c>
      <c r="CW106" s="4">
        <f t="shared" si="362"/>
        <v>3.76</v>
      </c>
      <c r="CX106" s="3">
        <v>3.2</v>
      </c>
      <c r="CY106" s="3">
        <f t="shared" si="269"/>
        <v>3.2</v>
      </c>
      <c r="CZ106" s="21">
        <f t="shared" si="363"/>
        <v>3.2</v>
      </c>
    </row>
    <row r="107" spans="2:104">
      <c r="B107" s="20" t="s">
        <v>659</v>
      </c>
      <c r="C107" s="3">
        <v>3.01</v>
      </c>
      <c r="D107" s="3">
        <f t="shared" si="340"/>
        <v>3.01</v>
      </c>
      <c r="E107" s="4">
        <f t="shared" si="341"/>
        <v>3.01</v>
      </c>
      <c r="F107" s="3">
        <v>4.3899999999999997</v>
      </c>
      <c r="G107" s="3">
        <f t="shared" si="342"/>
        <v>4.3899999999999997</v>
      </c>
      <c r="H107" s="4">
        <f t="shared" si="343"/>
        <v>4.3899999999999997</v>
      </c>
      <c r="I107" s="3">
        <v>5.29</v>
      </c>
      <c r="J107" s="3">
        <f t="shared" si="344"/>
        <v>5.29</v>
      </c>
      <c r="K107" s="4">
        <f t="shared" si="345"/>
        <v>5.29</v>
      </c>
      <c r="L107" s="3">
        <v>5.0199999999999996</v>
      </c>
      <c r="M107" s="3">
        <f t="shared" si="346"/>
        <v>5.0199999999999996</v>
      </c>
      <c r="N107" s="4">
        <f t="shared" si="347"/>
        <v>5.0199999999999996</v>
      </c>
      <c r="O107" s="3">
        <v>4.3</v>
      </c>
      <c r="P107" s="3">
        <f t="shared" si="348"/>
        <v>4.3</v>
      </c>
      <c r="Q107" s="4">
        <f t="shared" si="349"/>
        <v>4.3</v>
      </c>
      <c r="R107" s="3">
        <v>4.83</v>
      </c>
      <c r="S107" s="3">
        <f t="shared" si="350"/>
        <v>4.83</v>
      </c>
      <c r="T107" s="4">
        <f t="shared" si="351"/>
        <v>4.83</v>
      </c>
      <c r="U107" s="3">
        <v>1.75</v>
      </c>
      <c r="V107" s="3">
        <f t="shared" si="352"/>
        <v>1.75</v>
      </c>
      <c r="W107" s="4">
        <f t="shared" si="353"/>
        <v>1.75</v>
      </c>
      <c r="X107" s="3">
        <v>2.27</v>
      </c>
      <c r="Y107" s="3">
        <f t="shared" si="354"/>
        <v>2.27</v>
      </c>
      <c r="Z107" s="21">
        <f t="shared" si="355"/>
        <v>2.27</v>
      </c>
      <c r="BB107" s="20" t="s">
        <v>660</v>
      </c>
      <c r="BC107" s="3">
        <v>3.92</v>
      </c>
      <c r="BD107" s="3">
        <f t="shared" si="239"/>
        <v>3.92</v>
      </c>
      <c r="BE107" s="4">
        <f t="shared" si="240"/>
        <v>3.92</v>
      </c>
      <c r="BF107" s="3">
        <v>4.2699999999999996</v>
      </c>
      <c r="BG107" s="3">
        <f t="shared" si="241"/>
        <v>4.2699999999999996</v>
      </c>
      <c r="BH107" s="4">
        <f t="shared" si="242"/>
        <v>4.2699999999999996</v>
      </c>
      <c r="BI107" s="3">
        <v>4.17</v>
      </c>
      <c r="BJ107" s="3">
        <f t="shared" si="243"/>
        <v>4.17</v>
      </c>
      <c r="BK107" s="4">
        <f t="shared" si="244"/>
        <v>4.17</v>
      </c>
      <c r="BL107" s="3">
        <v>4.3600000000000003</v>
      </c>
      <c r="BM107" s="3">
        <f t="shared" si="245"/>
        <v>4.3600000000000003</v>
      </c>
      <c r="BN107" s="4">
        <f t="shared" si="246"/>
        <v>4.3600000000000003</v>
      </c>
      <c r="BO107" s="3">
        <v>3.6</v>
      </c>
      <c r="BP107" s="3">
        <f t="shared" si="247"/>
        <v>3.6</v>
      </c>
      <c r="BQ107" s="4">
        <f t="shared" si="248"/>
        <v>3.6</v>
      </c>
      <c r="BR107" s="3">
        <v>3.12</v>
      </c>
      <c r="BS107" s="3">
        <f t="shared" si="249"/>
        <v>3.12</v>
      </c>
      <c r="BT107" s="4">
        <f t="shared" si="250"/>
        <v>3.12</v>
      </c>
      <c r="BU107" s="3">
        <v>1.62</v>
      </c>
      <c r="BV107" s="3">
        <f t="shared" si="251"/>
        <v>1.62</v>
      </c>
      <c r="BW107" s="4">
        <f t="shared" si="252"/>
        <v>1.62</v>
      </c>
      <c r="BX107" s="3">
        <v>1.23</v>
      </c>
      <c r="BY107" s="3">
        <f t="shared" si="253"/>
        <v>1.23</v>
      </c>
      <c r="BZ107" s="21">
        <f t="shared" si="254"/>
        <v>1.23</v>
      </c>
      <c r="CB107" s="20" t="s">
        <v>661</v>
      </c>
      <c r="CC107" s="3">
        <v>4.16</v>
      </c>
      <c r="CD107" s="3">
        <f t="shared" si="255"/>
        <v>4.16</v>
      </c>
      <c r="CE107" s="4">
        <f t="shared" si="356"/>
        <v>4.16</v>
      </c>
      <c r="CF107" s="3">
        <v>6.12</v>
      </c>
      <c r="CG107" s="3">
        <f t="shared" si="257"/>
        <v>6.12</v>
      </c>
      <c r="CH107" s="4">
        <f t="shared" si="357"/>
        <v>6.12</v>
      </c>
      <c r="CI107" s="3">
        <v>3.79</v>
      </c>
      <c r="CJ107" s="3">
        <f t="shared" si="259"/>
        <v>3.79</v>
      </c>
      <c r="CK107" s="4">
        <f t="shared" si="358"/>
        <v>3.79</v>
      </c>
      <c r="CL107" s="3">
        <v>5.15</v>
      </c>
      <c r="CM107" s="3">
        <f t="shared" si="261"/>
        <v>5.15</v>
      </c>
      <c r="CN107" s="4">
        <f t="shared" si="359"/>
        <v>5.15</v>
      </c>
      <c r="CO107" s="3">
        <v>1.59</v>
      </c>
      <c r="CP107" s="3">
        <f t="shared" si="263"/>
        <v>1.59</v>
      </c>
      <c r="CQ107" s="4" t="str">
        <f t="shared" si="360"/>
        <v/>
      </c>
      <c r="CR107" s="3">
        <v>1.85</v>
      </c>
      <c r="CS107" s="3">
        <f t="shared" si="265"/>
        <v>1.85</v>
      </c>
      <c r="CT107" s="4">
        <f t="shared" si="361"/>
        <v>1.85</v>
      </c>
      <c r="CU107" s="3">
        <v>3.75</v>
      </c>
      <c r="CV107" s="3">
        <f t="shared" si="267"/>
        <v>3.75</v>
      </c>
      <c r="CW107" s="4">
        <f t="shared" si="362"/>
        <v>3.75</v>
      </c>
      <c r="CX107" s="3">
        <v>0</v>
      </c>
      <c r="CY107" s="3" t="str">
        <f t="shared" si="269"/>
        <v/>
      </c>
      <c r="CZ107" s="21" t="str">
        <f t="shared" si="363"/>
        <v/>
      </c>
    </row>
    <row r="108" spans="2:104">
      <c r="B108" s="20" t="s">
        <v>662</v>
      </c>
      <c r="C108" s="3">
        <v>2.97</v>
      </c>
      <c r="D108" s="3">
        <f t="shared" si="340"/>
        <v>2.97</v>
      </c>
      <c r="E108" s="4">
        <f t="shared" si="341"/>
        <v>2.97</v>
      </c>
      <c r="F108" s="3">
        <v>4.3899999999999997</v>
      </c>
      <c r="G108" s="3">
        <f t="shared" si="342"/>
        <v>4.3899999999999997</v>
      </c>
      <c r="H108" s="4">
        <f t="shared" si="343"/>
        <v>4.3899999999999997</v>
      </c>
      <c r="I108" s="3">
        <v>5.29</v>
      </c>
      <c r="J108" s="3">
        <f t="shared" si="344"/>
        <v>5.29</v>
      </c>
      <c r="K108" s="4">
        <f t="shared" si="345"/>
        <v>5.29</v>
      </c>
      <c r="L108" s="3">
        <v>5.61</v>
      </c>
      <c r="M108" s="3">
        <f t="shared" si="346"/>
        <v>5.61</v>
      </c>
      <c r="N108" s="4">
        <f t="shared" si="347"/>
        <v>5.61</v>
      </c>
      <c r="O108" s="3">
        <v>4.34</v>
      </c>
      <c r="P108" s="3">
        <f t="shared" si="348"/>
        <v>4.34</v>
      </c>
      <c r="Q108" s="4">
        <f t="shared" si="349"/>
        <v>4.34</v>
      </c>
      <c r="R108" s="3">
        <v>4.79</v>
      </c>
      <c r="S108" s="3">
        <f t="shared" si="350"/>
        <v>4.79</v>
      </c>
      <c r="T108" s="4">
        <f t="shared" si="351"/>
        <v>4.79</v>
      </c>
      <c r="U108" s="3">
        <v>1.72</v>
      </c>
      <c r="V108" s="3">
        <f t="shared" si="352"/>
        <v>1.72</v>
      </c>
      <c r="W108" s="4">
        <f t="shared" si="353"/>
        <v>1.72</v>
      </c>
      <c r="X108" s="3">
        <v>3.18</v>
      </c>
      <c r="Y108" s="3">
        <f t="shared" si="354"/>
        <v>3.18</v>
      </c>
      <c r="Z108" s="21" t="str">
        <f t="shared" si="355"/>
        <v/>
      </c>
      <c r="BB108" s="20" t="s">
        <v>663</v>
      </c>
      <c r="BC108" s="3">
        <v>3.92</v>
      </c>
      <c r="BD108" s="3">
        <f t="shared" si="239"/>
        <v>3.92</v>
      </c>
      <c r="BE108" s="4">
        <f t="shared" si="240"/>
        <v>3.92</v>
      </c>
      <c r="BF108" s="3">
        <v>4.25</v>
      </c>
      <c r="BG108" s="3">
        <f t="shared" si="241"/>
        <v>4.25</v>
      </c>
      <c r="BH108" s="4">
        <f t="shared" si="242"/>
        <v>4.25</v>
      </c>
      <c r="BI108" s="3">
        <v>99.99</v>
      </c>
      <c r="BJ108" s="3" t="str">
        <f t="shared" si="243"/>
        <v/>
      </c>
      <c r="BK108" s="4" t="str">
        <f t="shared" si="244"/>
        <v/>
      </c>
      <c r="BL108" s="3">
        <v>4.32</v>
      </c>
      <c r="BM108" s="3">
        <f t="shared" si="245"/>
        <v>4.32</v>
      </c>
      <c r="BN108" s="4">
        <f t="shared" si="246"/>
        <v>4.32</v>
      </c>
      <c r="BO108" s="3">
        <v>3.58</v>
      </c>
      <c r="BP108" s="3">
        <f t="shared" si="247"/>
        <v>3.58</v>
      </c>
      <c r="BQ108" s="4">
        <f t="shared" si="248"/>
        <v>3.58</v>
      </c>
      <c r="BR108" s="3">
        <v>3.13</v>
      </c>
      <c r="BS108" s="3">
        <f t="shared" si="249"/>
        <v>3.13</v>
      </c>
      <c r="BT108" s="4">
        <f t="shared" si="250"/>
        <v>3.13</v>
      </c>
      <c r="BU108" s="3">
        <v>1.61</v>
      </c>
      <c r="BV108" s="3">
        <f t="shared" si="251"/>
        <v>1.61</v>
      </c>
      <c r="BW108" s="4">
        <f t="shared" si="252"/>
        <v>1.61</v>
      </c>
      <c r="BX108" s="3">
        <v>1.24</v>
      </c>
      <c r="BY108" s="3">
        <f t="shared" si="253"/>
        <v>1.24</v>
      </c>
      <c r="BZ108" s="21">
        <f t="shared" si="254"/>
        <v>1.24</v>
      </c>
      <c r="CB108" s="20" t="s">
        <v>664</v>
      </c>
      <c r="CC108" s="3">
        <v>4.1500000000000004</v>
      </c>
      <c r="CD108" s="3">
        <f t="shared" si="255"/>
        <v>4.1500000000000004</v>
      </c>
      <c r="CE108" s="4">
        <f t="shared" si="356"/>
        <v>4.1500000000000004</v>
      </c>
      <c r="CF108" s="3">
        <v>6.07</v>
      </c>
      <c r="CG108" s="3">
        <f t="shared" si="257"/>
        <v>6.07</v>
      </c>
      <c r="CH108" s="4">
        <f t="shared" si="357"/>
        <v>6.07</v>
      </c>
      <c r="CI108" s="3">
        <v>3.79</v>
      </c>
      <c r="CJ108" s="3">
        <f t="shared" si="259"/>
        <v>3.79</v>
      </c>
      <c r="CK108" s="4">
        <f t="shared" si="358"/>
        <v>3.79</v>
      </c>
      <c r="CL108" s="3">
        <v>4.32</v>
      </c>
      <c r="CM108" s="3">
        <f t="shared" si="261"/>
        <v>4.32</v>
      </c>
      <c r="CN108" s="4">
        <f t="shared" si="359"/>
        <v>4.32</v>
      </c>
      <c r="CO108" s="3">
        <v>5.45</v>
      </c>
      <c r="CP108" s="3">
        <f t="shared" si="263"/>
        <v>5.45</v>
      </c>
      <c r="CQ108" s="4">
        <f t="shared" si="360"/>
        <v>5.45</v>
      </c>
      <c r="CR108" s="3">
        <v>1.83</v>
      </c>
      <c r="CS108" s="3">
        <f t="shared" si="265"/>
        <v>1.83</v>
      </c>
      <c r="CT108" s="4">
        <f t="shared" si="361"/>
        <v>1.83</v>
      </c>
      <c r="CU108" s="3">
        <v>1.06</v>
      </c>
      <c r="CV108" s="3">
        <f t="shared" si="267"/>
        <v>1.06</v>
      </c>
      <c r="CW108" s="4" t="str">
        <f t="shared" si="362"/>
        <v/>
      </c>
      <c r="CX108" s="3">
        <v>3.07</v>
      </c>
      <c r="CY108" s="3">
        <f t="shared" si="269"/>
        <v>3.07</v>
      </c>
      <c r="CZ108" s="21">
        <f t="shared" si="363"/>
        <v>3.07</v>
      </c>
    </row>
    <row r="109" spans="2:104">
      <c r="B109" s="20" t="s">
        <v>665</v>
      </c>
      <c r="C109" s="3">
        <v>2.99</v>
      </c>
      <c r="D109" s="3">
        <f t="shared" si="340"/>
        <v>2.99</v>
      </c>
      <c r="E109" s="4">
        <f t="shared" si="341"/>
        <v>2.99</v>
      </c>
      <c r="F109" s="3">
        <v>4.43</v>
      </c>
      <c r="G109" s="3">
        <f t="shared" si="342"/>
        <v>4.43</v>
      </c>
      <c r="H109" s="4">
        <f t="shared" si="343"/>
        <v>4.43</v>
      </c>
      <c r="I109" s="3">
        <v>5.31</v>
      </c>
      <c r="J109" s="3">
        <f t="shared" si="344"/>
        <v>5.31</v>
      </c>
      <c r="K109" s="4">
        <f t="shared" si="345"/>
        <v>5.31</v>
      </c>
      <c r="L109" s="3">
        <v>5.65</v>
      </c>
      <c r="M109" s="3">
        <f t="shared" si="346"/>
        <v>5.65</v>
      </c>
      <c r="N109" s="4">
        <f t="shared" si="347"/>
        <v>5.65</v>
      </c>
      <c r="O109" s="3">
        <v>4.34</v>
      </c>
      <c r="P109" s="3">
        <f t="shared" si="348"/>
        <v>4.34</v>
      </c>
      <c r="Q109" s="4">
        <f t="shared" si="349"/>
        <v>4.34</v>
      </c>
      <c r="R109" s="3">
        <v>4.8099999999999996</v>
      </c>
      <c r="S109" s="3">
        <f t="shared" si="350"/>
        <v>4.8099999999999996</v>
      </c>
      <c r="T109" s="4">
        <f t="shared" si="351"/>
        <v>4.8099999999999996</v>
      </c>
      <c r="U109" s="3">
        <v>1.75</v>
      </c>
      <c r="V109" s="3">
        <f t="shared" si="352"/>
        <v>1.75</v>
      </c>
      <c r="W109" s="4">
        <f t="shared" si="353"/>
        <v>1.75</v>
      </c>
      <c r="X109" s="3">
        <v>2.2400000000000002</v>
      </c>
      <c r="Y109" s="3">
        <f t="shared" si="354"/>
        <v>2.2400000000000002</v>
      </c>
      <c r="Z109" s="21">
        <f t="shared" si="355"/>
        <v>2.2400000000000002</v>
      </c>
      <c r="BB109" s="20" t="s">
        <v>666</v>
      </c>
      <c r="BC109" s="3">
        <v>1.35</v>
      </c>
      <c r="BD109" s="3">
        <f t="shared" si="239"/>
        <v>1.35</v>
      </c>
      <c r="BE109" s="4" t="str">
        <f t="shared" si="240"/>
        <v/>
      </c>
      <c r="BF109" s="3">
        <v>4.29</v>
      </c>
      <c r="BG109" s="3">
        <f t="shared" si="241"/>
        <v>4.29</v>
      </c>
      <c r="BH109" s="4">
        <f t="shared" si="242"/>
        <v>4.29</v>
      </c>
      <c r="BI109" s="3">
        <v>4.1500000000000004</v>
      </c>
      <c r="BJ109" s="3">
        <f t="shared" si="243"/>
        <v>4.1500000000000004</v>
      </c>
      <c r="BK109" s="4">
        <f t="shared" si="244"/>
        <v>4.1500000000000004</v>
      </c>
      <c r="BL109" s="3">
        <v>4.34</v>
      </c>
      <c r="BM109" s="3">
        <f t="shared" si="245"/>
        <v>4.34</v>
      </c>
      <c r="BN109" s="4">
        <f t="shared" si="246"/>
        <v>4.34</v>
      </c>
      <c r="BO109" s="3">
        <v>3.57</v>
      </c>
      <c r="BP109" s="3">
        <f t="shared" si="247"/>
        <v>3.57</v>
      </c>
      <c r="BQ109" s="4">
        <f t="shared" si="248"/>
        <v>3.57</v>
      </c>
      <c r="BR109" s="3">
        <v>3.12</v>
      </c>
      <c r="BS109" s="3">
        <f t="shared" si="249"/>
        <v>3.12</v>
      </c>
      <c r="BT109" s="4">
        <f t="shared" si="250"/>
        <v>3.12</v>
      </c>
      <c r="BU109" s="3">
        <v>1.62</v>
      </c>
      <c r="BV109" s="3">
        <f t="shared" si="251"/>
        <v>1.62</v>
      </c>
      <c r="BW109" s="4">
        <f t="shared" si="252"/>
        <v>1.62</v>
      </c>
      <c r="BX109" s="3">
        <v>1.25</v>
      </c>
      <c r="BY109" s="3">
        <f t="shared" si="253"/>
        <v>1.25</v>
      </c>
      <c r="BZ109" s="21">
        <f t="shared" si="254"/>
        <v>1.25</v>
      </c>
      <c r="CB109" s="20" t="s">
        <v>667</v>
      </c>
      <c r="CC109" s="3">
        <v>4.17</v>
      </c>
      <c r="CD109" s="3">
        <f t="shared" si="255"/>
        <v>4.17</v>
      </c>
      <c r="CE109" s="4">
        <f t="shared" si="356"/>
        <v>4.17</v>
      </c>
      <c r="CF109" s="3">
        <v>6.12</v>
      </c>
      <c r="CG109" s="3">
        <f t="shared" si="257"/>
        <v>6.12</v>
      </c>
      <c r="CH109" s="4">
        <f t="shared" si="357"/>
        <v>6.12</v>
      </c>
      <c r="CI109" s="3">
        <v>3.76</v>
      </c>
      <c r="CJ109" s="3">
        <f t="shared" si="259"/>
        <v>3.76</v>
      </c>
      <c r="CK109" s="4">
        <f t="shared" si="358"/>
        <v>3.76</v>
      </c>
      <c r="CL109" s="3">
        <v>5.61</v>
      </c>
      <c r="CM109" s="3">
        <f t="shared" si="261"/>
        <v>5.61</v>
      </c>
      <c r="CN109" s="4">
        <f t="shared" si="359"/>
        <v>5.61</v>
      </c>
      <c r="CO109" s="3">
        <v>5.44</v>
      </c>
      <c r="CP109" s="3">
        <f t="shared" si="263"/>
        <v>5.44</v>
      </c>
      <c r="CQ109" s="4">
        <f t="shared" si="360"/>
        <v>5.44</v>
      </c>
      <c r="CR109" s="3">
        <v>1.82</v>
      </c>
      <c r="CS109" s="3">
        <f t="shared" si="265"/>
        <v>1.82</v>
      </c>
      <c r="CT109" s="4">
        <f t="shared" si="361"/>
        <v>1.82</v>
      </c>
      <c r="CU109" s="3">
        <v>3.77</v>
      </c>
      <c r="CV109" s="3">
        <f t="shared" si="267"/>
        <v>3.77</v>
      </c>
      <c r="CW109" s="4">
        <f t="shared" si="362"/>
        <v>3.77</v>
      </c>
      <c r="CX109" s="3">
        <v>3.2</v>
      </c>
      <c r="CY109" s="3">
        <f t="shared" si="269"/>
        <v>3.2</v>
      </c>
      <c r="CZ109" s="21">
        <f t="shared" si="363"/>
        <v>3.2</v>
      </c>
    </row>
    <row r="110" spans="2:104">
      <c r="B110" s="20" t="s">
        <v>668</v>
      </c>
      <c r="C110" s="3">
        <v>2.96</v>
      </c>
      <c r="D110" s="3">
        <f t="shared" si="340"/>
        <v>2.96</v>
      </c>
      <c r="E110" s="4">
        <f t="shared" si="341"/>
        <v>2.96</v>
      </c>
      <c r="F110" s="3">
        <v>0</v>
      </c>
      <c r="G110" s="3" t="str">
        <f t="shared" si="342"/>
        <v/>
      </c>
      <c r="H110" s="4" t="str">
        <f t="shared" si="343"/>
        <v/>
      </c>
      <c r="I110" s="3">
        <v>5.31</v>
      </c>
      <c r="J110" s="3">
        <f t="shared" si="344"/>
        <v>5.31</v>
      </c>
      <c r="K110" s="4">
        <f t="shared" si="345"/>
        <v>5.31</v>
      </c>
      <c r="L110" s="3">
        <v>5.65</v>
      </c>
      <c r="M110" s="3">
        <f t="shared" si="346"/>
        <v>5.65</v>
      </c>
      <c r="N110" s="4">
        <f t="shared" si="347"/>
        <v>5.65</v>
      </c>
      <c r="O110" s="3">
        <v>4.3</v>
      </c>
      <c r="P110" s="3">
        <f t="shared" si="348"/>
        <v>4.3</v>
      </c>
      <c r="Q110" s="4">
        <f t="shared" si="349"/>
        <v>4.3</v>
      </c>
      <c r="R110" s="3">
        <v>4.82</v>
      </c>
      <c r="S110" s="3">
        <f t="shared" si="350"/>
        <v>4.82</v>
      </c>
      <c r="T110" s="4">
        <f t="shared" si="351"/>
        <v>4.82</v>
      </c>
      <c r="U110" s="3">
        <v>1.74</v>
      </c>
      <c r="V110" s="3">
        <f t="shared" si="352"/>
        <v>1.74</v>
      </c>
      <c r="W110" s="4">
        <f t="shared" si="353"/>
        <v>1.74</v>
      </c>
      <c r="X110" s="3">
        <v>3.24</v>
      </c>
      <c r="Y110" s="3">
        <f t="shared" si="354"/>
        <v>3.24</v>
      </c>
      <c r="Z110" s="21" t="str">
        <f t="shared" si="355"/>
        <v/>
      </c>
      <c r="BB110" s="20" t="s">
        <v>669</v>
      </c>
      <c r="BC110" s="3">
        <v>3.94</v>
      </c>
      <c r="BD110" s="3">
        <f t="shared" si="239"/>
        <v>3.94</v>
      </c>
      <c r="BE110" s="4">
        <f t="shared" si="240"/>
        <v>3.94</v>
      </c>
      <c r="BF110" s="3">
        <v>4.3099999999999996</v>
      </c>
      <c r="BG110" s="3">
        <f t="shared" si="241"/>
        <v>4.3099999999999996</v>
      </c>
      <c r="BH110" s="4">
        <f t="shared" si="242"/>
        <v>4.3099999999999996</v>
      </c>
      <c r="BI110" s="3">
        <v>4.12</v>
      </c>
      <c r="BJ110" s="3">
        <f t="shared" si="243"/>
        <v>4.12</v>
      </c>
      <c r="BK110" s="4">
        <f t="shared" si="244"/>
        <v>4.12</v>
      </c>
      <c r="BL110" s="3">
        <v>1.35</v>
      </c>
      <c r="BM110" s="3">
        <f t="shared" si="245"/>
        <v>1.35</v>
      </c>
      <c r="BN110" s="4" t="str">
        <f t="shared" si="246"/>
        <v/>
      </c>
      <c r="BO110" s="3">
        <v>3.63</v>
      </c>
      <c r="BP110" s="3">
        <f t="shared" si="247"/>
        <v>3.63</v>
      </c>
      <c r="BQ110" s="4">
        <f t="shared" si="248"/>
        <v>3.63</v>
      </c>
      <c r="BR110" s="3">
        <v>3.13</v>
      </c>
      <c r="BS110" s="3">
        <f t="shared" si="249"/>
        <v>3.13</v>
      </c>
      <c r="BT110" s="4">
        <f t="shared" si="250"/>
        <v>3.13</v>
      </c>
      <c r="BU110" s="3">
        <v>1.59</v>
      </c>
      <c r="BV110" s="3">
        <f t="shared" si="251"/>
        <v>1.59</v>
      </c>
      <c r="BW110" s="4">
        <f t="shared" si="252"/>
        <v>1.59</v>
      </c>
      <c r="BX110" s="3">
        <v>1.21</v>
      </c>
      <c r="BY110" s="3">
        <f t="shared" si="253"/>
        <v>1.21</v>
      </c>
      <c r="BZ110" s="21">
        <f t="shared" si="254"/>
        <v>1.21</v>
      </c>
      <c r="CB110" s="20" t="s">
        <v>670</v>
      </c>
      <c r="CC110" s="3">
        <v>4.1399999999999997</v>
      </c>
      <c r="CD110" s="3">
        <f t="shared" si="255"/>
        <v>4.1399999999999997</v>
      </c>
      <c r="CE110" s="4">
        <f t="shared" si="356"/>
        <v>4.1399999999999997</v>
      </c>
      <c r="CF110" s="3">
        <v>6.12</v>
      </c>
      <c r="CG110" s="3">
        <f t="shared" si="257"/>
        <v>6.12</v>
      </c>
      <c r="CH110" s="4">
        <f t="shared" si="357"/>
        <v>6.12</v>
      </c>
      <c r="CI110" s="3">
        <v>3.76</v>
      </c>
      <c r="CJ110" s="3">
        <f t="shared" si="259"/>
        <v>3.76</v>
      </c>
      <c r="CK110" s="4">
        <f t="shared" si="358"/>
        <v>3.76</v>
      </c>
      <c r="CL110" s="3">
        <v>5.0999999999999996</v>
      </c>
      <c r="CM110" s="3">
        <f t="shared" si="261"/>
        <v>5.0999999999999996</v>
      </c>
      <c r="CN110" s="4">
        <f t="shared" si="359"/>
        <v>5.0999999999999996</v>
      </c>
      <c r="CO110" s="3">
        <v>5.45</v>
      </c>
      <c r="CP110" s="3">
        <f t="shared" si="263"/>
        <v>5.45</v>
      </c>
      <c r="CQ110" s="4">
        <f t="shared" si="360"/>
        <v>5.45</v>
      </c>
      <c r="CR110" s="3">
        <v>1.85</v>
      </c>
      <c r="CS110" s="3">
        <f t="shared" si="265"/>
        <v>1.85</v>
      </c>
      <c r="CT110" s="4">
        <f t="shared" si="361"/>
        <v>1.85</v>
      </c>
      <c r="CU110" s="3">
        <v>3.74</v>
      </c>
      <c r="CV110" s="3">
        <f t="shared" si="267"/>
        <v>3.74</v>
      </c>
      <c r="CW110" s="4">
        <f t="shared" si="362"/>
        <v>3.74</v>
      </c>
      <c r="CX110" s="3">
        <v>3.3</v>
      </c>
      <c r="CY110" s="3">
        <f t="shared" si="269"/>
        <v>3.3</v>
      </c>
      <c r="CZ110" s="21">
        <f t="shared" si="363"/>
        <v>3.3</v>
      </c>
    </row>
    <row r="111" spans="2:104">
      <c r="B111" s="20" t="s">
        <v>671</v>
      </c>
      <c r="C111" s="3">
        <v>3</v>
      </c>
      <c r="D111" s="3">
        <f t="shared" si="340"/>
        <v>3</v>
      </c>
      <c r="E111" s="4">
        <f t="shared" si="341"/>
        <v>3</v>
      </c>
      <c r="F111" s="3">
        <v>4.4000000000000004</v>
      </c>
      <c r="G111" s="3">
        <f t="shared" si="342"/>
        <v>4.4000000000000004</v>
      </c>
      <c r="H111" s="4">
        <f t="shared" si="343"/>
        <v>4.4000000000000004</v>
      </c>
      <c r="I111" s="3">
        <v>5.3</v>
      </c>
      <c r="J111" s="3">
        <f t="shared" si="344"/>
        <v>5.3</v>
      </c>
      <c r="K111" s="4">
        <f t="shared" si="345"/>
        <v>5.3</v>
      </c>
      <c r="L111" s="3">
        <v>5.63</v>
      </c>
      <c r="M111" s="3">
        <f t="shared" si="346"/>
        <v>5.63</v>
      </c>
      <c r="N111" s="4">
        <f t="shared" si="347"/>
        <v>5.63</v>
      </c>
      <c r="O111" s="3">
        <v>4.32</v>
      </c>
      <c r="P111" s="3">
        <f t="shared" si="348"/>
        <v>4.32</v>
      </c>
      <c r="Q111" s="4">
        <f t="shared" si="349"/>
        <v>4.32</v>
      </c>
      <c r="R111" s="3">
        <v>4.8899999999999997</v>
      </c>
      <c r="S111" s="3">
        <f t="shared" si="350"/>
        <v>4.8899999999999997</v>
      </c>
      <c r="T111" s="4">
        <f t="shared" si="351"/>
        <v>4.8899999999999997</v>
      </c>
      <c r="U111" s="3">
        <v>1.74</v>
      </c>
      <c r="V111" s="3">
        <f t="shared" si="352"/>
        <v>1.74</v>
      </c>
      <c r="W111" s="4">
        <f t="shared" si="353"/>
        <v>1.74</v>
      </c>
      <c r="X111" s="3">
        <v>2.31</v>
      </c>
      <c r="Y111" s="3">
        <f t="shared" si="354"/>
        <v>2.31</v>
      </c>
      <c r="Z111" s="21">
        <f t="shared" si="355"/>
        <v>2.31</v>
      </c>
      <c r="BB111" s="20" t="s">
        <v>672</v>
      </c>
      <c r="BC111" s="3">
        <v>3.91</v>
      </c>
      <c r="BD111" s="3">
        <f t="shared" si="239"/>
        <v>3.91</v>
      </c>
      <c r="BE111" s="4">
        <f t="shared" si="240"/>
        <v>3.91</v>
      </c>
      <c r="BF111" s="3">
        <v>4.26</v>
      </c>
      <c r="BG111" s="3">
        <f t="shared" si="241"/>
        <v>4.26</v>
      </c>
      <c r="BH111" s="4">
        <f t="shared" si="242"/>
        <v>4.26</v>
      </c>
      <c r="BI111" s="3">
        <v>4.1399999999999997</v>
      </c>
      <c r="BJ111" s="3">
        <f t="shared" si="243"/>
        <v>4.1399999999999997</v>
      </c>
      <c r="BK111" s="4">
        <f t="shared" si="244"/>
        <v>4.1399999999999997</v>
      </c>
      <c r="BL111" s="3">
        <v>4.28</v>
      </c>
      <c r="BM111" s="3">
        <f t="shared" si="245"/>
        <v>4.28</v>
      </c>
      <c r="BN111" s="4">
        <f t="shared" si="246"/>
        <v>4.28</v>
      </c>
      <c r="BO111" s="3">
        <v>3.58</v>
      </c>
      <c r="BP111" s="3">
        <f t="shared" si="247"/>
        <v>3.58</v>
      </c>
      <c r="BQ111" s="4">
        <f t="shared" si="248"/>
        <v>3.58</v>
      </c>
      <c r="BR111" s="3">
        <v>3.13</v>
      </c>
      <c r="BS111" s="3">
        <f t="shared" si="249"/>
        <v>3.13</v>
      </c>
      <c r="BT111" s="4">
        <f t="shared" si="250"/>
        <v>3.13</v>
      </c>
      <c r="BU111" s="3">
        <v>0.91</v>
      </c>
      <c r="BV111" s="3">
        <f t="shared" si="251"/>
        <v>0.91</v>
      </c>
      <c r="BW111" s="4" t="str">
        <f t="shared" si="252"/>
        <v/>
      </c>
      <c r="BX111" s="3">
        <v>1.24</v>
      </c>
      <c r="BY111" s="3">
        <f t="shared" si="253"/>
        <v>1.24</v>
      </c>
      <c r="BZ111" s="21">
        <f t="shared" si="254"/>
        <v>1.24</v>
      </c>
      <c r="CB111" s="20" t="s">
        <v>673</v>
      </c>
      <c r="CC111" s="3">
        <v>4.1500000000000004</v>
      </c>
      <c r="CD111" s="3">
        <f t="shared" si="255"/>
        <v>4.1500000000000004</v>
      </c>
      <c r="CE111" s="4">
        <f t="shared" si="356"/>
        <v>4.1500000000000004</v>
      </c>
      <c r="CF111" s="3">
        <v>6.11</v>
      </c>
      <c r="CG111" s="3">
        <f t="shared" si="257"/>
        <v>6.11</v>
      </c>
      <c r="CH111" s="4">
        <f t="shared" si="357"/>
        <v>6.11</v>
      </c>
      <c r="CI111" s="3">
        <v>3.77</v>
      </c>
      <c r="CJ111" s="3">
        <f t="shared" si="259"/>
        <v>3.77</v>
      </c>
      <c r="CK111" s="4">
        <f t="shared" si="358"/>
        <v>3.77</v>
      </c>
      <c r="CL111" s="3">
        <v>5.19</v>
      </c>
      <c r="CM111" s="3">
        <f t="shared" si="261"/>
        <v>5.19</v>
      </c>
      <c r="CN111" s="4">
        <f t="shared" si="359"/>
        <v>5.19</v>
      </c>
      <c r="CO111" s="3">
        <v>5.45</v>
      </c>
      <c r="CP111" s="3">
        <f t="shared" si="263"/>
        <v>5.45</v>
      </c>
      <c r="CQ111" s="4">
        <f t="shared" si="360"/>
        <v>5.45</v>
      </c>
      <c r="CR111" s="3">
        <v>1.86</v>
      </c>
      <c r="CS111" s="3">
        <f t="shared" si="265"/>
        <v>1.86</v>
      </c>
      <c r="CT111" s="4">
        <f t="shared" si="361"/>
        <v>1.86</v>
      </c>
      <c r="CU111" s="3">
        <v>3.77</v>
      </c>
      <c r="CV111" s="3">
        <f t="shared" si="267"/>
        <v>3.77</v>
      </c>
      <c r="CW111" s="4">
        <f t="shared" si="362"/>
        <v>3.77</v>
      </c>
      <c r="CX111" s="3">
        <v>3.15</v>
      </c>
      <c r="CY111" s="3">
        <f t="shared" si="269"/>
        <v>3.15</v>
      </c>
      <c r="CZ111" s="21">
        <f t="shared" si="363"/>
        <v>3.15</v>
      </c>
    </row>
    <row r="112" spans="2:104">
      <c r="B112" s="20" t="s">
        <v>674</v>
      </c>
      <c r="C112" s="3">
        <v>3.03</v>
      </c>
      <c r="D112" s="3">
        <f t="shared" si="340"/>
        <v>3.03</v>
      </c>
      <c r="E112" s="4">
        <f t="shared" si="341"/>
        <v>3.03</v>
      </c>
      <c r="F112" s="3">
        <v>4.42</v>
      </c>
      <c r="G112" s="3">
        <f t="shared" si="342"/>
        <v>4.42</v>
      </c>
      <c r="H112" s="4">
        <f t="shared" si="343"/>
        <v>4.42</v>
      </c>
      <c r="I112" s="3">
        <v>5.29</v>
      </c>
      <c r="J112" s="3">
        <f t="shared" si="344"/>
        <v>5.29</v>
      </c>
      <c r="K112" s="4">
        <f t="shared" si="345"/>
        <v>5.29</v>
      </c>
      <c r="L112" s="3">
        <v>99.99</v>
      </c>
      <c r="M112" s="3" t="str">
        <f t="shared" si="346"/>
        <v/>
      </c>
      <c r="N112" s="4" t="str">
        <f t="shared" si="347"/>
        <v/>
      </c>
      <c r="O112" s="3">
        <v>4.33</v>
      </c>
      <c r="P112" s="3">
        <f t="shared" si="348"/>
        <v>4.33</v>
      </c>
      <c r="Q112" s="4">
        <f t="shared" si="349"/>
        <v>4.33</v>
      </c>
      <c r="R112" s="3">
        <v>4.71</v>
      </c>
      <c r="S112" s="3">
        <f t="shared" si="350"/>
        <v>4.71</v>
      </c>
      <c r="T112" s="4">
        <f t="shared" si="351"/>
        <v>4.71</v>
      </c>
      <c r="U112" s="3">
        <v>1.74</v>
      </c>
      <c r="V112" s="3">
        <f t="shared" si="352"/>
        <v>1.74</v>
      </c>
      <c r="W112" s="4">
        <f t="shared" si="353"/>
        <v>1.74</v>
      </c>
      <c r="X112" s="3">
        <v>2.2400000000000002</v>
      </c>
      <c r="Y112" s="3">
        <f t="shared" si="354"/>
        <v>2.2400000000000002</v>
      </c>
      <c r="Z112" s="21">
        <f t="shared" si="355"/>
        <v>2.2400000000000002</v>
      </c>
      <c r="BB112" s="20" t="s">
        <v>675</v>
      </c>
      <c r="BC112" s="3">
        <v>3.94</v>
      </c>
      <c r="BD112" s="3">
        <f t="shared" si="239"/>
        <v>3.94</v>
      </c>
      <c r="BE112" s="4">
        <f t="shared" si="240"/>
        <v>3.94</v>
      </c>
      <c r="BF112" s="3">
        <v>4.25</v>
      </c>
      <c r="BG112" s="3">
        <f t="shared" si="241"/>
        <v>4.25</v>
      </c>
      <c r="BH112" s="4">
        <f t="shared" si="242"/>
        <v>4.25</v>
      </c>
      <c r="BI112" s="3">
        <v>4.18</v>
      </c>
      <c r="BJ112" s="3">
        <f t="shared" si="243"/>
        <v>4.18</v>
      </c>
      <c r="BK112" s="4">
        <f t="shared" si="244"/>
        <v>4.18</v>
      </c>
      <c r="BL112" s="3">
        <v>4.2699999999999996</v>
      </c>
      <c r="BM112" s="3">
        <f t="shared" si="245"/>
        <v>4.2699999999999996</v>
      </c>
      <c r="BN112" s="4">
        <f t="shared" si="246"/>
        <v>4.2699999999999996</v>
      </c>
      <c r="BO112" s="3">
        <v>3.59</v>
      </c>
      <c r="BP112" s="3">
        <f t="shared" si="247"/>
        <v>3.59</v>
      </c>
      <c r="BQ112" s="4">
        <f t="shared" si="248"/>
        <v>3.59</v>
      </c>
      <c r="BR112" s="3">
        <v>3.11</v>
      </c>
      <c r="BS112" s="3">
        <f t="shared" si="249"/>
        <v>3.11</v>
      </c>
      <c r="BT112" s="4">
        <f t="shared" si="250"/>
        <v>3.11</v>
      </c>
      <c r="BU112" s="3">
        <v>0.88</v>
      </c>
      <c r="BV112" s="3">
        <f t="shared" si="251"/>
        <v>0.88</v>
      </c>
      <c r="BW112" s="4" t="str">
        <f t="shared" si="252"/>
        <v/>
      </c>
      <c r="BX112" s="3">
        <v>1.25</v>
      </c>
      <c r="BY112" s="3">
        <f t="shared" si="253"/>
        <v>1.25</v>
      </c>
      <c r="BZ112" s="21">
        <f t="shared" si="254"/>
        <v>1.25</v>
      </c>
      <c r="CB112" s="20" t="s">
        <v>676</v>
      </c>
      <c r="CC112" s="3">
        <v>4.1399999999999997</v>
      </c>
      <c r="CD112" s="3">
        <f t="shared" si="255"/>
        <v>4.1399999999999997</v>
      </c>
      <c r="CE112" s="4">
        <f t="shared" si="356"/>
        <v>4.1399999999999997</v>
      </c>
      <c r="CF112" s="3">
        <v>6.05</v>
      </c>
      <c r="CG112" s="3">
        <f t="shared" si="257"/>
        <v>6.05</v>
      </c>
      <c r="CH112" s="4">
        <f t="shared" si="357"/>
        <v>6.05</v>
      </c>
      <c r="CI112" s="3">
        <v>3.79</v>
      </c>
      <c r="CJ112" s="3">
        <f t="shared" si="259"/>
        <v>3.79</v>
      </c>
      <c r="CK112" s="4">
        <f t="shared" si="358"/>
        <v>3.79</v>
      </c>
      <c r="CL112" s="3">
        <v>5.14</v>
      </c>
      <c r="CM112" s="3">
        <f t="shared" si="261"/>
        <v>5.14</v>
      </c>
      <c r="CN112" s="4">
        <f t="shared" si="359"/>
        <v>5.14</v>
      </c>
      <c r="CO112" s="3">
        <v>5.46</v>
      </c>
      <c r="CP112" s="3">
        <f t="shared" si="263"/>
        <v>5.46</v>
      </c>
      <c r="CQ112" s="4">
        <f t="shared" si="360"/>
        <v>5.46</v>
      </c>
      <c r="CR112" s="3">
        <v>1.89</v>
      </c>
      <c r="CS112" s="3">
        <f t="shared" si="265"/>
        <v>1.89</v>
      </c>
      <c r="CT112" s="4">
        <f t="shared" si="361"/>
        <v>1.89</v>
      </c>
      <c r="CU112" s="3">
        <v>3.79</v>
      </c>
      <c r="CV112" s="3">
        <f t="shared" si="267"/>
        <v>3.79</v>
      </c>
      <c r="CW112" s="4">
        <f t="shared" si="362"/>
        <v>3.79</v>
      </c>
      <c r="CX112" s="3">
        <v>3.12</v>
      </c>
      <c r="CY112" s="3">
        <f t="shared" si="269"/>
        <v>3.12</v>
      </c>
      <c r="CZ112" s="21">
        <f t="shared" si="363"/>
        <v>3.12</v>
      </c>
    </row>
    <row r="113" spans="2:104">
      <c r="B113" s="20" t="s">
        <v>677</v>
      </c>
      <c r="C113" s="3">
        <v>3.04</v>
      </c>
      <c r="D113" s="3">
        <f t="shared" si="340"/>
        <v>3.04</v>
      </c>
      <c r="E113" s="4">
        <f t="shared" si="341"/>
        <v>3.04</v>
      </c>
      <c r="F113" s="3">
        <v>4.41</v>
      </c>
      <c r="G113" s="3">
        <f t="shared" si="342"/>
        <v>4.41</v>
      </c>
      <c r="H113" s="4">
        <f t="shared" si="343"/>
        <v>4.41</v>
      </c>
      <c r="I113" s="3">
        <v>5.25</v>
      </c>
      <c r="J113" s="3">
        <f t="shared" si="344"/>
        <v>5.25</v>
      </c>
      <c r="K113" s="4">
        <f t="shared" si="345"/>
        <v>5.25</v>
      </c>
      <c r="L113" s="3">
        <v>5.64</v>
      </c>
      <c r="M113" s="3">
        <f t="shared" si="346"/>
        <v>5.64</v>
      </c>
      <c r="N113" s="4">
        <f t="shared" si="347"/>
        <v>5.64</v>
      </c>
      <c r="O113" s="3">
        <v>4.33</v>
      </c>
      <c r="P113" s="3">
        <f t="shared" si="348"/>
        <v>4.33</v>
      </c>
      <c r="Q113" s="4">
        <f t="shared" si="349"/>
        <v>4.33</v>
      </c>
      <c r="R113" s="3">
        <v>3.77</v>
      </c>
      <c r="S113" s="3">
        <f t="shared" si="350"/>
        <v>3.77</v>
      </c>
      <c r="T113" s="4">
        <f t="shared" si="351"/>
        <v>3.77</v>
      </c>
      <c r="U113" s="3">
        <v>1.75</v>
      </c>
      <c r="V113" s="3">
        <f t="shared" si="352"/>
        <v>1.75</v>
      </c>
      <c r="W113" s="4">
        <f t="shared" si="353"/>
        <v>1.75</v>
      </c>
      <c r="X113" s="3">
        <v>2.23</v>
      </c>
      <c r="Y113" s="3">
        <f t="shared" si="354"/>
        <v>2.23</v>
      </c>
      <c r="Z113" s="21">
        <f t="shared" si="355"/>
        <v>2.23</v>
      </c>
      <c r="BB113" s="20" t="s">
        <v>678</v>
      </c>
      <c r="BC113" s="3">
        <v>3.94</v>
      </c>
      <c r="BD113" s="3">
        <f t="shared" si="239"/>
        <v>3.94</v>
      </c>
      <c r="BE113" s="4">
        <f t="shared" si="240"/>
        <v>3.94</v>
      </c>
      <c r="BF113" s="3">
        <v>4.2699999999999996</v>
      </c>
      <c r="BG113" s="3">
        <f t="shared" si="241"/>
        <v>4.2699999999999996</v>
      </c>
      <c r="BH113" s="4">
        <f t="shared" si="242"/>
        <v>4.2699999999999996</v>
      </c>
      <c r="BI113" s="3">
        <v>4.12</v>
      </c>
      <c r="BJ113" s="3">
        <f t="shared" si="243"/>
        <v>4.12</v>
      </c>
      <c r="BK113" s="4">
        <f t="shared" si="244"/>
        <v>4.12</v>
      </c>
      <c r="BL113" s="3">
        <v>4.33</v>
      </c>
      <c r="BM113" s="3">
        <f t="shared" si="245"/>
        <v>4.33</v>
      </c>
      <c r="BN113" s="4">
        <f t="shared" si="246"/>
        <v>4.33</v>
      </c>
      <c r="BO113" s="3">
        <v>3.63</v>
      </c>
      <c r="BP113" s="3">
        <f t="shared" si="247"/>
        <v>3.63</v>
      </c>
      <c r="BQ113" s="4">
        <f t="shared" si="248"/>
        <v>3.63</v>
      </c>
      <c r="BR113" s="3">
        <v>3.14</v>
      </c>
      <c r="BS113" s="3">
        <f t="shared" si="249"/>
        <v>3.14</v>
      </c>
      <c r="BT113" s="4">
        <f t="shared" si="250"/>
        <v>3.14</v>
      </c>
      <c r="BU113" s="3">
        <v>1.61</v>
      </c>
      <c r="BV113" s="3">
        <f t="shared" si="251"/>
        <v>1.61</v>
      </c>
      <c r="BW113" s="4">
        <f t="shared" si="252"/>
        <v>1.61</v>
      </c>
      <c r="BX113" s="3">
        <v>1.25</v>
      </c>
      <c r="BY113" s="3">
        <f t="shared" si="253"/>
        <v>1.25</v>
      </c>
      <c r="BZ113" s="21">
        <f t="shared" si="254"/>
        <v>1.25</v>
      </c>
      <c r="CB113" s="20" t="s">
        <v>679</v>
      </c>
      <c r="CC113" s="3">
        <v>4.17</v>
      </c>
      <c r="CD113" s="3">
        <f t="shared" si="255"/>
        <v>4.17</v>
      </c>
      <c r="CE113" s="4">
        <f t="shared" si="356"/>
        <v>4.17</v>
      </c>
      <c r="CF113" s="3">
        <v>6.08</v>
      </c>
      <c r="CG113" s="3">
        <f t="shared" si="257"/>
        <v>6.08</v>
      </c>
      <c r="CH113" s="4">
        <f t="shared" si="357"/>
        <v>6.08</v>
      </c>
      <c r="CI113" s="3">
        <v>3.8</v>
      </c>
      <c r="CJ113" s="3">
        <f t="shared" si="259"/>
        <v>3.8</v>
      </c>
      <c r="CK113" s="4">
        <f t="shared" si="358"/>
        <v>3.8</v>
      </c>
      <c r="CL113" s="3">
        <v>3.54</v>
      </c>
      <c r="CM113" s="3">
        <f t="shared" si="261"/>
        <v>3.54</v>
      </c>
      <c r="CN113" s="4" t="str">
        <f t="shared" si="359"/>
        <v/>
      </c>
      <c r="CO113" s="3">
        <v>5.45</v>
      </c>
      <c r="CP113" s="3">
        <f t="shared" si="263"/>
        <v>5.45</v>
      </c>
      <c r="CQ113" s="4">
        <f t="shared" si="360"/>
        <v>5.45</v>
      </c>
      <c r="CR113" s="3">
        <v>1.83</v>
      </c>
      <c r="CS113" s="3">
        <f t="shared" si="265"/>
        <v>1.83</v>
      </c>
      <c r="CT113" s="4">
        <f t="shared" si="361"/>
        <v>1.83</v>
      </c>
      <c r="CU113" s="3">
        <v>3.79</v>
      </c>
      <c r="CV113" s="3">
        <f t="shared" si="267"/>
        <v>3.79</v>
      </c>
      <c r="CW113" s="4">
        <f t="shared" si="362"/>
        <v>3.79</v>
      </c>
      <c r="CX113" s="3">
        <v>0</v>
      </c>
      <c r="CY113" s="3" t="str">
        <f t="shared" si="269"/>
        <v/>
      </c>
      <c r="CZ113" s="21" t="str">
        <f t="shared" si="363"/>
        <v/>
      </c>
    </row>
    <row r="114" spans="2:104">
      <c r="B114" s="20" t="s">
        <v>680</v>
      </c>
      <c r="C114" s="3">
        <v>3</v>
      </c>
      <c r="D114" s="3">
        <f t="shared" si="340"/>
        <v>3</v>
      </c>
      <c r="E114" s="4">
        <f t="shared" si="341"/>
        <v>3</v>
      </c>
      <c r="F114" s="3">
        <v>0.79</v>
      </c>
      <c r="G114" s="3">
        <f t="shared" si="342"/>
        <v>0.79</v>
      </c>
      <c r="H114" s="4" t="str">
        <f t="shared" si="343"/>
        <v/>
      </c>
      <c r="I114" s="3">
        <v>5.3</v>
      </c>
      <c r="J114" s="3">
        <f t="shared" si="344"/>
        <v>5.3</v>
      </c>
      <c r="K114" s="4">
        <f t="shared" si="345"/>
        <v>5.3</v>
      </c>
      <c r="L114" s="3">
        <v>4.6500000000000004</v>
      </c>
      <c r="M114" s="3">
        <f t="shared" si="346"/>
        <v>4.6500000000000004</v>
      </c>
      <c r="N114" s="4">
        <f t="shared" si="347"/>
        <v>4.6500000000000004</v>
      </c>
      <c r="O114" s="3">
        <v>4.33</v>
      </c>
      <c r="P114" s="3">
        <f t="shared" si="348"/>
        <v>4.33</v>
      </c>
      <c r="Q114" s="4">
        <f t="shared" si="349"/>
        <v>4.33</v>
      </c>
      <c r="R114" s="3">
        <v>3.71</v>
      </c>
      <c r="S114" s="3">
        <f t="shared" si="350"/>
        <v>3.71</v>
      </c>
      <c r="T114" s="4">
        <f t="shared" si="351"/>
        <v>3.71</v>
      </c>
      <c r="U114" s="3">
        <v>1.76</v>
      </c>
      <c r="V114" s="3">
        <f t="shared" si="352"/>
        <v>1.76</v>
      </c>
      <c r="W114" s="4">
        <f t="shared" si="353"/>
        <v>1.76</v>
      </c>
      <c r="X114" s="3">
        <v>2.21</v>
      </c>
      <c r="Y114" s="3">
        <f t="shared" si="354"/>
        <v>2.21</v>
      </c>
      <c r="Z114" s="21">
        <f t="shared" si="355"/>
        <v>2.21</v>
      </c>
      <c r="BB114" s="20" t="s">
        <v>681</v>
      </c>
      <c r="BC114" s="3">
        <v>3.89</v>
      </c>
      <c r="BD114" s="3">
        <f t="shared" si="239"/>
        <v>3.89</v>
      </c>
      <c r="BE114" s="4">
        <f t="shared" si="240"/>
        <v>3.89</v>
      </c>
      <c r="BF114" s="3">
        <v>4.24</v>
      </c>
      <c r="BG114" s="3">
        <f t="shared" si="241"/>
        <v>4.24</v>
      </c>
      <c r="BH114" s="4">
        <f t="shared" si="242"/>
        <v>4.24</v>
      </c>
      <c r="BI114" s="3">
        <v>4.1399999999999997</v>
      </c>
      <c r="BJ114" s="3">
        <f t="shared" si="243"/>
        <v>4.1399999999999997</v>
      </c>
      <c r="BK114" s="4">
        <f t="shared" si="244"/>
        <v>4.1399999999999997</v>
      </c>
      <c r="BL114" s="3">
        <v>4.28</v>
      </c>
      <c r="BM114" s="3">
        <f t="shared" si="245"/>
        <v>4.28</v>
      </c>
      <c r="BN114" s="4">
        <f t="shared" si="246"/>
        <v>4.28</v>
      </c>
      <c r="BO114" s="3">
        <v>3.63</v>
      </c>
      <c r="BP114" s="3">
        <f t="shared" si="247"/>
        <v>3.63</v>
      </c>
      <c r="BQ114" s="4">
        <f t="shared" si="248"/>
        <v>3.63</v>
      </c>
      <c r="BR114" s="3">
        <v>3.11</v>
      </c>
      <c r="BS114" s="3">
        <f t="shared" si="249"/>
        <v>3.11</v>
      </c>
      <c r="BT114" s="4">
        <f t="shared" si="250"/>
        <v>3.11</v>
      </c>
      <c r="BU114" s="3">
        <v>1.64</v>
      </c>
      <c r="BV114" s="3">
        <f t="shared" si="251"/>
        <v>1.64</v>
      </c>
      <c r="BW114" s="4">
        <f t="shared" si="252"/>
        <v>1.64</v>
      </c>
      <c r="BX114" s="3">
        <v>1.29</v>
      </c>
      <c r="BY114" s="3">
        <f t="shared" si="253"/>
        <v>1.29</v>
      </c>
      <c r="BZ114" s="21">
        <f t="shared" si="254"/>
        <v>1.29</v>
      </c>
      <c r="CB114" s="20" t="s">
        <v>682</v>
      </c>
      <c r="CC114" s="3">
        <v>4.1399999999999997</v>
      </c>
      <c r="CD114" s="3">
        <f t="shared" si="255"/>
        <v>4.1399999999999997</v>
      </c>
      <c r="CE114" s="4">
        <f t="shared" si="356"/>
        <v>4.1399999999999997</v>
      </c>
      <c r="CF114" s="3">
        <v>6.08</v>
      </c>
      <c r="CG114" s="3">
        <f t="shared" si="257"/>
        <v>6.08</v>
      </c>
      <c r="CH114" s="4">
        <f t="shared" si="357"/>
        <v>6.08</v>
      </c>
      <c r="CI114" s="3">
        <v>3.8</v>
      </c>
      <c r="CJ114" s="3">
        <f t="shared" si="259"/>
        <v>3.8</v>
      </c>
      <c r="CK114" s="4">
        <f t="shared" si="358"/>
        <v>3.8</v>
      </c>
      <c r="CL114" s="3">
        <v>5.24</v>
      </c>
      <c r="CM114" s="3">
        <f t="shared" si="261"/>
        <v>5.24</v>
      </c>
      <c r="CN114" s="4">
        <f t="shared" si="359"/>
        <v>5.24</v>
      </c>
      <c r="CO114" s="3">
        <v>5.47</v>
      </c>
      <c r="CP114" s="3">
        <f t="shared" si="263"/>
        <v>5.47</v>
      </c>
      <c r="CQ114" s="4">
        <f t="shared" si="360"/>
        <v>5.47</v>
      </c>
      <c r="CR114" s="3">
        <v>1.83</v>
      </c>
      <c r="CS114" s="3">
        <f t="shared" si="265"/>
        <v>1.83</v>
      </c>
      <c r="CT114" s="4">
        <f t="shared" si="361"/>
        <v>1.83</v>
      </c>
      <c r="CU114" s="3">
        <v>3.76</v>
      </c>
      <c r="CV114" s="3">
        <f t="shared" si="267"/>
        <v>3.76</v>
      </c>
      <c r="CW114" s="4">
        <f t="shared" si="362"/>
        <v>3.76</v>
      </c>
      <c r="CX114" s="3">
        <v>3.2</v>
      </c>
      <c r="CY114" s="3">
        <f t="shared" si="269"/>
        <v>3.2</v>
      </c>
      <c r="CZ114" s="21">
        <f t="shared" si="363"/>
        <v>3.2</v>
      </c>
    </row>
    <row r="115" spans="2:104">
      <c r="B115" s="20" t="s">
        <v>683</v>
      </c>
      <c r="C115" s="3">
        <v>0.21</v>
      </c>
      <c r="D115" s="3">
        <f t="shared" si="340"/>
        <v>0.21</v>
      </c>
      <c r="E115" s="4" t="str">
        <f t="shared" si="341"/>
        <v/>
      </c>
      <c r="F115" s="3">
        <v>4.3499999999999996</v>
      </c>
      <c r="G115" s="3">
        <f t="shared" si="342"/>
        <v>4.3499999999999996</v>
      </c>
      <c r="H115" s="4">
        <f t="shared" si="343"/>
        <v>4.3499999999999996</v>
      </c>
      <c r="I115" s="3">
        <v>5.31</v>
      </c>
      <c r="J115" s="3">
        <f t="shared" si="344"/>
        <v>5.31</v>
      </c>
      <c r="K115" s="4">
        <f t="shared" si="345"/>
        <v>5.31</v>
      </c>
      <c r="L115" s="3">
        <v>5.62</v>
      </c>
      <c r="M115" s="3">
        <f t="shared" si="346"/>
        <v>5.62</v>
      </c>
      <c r="N115" s="4">
        <f t="shared" si="347"/>
        <v>5.62</v>
      </c>
      <c r="O115" s="3">
        <v>4.38</v>
      </c>
      <c r="P115" s="3">
        <f t="shared" si="348"/>
        <v>4.38</v>
      </c>
      <c r="Q115" s="4">
        <f t="shared" si="349"/>
        <v>4.38</v>
      </c>
      <c r="R115" s="3">
        <v>4.82</v>
      </c>
      <c r="S115" s="3">
        <f t="shared" si="350"/>
        <v>4.82</v>
      </c>
      <c r="T115" s="4">
        <f t="shared" si="351"/>
        <v>4.82</v>
      </c>
      <c r="U115" s="3">
        <v>1.75</v>
      </c>
      <c r="V115" s="3">
        <f t="shared" si="352"/>
        <v>1.75</v>
      </c>
      <c r="W115" s="4">
        <f t="shared" si="353"/>
        <v>1.75</v>
      </c>
      <c r="X115" s="3">
        <v>1.34</v>
      </c>
      <c r="Y115" s="3">
        <f t="shared" si="354"/>
        <v>1.34</v>
      </c>
      <c r="Z115" s="21" t="str">
        <f t="shared" si="355"/>
        <v/>
      </c>
      <c r="BB115" s="20" t="s">
        <v>684</v>
      </c>
      <c r="BC115" s="3">
        <v>3.9</v>
      </c>
      <c r="BD115" s="3">
        <f t="shared" si="239"/>
        <v>3.9</v>
      </c>
      <c r="BE115" s="4">
        <f t="shared" si="240"/>
        <v>3.9</v>
      </c>
      <c r="BF115" s="3">
        <v>4.26</v>
      </c>
      <c r="BG115" s="3">
        <f t="shared" si="241"/>
        <v>4.26</v>
      </c>
      <c r="BH115" s="4">
        <f t="shared" si="242"/>
        <v>4.26</v>
      </c>
      <c r="BI115" s="3">
        <v>4.16</v>
      </c>
      <c r="BJ115" s="3">
        <f t="shared" si="243"/>
        <v>4.16</v>
      </c>
      <c r="BK115" s="4">
        <f t="shared" si="244"/>
        <v>4.16</v>
      </c>
      <c r="BL115" s="3">
        <v>4.3099999999999996</v>
      </c>
      <c r="BM115" s="3">
        <f t="shared" si="245"/>
        <v>4.3099999999999996</v>
      </c>
      <c r="BN115" s="4">
        <f t="shared" si="246"/>
        <v>4.3099999999999996</v>
      </c>
      <c r="BO115" s="3">
        <v>3.63</v>
      </c>
      <c r="BP115" s="3">
        <f t="shared" si="247"/>
        <v>3.63</v>
      </c>
      <c r="BQ115" s="4">
        <f t="shared" si="248"/>
        <v>3.63</v>
      </c>
      <c r="BR115" s="3">
        <v>3.13</v>
      </c>
      <c r="BS115" s="3">
        <f t="shared" si="249"/>
        <v>3.13</v>
      </c>
      <c r="BT115" s="4">
        <f t="shared" si="250"/>
        <v>3.13</v>
      </c>
      <c r="BU115" s="3">
        <v>1.64</v>
      </c>
      <c r="BV115" s="3">
        <f t="shared" si="251"/>
        <v>1.64</v>
      </c>
      <c r="BW115" s="4">
        <f t="shared" si="252"/>
        <v>1.64</v>
      </c>
      <c r="BX115" s="3">
        <v>1.21</v>
      </c>
      <c r="BY115" s="3">
        <f t="shared" si="253"/>
        <v>1.21</v>
      </c>
      <c r="BZ115" s="21">
        <f t="shared" si="254"/>
        <v>1.21</v>
      </c>
      <c r="CB115" s="20" t="s">
        <v>685</v>
      </c>
      <c r="CC115" s="3">
        <v>4.17</v>
      </c>
      <c r="CD115" s="3">
        <f t="shared" si="255"/>
        <v>4.17</v>
      </c>
      <c r="CE115" s="4">
        <f t="shared" si="356"/>
        <v>4.17</v>
      </c>
      <c r="CF115" s="3">
        <v>6.08</v>
      </c>
      <c r="CG115" s="3">
        <f t="shared" si="257"/>
        <v>6.08</v>
      </c>
      <c r="CH115" s="4">
        <f t="shared" si="357"/>
        <v>6.08</v>
      </c>
      <c r="CI115" s="3">
        <v>3.79</v>
      </c>
      <c r="CJ115" s="3">
        <f t="shared" si="259"/>
        <v>3.79</v>
      </c>
      <c r="CK115" s="4">
        <f t="shared" si="358"/>
        <v>3.79</v>
      </c>
      <c r="CL115" s="3">
        <v>5.12</v>
      </c>
      <c r="CM115" s="3">
        <f t="shared" si="261"/>
        <v>5.12</v>
      </c>
      <c r="CN115" s="4">
        <f t="shared" si="359"/>
        <v>5.12</v>
      </c>
      <c r="CO115" s="3">
        <v>5.0599999999999996</v>
      </c>
      <c r="CP115" s="3">
        <f t="shared" si="263"/>
        <v>5.0599999999999996</v>
      </c>
      <c r="CQ115" s="4">
        <f t="shared" si="360"/>
        <v>5.0599999999999996</v>
      </c>
      <c r="CR115" s="3">
        <v>1.86</v>
      </c>
      <c r="CS115" s="3">
        <f t="shared" si="265"/>
        <v>1.86</v>
      </c>
      <c r="CT115" s="4">
        <f t="shared" si="361"/>
        <v>1.86</v>
      </c>
      <c r="CU115" s="3">
        <v>3.77</v>
      </c>
      <c r="CV115" s="3">
        <f t="shared" si="267"/>
        <v>3.77</v>
      </c>
      <c r="CW115" s="4">
        <f t="shared" si="362"/>
        <v>3.77</v>
      </c>
      <c r="CX115" s="3">
        <v>3.17</v>
      </c>
      <c r="CY115" s="3">
        <f t="shared" si="269"/>
        <v>3.17</v>
      </c>
      <c r="CZ115" s="21">
        <f t="shared" si="363"/>
        <v>3.17</v>
      </c>
    </row>
    <row r="116" spans="2:104">
      <c r="B116" s="20" t="s">
        <v>686</v>
      </c>
      <c r="C116" s="3">
        <v>3</v>
      </c>
      <c r="D116" s="3">
        <f t="shared" si="340"/>
        <v>3</v>
      </c>
      <c r="E116" s="4">
        <f t="shared" si="341"/>
        <v>3</v>
      </c>
      <c r="F116" s="3">
        <v>4.4000000000000004</v>
      </c>
      <c r="G116" s="3">
        <f t="shared" si="342"/>
        <v>4.4000000000000004</v>
      </c>
      <c r="H116" s="4">
        <f t="shared" si="343"/>
        <v>4.4000000000000004</v>
      </c>
      <c r="I116" s="3">
        <v>5.29</v>
      </c>
      <c r="J116" s="3">
        <f t="shared" si="344"/>
        <v>5.29</v>
      </c>
      <c r="K116" s="4">
        <f t="shared" si="345"/>
        <v>5.29</v>
      </c>
      <c r="L116" s="3">
        <v>5.61</v>
      </c>
      <c r="M116" s="3">
        <f t="shared" si="346"/>
        <v>5.61</v>
      </c>
      <c r="N116" s="4">
        <f t="shared" si="347"/>
        <v>5.61</v>
      </c>
      <c r="O116" s="3">
        <v>4.32</v>
      </c>
      <c r="P116" s="3">
        <f t="shared" si="348"/>
        <v>4.32</v>
      </c>
      <c r="Q116" s="4">
        <f t="shared" si="349"/>
        <v>4.32</v>
      </c>
      <c r="R116" s="3">
        <v>0.01</v>
      </c>
      <c r="S116" s="3">
        <f t="shared" si="350"/>
        <v>0.01</v>
      </c>
      <c r="T116" s="4" t="str">
        <f t="shared" si="351"/>
        <v/>
      </c>
      <c r="U116" s="3">
        <v>1.73</v>
      </c>
      <c r="V116" s="3">
        <f t="shared" si="352"/>
        <v>1.73</v>
      </c>
      <c r="W116" s="4">
        <f t="shared" si="353"/>
        <v>1.73</v>
      </c>
      <c r="X116" s="3">
        <v>2.27</v>
      </c>
      <c r="Y116" s="3">
        <f t="shared" si="354"/>
        <v>2.27</v>
      </c>
      <c r="Z116" s="21">
        <f t="shared" si="355"/>
        <v>2.27</v>
      </c>
      <c r="BB116" s="20" t="s">
        <v>687</v>
      </c>
      <c r="BC116" s="3">
        <v>3.89</v>
      </c>
      <c r="BD116" s="3">
        <f t="shared" si="239"/>
        <v>3.89</v>
      </c>
      <c r="BE116" s="4">
        <f t="shared" si="240"/>
        <v>3.89</v>
      </c>
      <c r="BF116" s="3">
        <v>4.2699999999999996</v>
      </c>
      <c r="BG116" s="3">
        <f t="shared" si="241"/>
        <v>4.2699999999999996</v>
      </c>
      <c r="BH116" s="4">
        <f t="shared" si="242"/>
        <v>4.2699999999999996</v>
      </c>
      <c r="BI116" s="3">
        <v>4.17</v>
      </c>
      <c r="BJ116" s="3">
        <f t="shared" si="243"/>
        <v>4.17</v>
      </c>
      <c r="BK116" s="4">
        <f t="shared" si="244"/>
        <v>4.17</v>
      </c>
      <c r="BL116" s="3">
        <v>4.29</v>
      </c>
      <c r="BM116" s="3">
        <f t="shared" si="245"/>
        <v>4.29</v>
      </c>
      <c r="BN116" s="4">
        <f t="shared" si="246"/>
        <v>4.29</v>
      </c>
      <c r="BO116" s="3">
        <v>3.62</v>
      </c>
      <c r="BP116" s="3">
        <f t="shared" si="247"/>
        <v>3.62</v>
      </c>
      <c r="BQ116" s="4">
        <f t="shared" si="248"/>
        <v>3.62</v>
      </c>
      <c r="BR116" s="3">
        <v>3.13</v>
      </c>
      <c r="BS116" s="3">
        <f t="shared" si="249"/>
        <v>3.13</v>
      </c>
      <c r="BT116" s="4">
        <f t="shared" si="250"/>
        <v>3.13</v>
      </c>
      <c r="BU116" s="3">
        <v>1.67</v>
      </c>
      <c r="BV116" s="3">
        <f t="shared" si="251"/>
        <v>1.67</v>
      </c>
      <c r="BW116" s="4">
        <f t="shared" si="252"/>
        <v>1.67</v>
      </c>
      <c r="BX116" s="3">
        <v>1.24</v>
      </c>
      <c r="BY116" s="3">
        <f t="shared" si="253"/>
        <v>1.24</v>
      </c>
      <c r="BZ116" s="21">
        <f t="shared" si="254"/>
        <v>1.24</v>
      </c>
      <c r="CB116" s="20" t="s">
        <v>688</v>
      </c>
      <c r="CC116" s="3">
        <v>1.54</v>
      </c>
      <c r="CD116" s="3">
        <f t="shared" si="255"/>
        <v>1.54</v>
      </c>
      <c r="CE116" s="4" t="str">
        <f t="shared" si="356"/>
        <v/>
      </c>
      <c r="CF116" s="3">
        <v>6.1</v>
      </c>
      <c r="CG116" s="3">
        <f t="shared" si="257"/>
        <v>6.1</v>
      </c>
      <c r="CH116" s="4">
        <f t="shared" si="357"/>
        <v>6.1</v>
      </c>
      <c r="CI116" s="3">
        <v>3.77</v>
      </c>
      <c r="CJ116" s="3">
        <f t="shared" si="259"/>
        <v>3.77</v>
      </c>
      <c r="CK116" s="4">
        <f t="shared" si="358"/>
        <v>3.77</v>
      </c>
      <c r="CL116" s="3">
        <v>5.17</v>
      </c>
      <c r="CM116" s="3">
        <f t="shared" si="261"/>
        <v>5.17</v>
      </c>
      <c r="CN116" s="4">
        <f t="shared" si="359"/>
        <v>5.17</v>
      </c>
      <c r="CO116" s="3">
        <v>5.47</v>
      </c>
      <c r="CP116" s="3">
        <f t="shared" si="263"/>
        <v>5.47</v>
      </c>
      <c r="CQ116" s="4">
        <f t="shared" si="360"/>
        <v>5.47</v>
      </c>
      <c r="CR116" s="3">
        <v>1.84</v>
      </c>
      <c r="CS116" s="3">
        <f t="shared" si="265"/>
        <v>1.84</v>
      </c>
      <c r="CT116" s="4">
        <f t="shared" si="361"/>
        <v>1.84</v>
      </c>
      <c r="CU116" s="3">
        <v>3.26</v>
      </c>
      <c r="CV116" s="3">
        <f t="shared" si="267"/>
        <v>3.26</v>
      </c>
      <c r="CW116" s="4">
        <f t="shared" si="362"/>
        <v>3.26</v>
      </c>
      <c r="CX116" s="3">
        <v>3.13</v>
      </c>
      <c r="CY116" s="3">
        <f t="shared" si="269"/>
        <v>3.13</v>
      </c>
      <c r="CZ116" s="21">
        <f t="shared" si="363"/>
        <v>3.13</v>
      </c>
    </row>
    <row r="117" spans="2:104">
      <c r="B117" s="20" t="s">
        <v>689</v>
      </c>
      <c r="C117" s="3">
        <v>3.01</v>
      </c>
      <c r="D117" s="3">
        <f t="shared" si="340"/>
        <v>3.01</v>
      </c>
      <c r="E117" s="4">
        <f t="shared" si="341"/>
        <v>3.01</v>
      </c>
      <c r="F117" s="3">
        <v>4.4400000000000004</v>
      </c>
      <c r="G117" s="3">
        <f t="shared" si="342"/>
        <v>4.4400000000000004</v>
      </c>
      <c r="H117" s="4">
        <f t="shared" si="343"/>
        <v>4.4400000000000004</v>
      </c>
      <c r="I117" s="3">
        <v>5.28</v>
      </c>
      <c r="J117" s="3">
        <f t="shared" si="344"/>
        <v>5.28</v>
      </c>
      <c r="K117" s="4">
        <f t="shared" si="345"/>
        <v>5.28</v>
      </c>
      <c r="L117" s="3">
        <v>5.67</v>
      </c>
      <c r="M117" s="3">
        <f t="shared" si="346"/>
        <v>5.67</v>
      </c>
      <c r="N117" s="4">
        <f t="shared" si="347"/>
        <v>5.67</v>
      </c>
      <c r="O117" s="3">
        <v>4.3099999999999996</v>
      </c>
      <c r="P117" s="3">
        <f t="shared" si="348"/>
        <v>4.3099999999999996</v>
      </c>
      <c r="Q117" s="4">
        <f t="shared" si="349"/>
        <v>4.3099999999999996</v>
      </c>
      <c r="R117" s="3">
        <v>4.92</v>
      </c>
      <c r="S117" s="3">
        <f t="shared" si="350"/>
        <v>4.92</v>
      </c>
      <c r="T117" s="4">
        <f t="shared" si="351"/>
        <v>4.92</v>
      </c>
      <c r="U117" s="3">
        <v>0.82</v>
      </c>
      <c r="V117" s="3">
        <f t="shared" si="352"/>
        <v>0.82</v>
      </c>
      <c r="W117" s="4" t="str">
        <f t="shared" si="353"/>
        <v/>
      </c>
      <c r="X117" s="3">
        <v>2.29</v>
      </c>
      <c r="Y117" s="3">
        <f t="shared" si="354"/>
        <v>2.29</v>
      </c>
      <c r="Z117" s="21">
        <f t="shared" si="355"/>
        <v>2.29</v>
      </c>
      <c r="BB117" s="20" t="s">
        <v>690</v>
      </c>
      <c r="BC117" s="3">
        <v>3.96</v>
      </c>
      <c r="BD117" s="3">
        <f t="shared" si="239"/>
        <v>3.96</v>
      </c>
      <c r="BE117" s="4">
        <f t="shared" si="240"/>
        <v>3.96</v>
      </c>
      <c r="BF117" s="3">
        <v>4.25</v>
      </c>
      <c r="BG117" s="3">
        <f t="shared" si="241"/>
        <v>4.25</v>
      </c>
      <c r="BH117" s="4">
        <f t="shared" si="242"/>
        <v>4.25</v>
      </c>
      <c r="BI117" s="3">
        <v>4.17</v>
      </c>
      <c r="BJ117" s="3">
        <f t="shared" si="243"/>
        <v>4.17</v>
      </c>
      <c r="BK117" s="4">
        <f t="shared" si="244"/>
        <v>4.17</v>
      </c>
      <c r="BL117" s="3">
        <v>4.2699999999999996</v>
      </c>
      <c r="BM117" s="3">
        <f t="shared" si="245"/>
        <v>4.2699999999999996</v>
      </c>
      <c r="BN117" s="4">
        <f t="shared" si="246"/>
        <v>4.2699999999999996</v>
      </c>
      <c r="BO117" s="3">
        <v>2.2799999999999998</v>
      </c>
      <c r="BP117" s="3">
        <f t="shared" si="247"/>
        <v>2.2799999999999998</v>
      </c>
      <c r="BQ117" s="4" t="str">
        <f t="shared" si="248"/>
        <v/>
      </c>
      <c r="BR117" s="3">
        <v>3.14</v>
      </c>
      <c r="BS117" s="3">
        <f t="shared" si="249"/>
        <v>3.14</v>
      </c>
      <c r="BT117" s="4">
        <f t="shared" si="250"/>
        <v>3.14</v>
      </c>
      <c r="BU117" s="3">
        <v>1.67</v>
      </c>
      <c r="BV117" s="3">
        <f t="shared" si="251"/>
        <v>1.67</v>
      </c>
      <c r="BW117" s="4">
        <f t="shared" si="252"/>
        <v>1.67</v>
      </c>
      <c r="BX117" s="3">
        <v>1.25</v>
      </c>
      <c r="BY117" s="3">
        <f t="shared" si="253"/>
        <v>1.25</v>
      </c>
      <c r="BZ117" s="21">
        <f t="shared" si="254"/>
        <v>1.25</v>
      </c>
      <c r="CB117" s="20" t="s">
        <v>691</v>
      </c>
      <c r="CC117" s="3">
        <v>2.4900000000000002</v>
      </c>
      <c r="CD117" s="3">
        <f t="shared" si="255"/>
        <v>2.4900000000000002</v>
      </c>
      <c r="CE117" s="4" t="str">
        <f t="shared" si="356"/>
        <v/>
      </c>
      <c r="CF117" s="3">
        <v>6.08</v>
      </c>
      <c r="CG117" s="3">
        <f t="shared" si="257"/>
        <v>6.08</v>
      </c>
      <c r="CH117" s="4">
        <f t="shared" si="357"/>
        <v>6.08</v>
      </c>
      <c r="CI117" s="3">
        <v>3.76</v>
      </c>
      <c r="CJ117" s="3">
        <f t="shared" si="259"/>
        <v>3.76</v>
      </c>
      <c r="CK117" s="4">
        <f t="shared" si="358"/>
        <v>3.76</v>
      </c>
      <c r="CL117" s="3">
        <v>3.96</v>
      </c>
      <c r="CM117" s="3">
        <f t="shared" si="261"/>
        <v>3.96</v>
      </c>
      <c r="CN117" s="4" t="str">
        <f t="shared" si="359"/>
        <v/>
      </c>
      <c r="CO117" s="3">
        <v>5.48</v>
      </c>
      <c r="CP117" s="3">
        <f t="shared" si="263"/>
        <v>5.48</v>
      </c>
      <c r="CQ117" s="4">
        <f t="shared" si="360"/>
        <v>5.48</v>
      </c>
      <c r="CR117" s="3">
        <v>1.85</v>
      </c>
      <c r="CS117" s="3">
        <f t="shared" si="265"/>
        <v>1.85</v>
      </c>
      <c r="CT117" s="4">
        <f t="shared" si="361"/>
        <v>1.85</v>
      </c>
      <c r="CU117" s="3">
        <v>3.77</v>
      </c>
      <c r="CV117" s="3">
        <f t="shared" si="267"/>
        <v>3.77</v>
      </c>
      <c r="CW117" s="4">
        <f t="shared" si="362"/>
        <v>3.77</v>
      </c>
      <c r="CX117" s="3">
        <v>3.06</v>
      </c>
      <c r="CY117" s="3">
        <f t="shared" si="269"/>
        <v>3.06</v>
      </c>
      <c r="CZ117" s="21">
        <f t="shared" si="363"/>
        <v>3.06</v>
      </c>
    </row>
    <row r="118" spans="2:104">
      <c r="B118" s="20" t="s">
        <v>692</v>
      </c>
      <c r="C118" s="3">
        <v>3.01</v>
      </c>
      <c r="D118" s="3">
        <f t="shared" si="340"/>
        <v>3.01</v>
      </c>
      <c r="E118" s="4">
        <f t="shared" si="341"/>
        <v>3.01</v>
      </c>
      <c r="F118" s="3">
        <v>4.4000000000000004</v>
      </c>
      <c r="G118" s="3">
        <f t="shared" si="342"/>
        <v>4.4000000000000004</v>
      </c>
      <c r="H118" s="4">
        <f t="shared" si="343"/>
        <v>4.4000000000000004</v>
      </c>
      <c r="I118" s="3">
        <v>5.3</v>
      </c>
      <c r="J118" s="3">
        <f t="shared" si="344"/>
        <v>5.3</v>
      </c>
      <c r="K118" s="4">
        <f t="shared" si="345"/>
        <v>5.3</v>
      </c>
      <c r="L118" s="3">
        <v>5.61</v>
      </c>
      <c r="M118" s="3">
        <f t="shared" si="346"/>
        <v>5.61</v>
      </c>
      <c r="N118" s="4">
        <f t="shared" si="347"/>
        <v>5.61</v>
      </c>
      <c r="O118" s="3">
        <v>4.32</v>
      </c>
      <c r="P118" s="3">
        <f t="shared" si="348"/>
        <v>4.32</v>
      </c>
      <c r="Q118" s="4">
        <f t="shared" si="349"/>
        <v>4.32</v>
      </c>
      <c r="R118" s="3">
        <v>4.8099999999999996</v>
      </c>
      <c r="S118" s="3">
        <f t="shared" si="350"/>
        <v>4.8099999999999996</v>
      </c>
      <c r="T118" s="4">
        <f t="shared" si="351"/>
        <v>4.8099999999999996</v>
      </c>
      <c r="U118" s="3">
        <v>1.69</v>
      </c>
      <c r="V118" s="3">
        <f t="shared" si="352"/>
        <v>1.69</v>
      </c>
      <c r="W118" s="4">
        <f t="shared" si="353"/>
        <v>1.69</v>
      </c>
      <c r="X118" s="3">
        <v>2.21</v>
      </c>
      <c r="Y118" s="3">
        <f t="shared" si="354"/>
        <v>2.21</v>
      </c>
      <c r="Z118" s="21">
        <f t="shared" si="355"/>
        <v>2.21</v>
      </c>
      <c r="BB118" s="20" t="s">
        <v>693</v>
      </c>
      <c r="BC118" s="3">
        <v>3.94</v>
      </c>
      <c r="BD118" s="3">
        <f t="shared" si="239"/>
        <v>3.94</v>
      </c>
      <c r="BE118" s="4">
        <f t="shared" si="240"/>
        <v>3.94</v>
      </c>
      <c r="BF118" s="3">
        <v>4.28</v>
      </c>
      <c r="BG118" s="3">
        <f t="shared" si="241"/>
        <v>4.28</v>
      </c>
      <c r="BH118" s="4">
        <f t="shared" si="242"/>
        <v>4.28</v>
      </c>
      <c r="BI118" s="3">
        <v>4.12</v>
      </c>
      <c r="BJ118" s="3">
        <f t="shared" si="243"/>
        <v>4.12</v>
      </c>
      <c r="BK118" s="4">
        <f t="shared" si="244"/>
        <v>4.12</v>
      </c>
      <c r="BL118" s="3">
        <v>4.29</v>
      </c>
      <c r="BM118" s="3">
        <f t="shared" si="245"/>
        <v>4.29</v>
      </c>
      <c r="BN118" s="4">
        <f t="shared" si="246"/>
        <v>4.29</v>
      </c>
      <c r="BO118" s="3">
        <v>3.62</v>
      </c>
      <c r="BP118" s="3">
        <f t="shared" si="247"/>
        <v>3.62</v>
      </c>
      <c r="BQ118" s="4">
        <f t="shared" si="248"/>
        <v>3.62</v>
      </c>
      <c r="BR118" s="3">
        <v>3.14</v>
      </c>
      <c r="BS118" s="3">
        <f t="shared" si="249"/>
        <v>3.14</v>
      </c>
      <c r="BT118" s="4">
        <f t="shared" si="250"/>
        <v>3.14</v>
      </c>
      <c r="BU118" s="3">
        <v>1.64</v>
      </c>
      <c r="BV118" s="3">
        <f t="shared" si="251"/>
        <v>1.64</v>
      </c>
      <c r="BW118" s="4">
        <f t="shared" si="252"/>
        <v>1.64</v>
      </c>
      <c r="BX118" s="3">
        <v>1.24</v>
      </c>
      <c r="BY118" s="3">
        <f t="shared" si="253"/>
        <v>1.24</v>
      </c>
      <c r="BZ118" s="21">
        <f t="shared" si="254"/>
        <v>1.24</v>
      </c>
      <c r="CB118" s="20" t="s">
        <v>694</v>
      </c>
      <c r="CC118" s="3">
        <v>4.1500000000000004</v>
      </c>
      <c r="CD118" s="3">
        <f t="shared" si="255"/>
        <v>4.1500000000000004</v>
      </c>
      <c r="CE118" s="4">
        <f t="shared" si="356"/>
        <v>4.1500000000000004</v>
      </c>
      <c r="CF118" s="3">
        <v>6.13</v>
      </c>
      <c r="CG118" s="3">
        <f t="shared" si="257"/>
        <v>6.13</v>
      </c>
      <c r="CH118" s="4">
        <f t="shared" si="357"/>
        <v>6.13</v>
      </c>
      <c r="CI118" s="3">
        <v>3.78</v>
      </c>
      <c r="CJ118" s="3">
        <f t="shared" si="259"/>
        <v>3.78</v>
      </c>
      <c r="CK118" s="4">
        <f t="shared" si="358"/>
        <v>3.78</v>
      </c>
      <c r="CL118" s="3">
        <v>5.15</v>
      </c>
      <c r="CM118" s="3">
        <f t="shared" si="261"/>
        <v>5.15</v>
      </c>
      <c r="CN118" s="4">
        <f t="shared" si="359"/>
        <v>5.15</v>
      </c>
      <c r="CO118" s="3">
        <v>5.42</v>
      </c>
      <c r="CP118" s="3">
        <f t="shared" si="263"/>
        <v>5.42</v>
      </c>
      <c r="CQ118" s="4">
        <f t="shared" si="360"/>
        <v>5.42</v>
      </c>
      <c r="CR118" s="3">
        <v>1.83</v>
      </c>
      <c r="CS118" s="3">
        <f t="shared" si="265"/>
        <v>1.83</v>
      </c>
      <c r="CT118" s="4">
        <f t="shared" si="361"/>
        <v>1.83</v>
      </c>
      <c r="CU118" s="3">
        <v>3.75</v>
      </c>
      <c r="CV118" s="3">
        <f t="shared" si="267"/>
        <v>3.75</v>
      </c>
      <c r="CW118" s="4">
        <f t="shared" si="362"/>
        <v>3.75</v>
      </c>
      <c r="CX118" s="3">
        <v>0</v>
      </c>
      <c r="CY118" s="3" t="str">
        <f t="shared" si="269"/>
        <v/>
      </c>
      <c r="CZ118" s="21" t="str">
        <f t="shared" si="363"/>
        <v/>
      </c>
    </row>
    <row r="119" spans="2:104">
      <c r="B119" s="20" t="s">
        <v>695</v>
      </c>
      <c r="C119" s="3">
        <v>2.99</v>
      </c>
      <c r="D119" s="3">
        <f t="shared" si="340"/>
        <v>2.99</v>
      </c>
      <c r="E119" s="4">
        <f t="shared" si="341"/>
        <v>2.99</v>
      </c>
      <c r="F119" s="3">
        <v>4.42</v>
      </c>
      <c r="G119" s="3">
        <f t="shared" si="342"/>
        <v>4.42</v>
      </c>
      <c r="H119" s="4">
        <f t="shared" si="343"/>
        <v>4.42</v>
      </c>
      <c r="I119" s="3">
        <v>5.28</v>
      </c>
      <c r="J119" s="3">
        <f t="shared" si="344"/>
        <v>5.28</v>
      </c>
      <c r="K119" s="4">
        <f t="shared" si="345"/>
        <v>5.28</v>
      </c>
      <c r="L119" s="3">
        <v>5.63</v>
      </c>
      <c r="M119" s="3">
        <f t="shared" si="346"/>
        <v>5.63</v>
      </c>
      <c r="N119" s="4">
        <f t="shared" si="347"/>
        <v>5.63</v>
      </c>
      <c r="O119" s="3">
        <v>3.02</v>
      </c>
      <c r="P119" s="3">
        <f t="shared" si="348"/>
        <v>3.02</v>
      </c>
      <c r="Q119" s="4" t="str">
        <f t="shared" si="349"/>
        <v/>
      </c>
      <c r="R119" s="3">
        <v>4.83</v>
      </c>
      <c r="S119" s="3">
        <f t="shared" si="350"/>
        <v>4.83</v>
      </c>
      <c r="T119" s="4">
        <f t="shared" si="351"/>
        <v>4.83</v>
      </c>
      <c r="U119" s="3">
        <v>1.74</v>
      </c>
      <c r="V119" s="3">
        <f t="shared" si="352"/>
        <v>1.74</v>
      </c>
      <c r="W119" s="4">
        <f t="shared" si="353"/>
        <v>1.74</v>
      </c>
      <c r="X119" s="3">
        <v>2.2599999999999998</v>
      </c>
      <c r="Y119" s="3">
        <f t="shared" si="354"/>
        <v>2.2599999999999998</v>
      </c>
      <c r="Z119" s="21">
        <f t="shared" si="355"/>
        <v>2.2599999999999998</v>
      </c>
      <c r="BB119" s="20" t="s">
        <v>696</v>
      </c>
      <c r="BC119" s="3">
        <v>3.93</v>
      </c>
      <c r="BD119" s="3">
        <f t="shared" si="239"/>
        <v>3.93</v>
      </c>
      <c r="BE119" s="4">
        <f t="shared" si="240"/>
        <v>3.93</v>
      </c>
      <c r="BF119" s="3">
        <v>1.21</v>
      </c>
      <c r="BG119" s="3">
        <f t="shared" si="241"/>
        <v>1.21</v>
      </c>
      <c r="BH119" s="4" t="str">
        <f t="shared" si="242"/>
        <v/>
      </c>
      <c r="BI119" s="3">
        <v>2.17</v>
      </c>
      <c r="BJ119" s="3">
        <f t="shared" si="243"/>
        <v>2.17</v>
      </c>
      <c r="BK119" s="4" t="str">
        <f t="shared" si="244"/>
        <v/>
      </c>
      <c r="BL119" s="3">
        <v>4.3099999999999996</v>
      </c>
      <c r="BM119" s="3">
        <f t="shared" si="245"/>
        <v>4.3099999999999996</v>
      </c>
      <c r="BN119" s="4">
        <f t="shared" si="246"/>
        <v>4.3099999999999996</v>
      </c>
      <c r="BO119" s="3">
        <v>3.58</v>
      </c>
      <c r="BP119" s="3">
        <f t="shared" si="247"/>
        <v>3.58</v>
      </c>
      <c r="BQ119" s="4">
        <f t="shared" si="248"/>
        <v>3.58</v>
      </c>
      <c r="BR119" s="3">
        <v>1.36</v>
      </c>
      <c r="BS119" s="3">
        <f t="shared" si="249"/>
        <v>1.36</v>
      </c>
      <c r="BT119" s="4" t="str">
        <f t="shared" si="250"/>
        <v/>
      </c>
      <c r="BU119" s="3">
        <v>1.64</v>
      </c>
      <c r="BV119" s="3">
        <f t="shared" si="251"/>
        <v>1.64</v>
      </c>
      <c r="BW119" s="4">
        <f t="shared" si="252"/>
        <v>1.64</v>
      </c>
      <c r="BX119" s="3">
        <v>1.24</v>
      </c>
      <c r="BY119" s="3">
        <f t="shared" si="253"/>
        <v>1.24</v>
      </c>
      <c r="BZ119" s="21">
        <f t="shared" si="254"/>
        <v>1.24</v>
      </c>
      <c r="CB119" s="20" t="s">
        <v>697</v>
      </c>
      <c r="CC119" s="3">
        <v>4.16</v>
      </c>
      <c r="CD119" s="3">
        <f t="shared" si="255"/>
        <v>4.16</v>
      </c>
      <c r="CE119" s="4">
        <f t="shared" si="356"/>
        <v>4.16</v>
      </c>
      <c r="CF119" s="3">
        <v>2.65</v>
      </c>
      <c r="CG119" s="3">
        <f t="shared" si="257"/>
        <v>2.65</v>
      </c>
      <c r="CH119" s="4" t="str">
        <f t="shared" si="357"/>
        <v/>
      </c>
      <c r="CI119" s="3">
        <v>3.78</v>
      </c>
      <c r="CJ119" s="3">
        <f t="shared" si="259"/>
        <v>3.78</v>
      </c>
      <c r="CK119" s="4">
        <f t="shared" si="358"/>
        <v>3.78</v>
      </c>
      <c r="CL119" s="3">
        <v>5.15</v>
      </c>
      <c r="CM119" s="3">
        <f t="shared" si="261"/>
        <v>5.15</v>
      </c>
      <c r="CN119" s="4">
        <f t="shared" si="359"/>
        <v>5.15</v>
      </c>
      <c r="CO119" s="3">
        <v>5.45</v>
      </c>
      <c r="CP119" s="3">
        <f t="shared" si="263"/>
        <v>5.45</v>
      </c>
      <c r="CQ119" s="4">
        <f t="shared" si="360"/>
        <v>5.45</v>
      </c>
      <c r="CR119" s="3">
        <v>1.84</v>
      </c>
      <c r="CS119" s="3">
        <f t="shared" si="265"/>
        <v>1.84</v>
      </c>
      <c r="CT119" s="4">
        <f t="shared" si="361"/>
        <v>1.84</v>
      </c>
      <c r="CU119" s="3">
        <v>3.78</v>
      </c>
      <c r="CV119" s="3">
        <f t="shared" si="267"/>
        <v>3.78</v>
      </c>
      <c r="CW119" s="4">
        <f t="shared" si="362"/>
        <v>3.78</v>
      </c>
      <c r="CX119" s="3">
        <v>2.61</v>
      </c>
      <c r="CY119" s="3">
        <f t="shared" si="269"/>
        <v>2.61</v>
      </c>
      <c r="CZ119" s="21">
        <f t="shared" si="363"/>
        <v>2.61</v>
      </c>
    </row>
    <row r="120" spans="2:104">
      <c r="B120" s="20" t="s">
        <v>698</v>
      </c>
      <c r="C120" s="3">
        <v>3.01</v>
      </c>
      <c r="D120" s="3">
        <f t="shared" si="340"/>
        <v>3.01</v>
      </c>
      <c r="E120" s="4">
        <f t="shared" si="341"/>
        <v>3.01</v>
      </c>
      <c r="F120" s="3">
        <v>4.41</v>
      </c>
      <c r="G120" s="3">
        <f t="shared" si="342"/>
        <v>4.41</v>
      </c>
      <c r="H120" s="4">
        <f t="shared" si="343"/>
        <v>4.41</v>
      </c>
      <c r="I120" s="3">
        <v>5.27</v>
      </c>
      <c r="J120" s="3">
        <f t="shared" si="344"/>
        <v>5.27</v>
      </c>
      <c r="K120" s="4">
        <f t="shared" si="345"/>
        <v>5.27</v>
      </c>
      <c r="L120" s="3">
        <v>5.68</v>
      </c>
      <c r="M120" s="3">
        <f t="shared" si="346"/>
        <v>5.68</v>
      </c>
      <c r="N120" s="4">
        <f t="shared" si="347"/>
        <v>5.68</v>
      </c>
      <c r="O120" s="3">
        <v>4.34</v>
      </c>
      <c r="P120" s="3">
        <f t="shared" si="348"/>
        <v>4.34</v>
      </c>
      <c r="Q120" s="4">
        <f t="shared" si="349"/>
        <v>4.34</v>
      </c>
      <c r="R120" s="3">
        <v>4.88</v>
      </c>
      <c r="S120" s="3">
        <f t="shared" si="350"/>
        <v>4.88</v>
      </c>
      <c r="T120" s="4">
        <f t="shared" si="351"/>
        <v>4.88</v>
      </c>
      <c r="U120" s="3">
        <v>1.67</v>
      </c>
      <c r="V120" s="3">
        <f t="shared" si="352"/>
        <v>1.67</v>
      </c>
      <c r="W120" s="4">
        <f t="shared" si="353"/>
        <v>1.67</v>
      </c>
      <c r="X120" s="3">
        <v>2.25</v>
      </c>
      <c r="Y120" s="3">
        <f t="shared" si="354"/>
        <v>2.25</v>
      </c>
      <c r="Z120" s="21">
        <f t="shared" si="355"/>
        <v>2.25</v>
      </c>
      <c r="BB120" s="20" t="s">
        <v>699</v>
      </c>
      <c r="BC120" s="3">
        <v>3.91</v>
      </c>
      <c r="BD120" s="3">
        <f t="shared" si="239"/>
        <v>3.91</v>
      </c>
      <c r="BE120" s="4">
        <f t="shared" si="240"/>
        <v>3.91</v>
      </c>
      <c r="BF120" s="3">
        <v>4.26</v>
      </c>
      <c r="BG120" s="3">
        <f t="shared" si="241"/>
        <v>4.26</v>
      </c>
      <c r="BH120" s="4">
        <f t="shared" si="242"/>
        <v>4.26</v>
      </c>
      <c r="BI120" s="3">
        <v>4.16</v>
      </c>
      <c r="BJ120" s="3">
        <f t="shared" si="243"/>
        <v>4.16</v>
      </c>
      <c r="BK120" s="4">
        <f t="shared" si="244"/>
        <v>4.16</v>
      </c>
      <c r="BL120" s="3">
        <v>4.29</v>
      </c>
      <c r="BM120" s="3">
        <f t="shared" si="245"/>
        <v>4.29</v>
      </c>
      <c r="BN120" s="4">
        <f t="shared" si="246"/>
        <v>4.29</v>
      </c>
      <c r="BO120" s="3">
        <v>3.61</v>
      </c>
      <c r="BP120" s="3">
        <f t="shared" si="247"/>
        <v>3.61</v>
      </c>
      <c r="BQ120" s="4">
        <f t="shared" si="248"/>
        <v>3.61</v>
      </c>
      <c r="BR120" s="3">
        <v>3.15</v>
      </c>
      <c r="BS120" s="3">
        <f t="shared" si="249"/>
        <v>3.15</v>
      </c>
      <c r="BT120" s="4">
        <f t="shared" si="250"/>
        <v>3.15</v>
      </c>
      <c r="BU120" s="3">
        <v>1.59</v>
      </c>
      <c r="BV120" s="3">
        <f t="shared" si="251"/>
        <v>1.59</v>
      </c>
      <c r="BW120" s="4">
        <f t="shared" si="252"/>
        <v>1.59</v>
      </c>
      <c r="BX120" s="3">
        <v>1.23</v>
      </c>
      <c r="BY120" s="3">
        <f t="shared" si="253"/>
        <v>1.23</v>
      </c>
      <c r="BZ120" s="21">
        <f t="shared" si="254"/>
        <v>1.23</v>
      </c>
      <c r="CB120" s="20" t="s">
        <v>700</v>
      </c>
      <c r="CC120" s="3">
        <v>4.1399999999999997</v>
      </c>
      <c r="CD120" s="3">
        <f t="shared" si="255"/>
        <v>4.1399999999999997</v>
      </c>
      <c r="CE120" s="4">
        <f t="shared" si="356"/>
        <v>4.1399999999999997</v>
      </c>
      <c r="CF120" s="3">
        <v>6.06</v>
      </c>
      <c r="CG120" s="3">
        <f t="shared" si="257"/>
        <v>6.06</v>
      </c>
      <c r="CH120" s="4">
        <f t="shared" si="357"/>
        <v>6.06</v>
      </c>
      <c r="CI120" s="3">
        <v>3.74</v>
      </c>
      <c r="CJ120" s="3">
        <f t="shared" si="259"/>
        <v>3.74</v>
      </c>
      <c r="CK120" s="4">
        <f t="shared" si="358"/>
        <v>3.74</v>
      </c>
      <c r="CL120" s="3">
        <v>3.44</v>
      </c>
      <c r="CM120" s="3">
        <f t="shared" si="261"/>
        <v>3.44</v>
      </c>
      <c r="CN120" s="4" t="str">
        <f t="shared" si="359"/>
        <v/>
      </c>
      <c r="CO120" s="3">
        <v>5.45</v>
      </c>
      <c r="CP120" s="3">
        <f t="shared" si="263"/>
        <v>5.45</v>
      </c>
      <c r="CQ120" s="4">
        <f t="shared" si="360"/>
        <v>5.45</v>
      </c>
      <c r="CR120" s="3">
        <v>1.85</v>
      </c>
      <c r="CS120" s="3">
        <f t="shared" si="265"/>
        <v>1.85</v>
      </c>
      <c r="CT120" s="4">
        <f t="shared" si="361"/>
        <v>1.85</v>
      </c>
      <c r="CU120" s="3">
        <v>3.74</v>
      </c>
      <c r="CV120" s="3">
        <f t="shared" si="267"/>
        <v>3.74</v>
      </c>
      <c r="CW120" s="4">
        <f t="shared" si="362"/>
        <v>3.74</v>
      </c>
      <c r="CX120" s="3">
        <v>3.26</v>
      </c>
      <c r="CY120" s="3">
        <f t="shared" si="269"/>
        <v>3.26</v>
      </c>
      <c r="CZ120" s="21">
        <f t="shared" si="363"/>
        <v>3.26</v>
      </c>
    </row>
    <row r="121" spans="2:104">
      <c r="B121" s="20" t="s">
        <v>701</v>
      </c>
      <c r="C121" s="3">
        <v>2.96</v>
      </c>
      <c r="D121" s="3">
        <f t="shared" si="340"/>
        <v>2.96</v>
      </c>
      <c r="E121" s="4">
        <f t="shared" si="341"/>
        <v>2.96</v>
      </c>
      <c r="F121" s="3">
        <v>4.41</v>
      </c>
      <c r="G121" s="3">
        <f t="shared" si="342"/>
        <v>4.41</v>
      </c>
      <c r="H121" s="4">
        <f t="shared" si="343"/>
        <v>4.41</v>
      </c>
      <c r="I121" s="3">
        <v>5.28</v>
      </c>
      <c r="J121" s="3">
        <f t="shared" si="344"/>
        <v>5.28</v>
      </c>
      <c r="K121" s="4">
        <f t="shared" si="345"/>
        <v>5.28</v>
      </c>
      <c r="L121" s="3">
        <v>5.62</v>
      </c>
      <c r="M121" s="3">
        <f t="shared" si="346"/>
        <v>5.62</v>
      </c>
      <c r="N121" s="4">
        <f t="shared" si="347"/>
        <v>5.62</v>
      </c>
      <c r="O121" s="3">
        <v>4.3099999999999996</v>
      </c>
      <c r="P121" s="3">
        <f t="shared" si="348"/>
        <v>4.3099999999999996</v>
      </c>
      <c r="Q121" s="4">
        <f t="shared" si="349"/>
        <v>4.3099999999999996</v>
      </c>
      <c r="R121" s="3">
        <v>4.8</v>
      </c>
      <c r="S121" s="3">
        <f t="shared" si="350"/>
        <v>4.8</v>
      </c>
      <c r="T121" s="4">
        <f t="shared" si="351"/>
        <v>4.8</v>
      </c>
      <c r="U121" s="3">
        <v>1.72</v>
      </c>
      <c r="V121" s="3">
        <f t="shared" si="352"/>
        <v>1.72</v>
      </c>
      <c r="W121" s="4">
        <f t="shared" si="353"/>
        <v>1.72</v>
      </c>
      <c r="X121" s="3">
        <v>2.2599999999999998</v>
      </c>
      <c r="Y121" s="3">
        <f t="shared" si="354"/>
        <v>2.2599999999999998</v>
      </c>
      <c r="Z121" s="21">
        <f t="shared" si="355"/>
        <v>2.2599999999999998</v>
      </c>
      <c r="BB121" s="20" t="s">
        <v>702</v>
      </c>
      <c r="BC121" s="3">
        <v>3.91</v>
      </c>
      <c r="BD121" s="3">
        <f t="shared" si="239"/>
        <v>3.91</v>
      </c>
      <c r="BE121" s="4">
        <f t="shared" si="240"/>
        <v>3.91</v>
      </c>
      <c r="BF121" s="3">
        <v>4.26</v>
      </c>
      <c r="BG121" s="3">
        <f t="shared" si="241"/>
        <v>4.26</v>
      </c>
      <c r="BH121" s="4">
        <f t="shared" si="242"/>
        <v>4.26</v>
      </c>
      <c r="BI121" s="3">
        <v>4.1399999999999997</v>
      </c>
      <c r="BJ121" s="3">
        <f t="shared" si="243"/>
        <v>4.1399999999999997</v>
      </c>
      <c r="BK121" s="4">
        <f t="shared" si="244"/>
        <v>4.1399999999999997</v>
      </c>
      <c r="BL121" s="3">
        <v>4.25</v>
      </c>
      <c r="BM121" s="3">
        <f t="shared" si="245"/>
        <v>4.25</v>
      </c>
      <c r="BN121" s="4">
        <f t="shared" si="246"/>
        <v>4.25</v>
      </c>
      <c r="BO121" s="3">
        <v>3.57</v>
      </c>
      <c r="BP121" s="3">
        <f t="shared" si="247"/>
        <v>3.57</v>
      </c>
      <c r="BQ121" s="4">
        <f t="shared" si="248"/>
        <v>3.57</v>
      </c>
      <c r="BR121" s="3">
        <v>3.13</v>
      </c>
      <c r="BS121" s="3">
        <f t="shared" si="249"/>
        <v>3.13</v>
      </c>
      <c r="BT121" s="4">
        <f t="shared" si="250"/>
        <v>3.13</v>
      </c>
      <c r="BU121" s="3">
        <v>1.6</v>
      </c>
      <c r="BV121" s="3">
        <f t="shared" si="251"/>
        <v>1.6</v>
      </c>
      <c r="BW121" s="4">
        <f t="shared" si="252"/>
        <v>1.6</v>
      </c>
      <c r="BX121" s="3">
        <v>1.22</v>
      </c>
      <c r="BY121" s="3">
        <f t="shared" si="253"/>
        <v>1.22</v>
      </c>
      <c r="BZ121" s="21">
        <f t="shared" si="254"/>
        <v>1.22</v>
      </c>
      <c r="CB121" s="20" t="s">
        <v>703</v>
      </c>
      <c r="CC121" s="3">
        <v>4.16</v>
      </c>
      <c r="CD121" s="3">
        <f t="shared" si="255"/>
        <v>4.16</v>
      </c>
      <c r="CE121" s="4">
        <f t="shared" si="356"/>
        <v>4.16</v>
      </c>
      <c r="CF121" s="3">
        <v>6.09</v>
      </c>
      <c r="CG121" s="3">
        <f t="shared" si="257"/>
        <v>6.09</v>
      </c>
      <c r="CH121" s="4">
        <f t="shared" si="357"/>
        <v>6.09</v>
      </c>
      <c r="CI121" s="3">
        <v>3.78</v>
      </c>
      <c r="CJ121" s="3">
        <f t="shared" si="259"/>
        <v>3.78</v>
      </c>
      <c r="CK121" s="4">
        <f t="shared" si="358"/>
        <v>3.78</v>
      </c>
      <c r="CL121" s="3">
        <v>5.19</v>
      </c>
      <c r="CM121" s="3">
        <f t="shared" si="261"/>
        <v>5.19</v>
      </c>
      <c r="CN121" s="4">
        <f t="shared" si="359"/>
        <v>5.19</v>
      </c>
      <c r="CO121" s="3">
        <v>5.45</v>
      </c>
      <c r="CP121" s="3">
        <f t="shared" si="263"/>
        <v>5.45</v>
      </c>
      <c r="CQ121" s="4">
        <f t="shared" si="360"/>
        <v>5.45</v>
      </c>
      <c r="CR121" s="3">
        <v>1.84</v>
      </c>
      <c r="CS121" s="3">
        <f t="shared" si="265"/>
        <v>1.84</v>
      </c>
      <c r="CT121" s="4">
        <f t="shared" si="361"/>
        <v>1.84</v>
      </c>
      <c r="CU121" s="3">
        <v>3.76</v>
      </c>
      <c r="CV121" s="3">
        <f t="shared" si="267"/>
        <v>3.76</v>
      </c>
      <c r="CW121" s="4">
        <f t="shared" si="362"/>
        <v>3.76</v>
      </c>
      <c r="CX121" s="3">
        <v>0</v>
      </c>
      <c r="CY121" s="3" t="str">
        <f t="shared" si="269"/>
        <v/>
      </c>
      <c r="CZ121" s="21" t="str">
        <f t="shared" si="363"/>
        <v/>
      </c>
    </row>
    <row r="122" spans="2:104" ht="15.75" thickBot="1">
      <c r="B122" s="20" t="s">
        <v>704</v>
      </c>
      <c r="C122" s="3">
        <v>3.02</v>
      </c>
      <c r="D122" s="3">
        <f t="shared" si="340"/>
        <v>3.02</v>
      </c>
      <c r="E122" s="4">
        <f t="shared" si="341"/>
        <v>3.02</v>
      </c>
      <c r="F122" s="3">
        <v>4.37</v>
      </c>
      <c r="G122" s="3">
        <f t="shared" si="342"/>
        <v>4.37</v>
      </c>
      <c r="H122" s="4">
        <f t="shared" si="343"/>
        <v>4.37</v>
      </c>
      <c r="I122" s="3">
        <v>5.31</v>
      </c>
      <c r="J122" s="3">
        <f t="shared" si="344"/>
        <v>5.31</v>
      </c>
      <c r="K122" s="4">
        <f t="shared" si="345"/>
        <v>5.31</v>
      </c>
      <c r="L122" s="3">
        <v>5.63</v>
      </c>
      <c r="M122" s="3">
        <f t="shared" si="346"/>
        <v>5.63</v>
      </c>
      <c r="N122" s="4">
        <f t="shared" si="347"/>
        <v>5.63</v>
      </c>
      <c r="O122" s="3">
        <v>4.37</v>
      </c>
      <c r="P122" s="3">
        <f t="shared" si="348"/>
        <v>4.37</v>
      </c>
      <c r="Q122" s="4">
        <f t="shared" si="349"/>
        <v>4.37</v>
      </c>
      <c r="R122" s="3">
        <v>4.7699999999999996</v>
      </c>
      <c r="S122" s="3">
        <f t="shared" si="350"/>
        <v>4.7699999999999996</v>
      </c>
      <c r="T122" s="4">
        <f t="shared" si="351"/>
        <v>4.7699999999999996</v>
      </c>
      <c r="U122" s="3">
        <v>1.78</v>
      </c>
      <c r="V122" s="3">
        <f t="shared" si="352"/>
        <v>1.78</v>
      </c>
      <c r="W122" s="4">
        <f t="shared" si="353"/>
        <v>1.78</v>
      </c>
      <c r="X122" s="3">
        <v>2.2200000000000002</v>
      </c>
      <c r="Y122" s="3">
        <f t="shared" si="354"/>
        <v>2.2200000000000002</v>
      </c>
      <c r="Z122" s="21">
        <f t="shared" si="355"/>
        <v>2.2200000000000002</v>
      </c>
      <c r="BB122" s="20" t="s">
        <v>705</v>
      </c>
      <c r="BC122" s="3">
        <v>3.92</v>
      </c>
      <c r="BD122" s="3">
        <f t="shared" si="239"/>
        <v>3.92</v>
      </c>
      <c r="BE122" s="4">
        <f t="shared" si="240"/>
        <v>3.92</v>
      </c>
      <c r="BF122" s="3">
        <v>4.2699999999999996</v>
      </c>
      <c r="BG122" s="3">
        <f t="shared" si="241"/>
        <v>4.2699999999999996</v>
      </c>
      <c r="BH122" s="4">
        <f t="shared" si="242"/>
        <v>4.2699999999999996</v>
      </c>
      <c r="BI122" s="3">
        <v>4.16</v>
      </c>
      <c r="BJ122" s="3">
        <f t="shared" si="243"/>
        <v>4.16</v>
      </c>
      <c r="BK122" s="4">
        <f t="shared" si="244"/>
        <v>4.16</v>
      </c>
      <c r="BL122" s="3">
        <v>4.3099999999999996</v>
      </c>
      <c r="BM122" s="3">
        <f t="shared" si="245"/>
        <v>4.3099999999999996</v>
      </c>
      <c r="BN122" s="4">
        <f t="shared" si="246"/>
        <v>4.3099999999999996</v>
      </c>
      <c r="BO122" s="3">
        <v>3.64</v>
      </c>
      <c r="BP122" s="3">
        <f t="shared" si="247"/>
        <v>3.64</v>
      </c>
      <c r="BQ122" s="4">
        <f t="shared" si="248"/>
        <v>3.64</v>
      </c>
      <c r="BR122" s="3">
        <v>3.15</v>
      </c>
      <c r="BS122" s="3">
        <f t="shared" si="249"/>
        <v>3.15</v>
      </c>
      <c r="BT122" s="4">
        <f t="shared" si="250"/>
        <v>3.15</v>
      </c>
      <c r="BU122" s="3">
        <v>1.63</v>
      </c>
      <c r="BV122" s="3">
        <f t="shared" si="251"/>
        <v>1.63</v>
      </c>
      <c r="BW122" s="4">
        <f t="shared" si="252"/>
        <v>1.63</v>
      </c>
      <c r="BX122" s="3">
        <v>1.2</v>
      </c>
      <c r="BY122" s="3">
        <f t="shared" si="253"/>
        <v>1.2</v>
      </c>
      <c r="BZ122" s="21">
        <f t="shared" si="254"/>
        <v>1.2</v>
      </c>
      <c r="CB122" s="20" t="s">
        <v>706</v>
      </c>
      <c r="CC122" s="23">
        <v>4.1500000000000004</v>
      </c>
      <c r="CD122" s="23">
        <f t="shared" si="255"/>
        <v>4.1500000000000004</v>
      </c>
      <c r="CE122" s="24">
        <f t="shared" si="356"/>
        <v>4.1500000000000004</v>
      </c>
      <c r="CF122" s="23">
        <v>6.08</v>
      </c>
      <c r="CG122" s="23">
        <f t="shared" si="257"/>
        <v>6.08</v>
      </c>
      <c r="CH122" s="24">
        <f t="shared" si="357"/>
        <v>6.08</v>
      </c>
      <c r="CI122" s="23">
        <v>3.77</v>
      </c>
      <c r="CJ122" s="23">
        <f t="shared" si="259"/>
        <v>3.77</v>
      </c>
      <c r="CK122" s="24">
        <f t="shared" si="358"/>
        <v>3.77</v>
      </c>
      <c r="CL122" s="23">
        <v>5.12</v>
      </c>
      <c r="CM122" s="23">
        <f>IF(AND(CL122 &lt; 99.99, CL122 &gt; 0), CL122, "")</f>
        <v>5.12</v>
      </c>
      <c r="CN122" s="24">
        <f t="shared" si="359"/>
        <v>5.12</v>
      </c>
      <c r="CO122" s="23">
        <v>4.75</v>
      </c>
      <c r="CP122" s="23">
        <f>IF(AND(CO122 &lt; 99.99, CO122 &gt; 0), CO122, "")</f>
        <v>4.75</v>
      </c>
      <c r="CQ122" s="24">
        <f t="shared" si="360"/>
        <v>4.75</v>
      </c>
      <c r="CR122" s="23">
        <v>1.86</v>
      </c>
      <c r="CS122" s="23">
        <f t="shared" si="265"/>
        <v>1.86</v>
      </c>
      <c r="CT122" s="24">
        <f t="shared" si="361"/>
        <v>1.86</v>
      </c>
      <c r="CU122" s="23">
        <v>3.76</v>
      </c>
      <c r="CV122" s="23">
        <f t="shared" si="267"/>
        <v>3.76</v>
      </c>
      <c r="CW122" s="24">
        <f t="shared" si="362"/>
        <v>3.76</v>
      </c>
      <c r="CX122" s="23">
        <v>3.12</v>
      </c>
      <c r="CY122" s="23">
        <f t="shared" si="269"/>
        <v>3.12</v>
      </c>
      <c r="CZ122" s="25">
        <f t="shared" si="363"/>
        <v>3.12</v>
      </c>
    </row>
    <row r="123" spans="2:104">
      <c r="B123" s="20" t="s">
        <v>707</v>
      </c>
      <c r="C123" s="3">
        <v>3.02</v>
      </c>
      <c r="D123" s="3">
        <f t="shared" si="340"/>
        <v>3.02</v>
      </c>
      <c r="E123" s="4">
        <f t="shared" si="341"/>
        <v>3.02</v>
      </c>
      <c r="F123" s="3">
        <v>4.43</v>
      </c>
      <c r="G123" s="3">
        <f t="shared" si="342"/>
        <v>4.43</v>
      </c>
      <c r="H123" s="4">
        <f t="shared" si="343"/>
        <v>4.43</v>
      </c>
      <c r="I123" s="3">
        <v>5.32</v>
      </c>
      <c r="J123" s="3">
        <f t="shared" si="344"/>
        <v>5.32</v>
      </c>
      <c r="K123" s="4">
        <f t="shared" si="345"/>
        <v>5.32</v>
      </c>
      <c r="L123" s="3">
        <v>5.64</v>
      </c>
      <c r="M123" s="3">
        <f t="shared" si="346"/>
        <v>5.64</v>
      </c>
      <c r="N123" s="4">
        <f t="shared" si="347"/>
        <v>5.64</v>
      </c>
      <c r="O123" s="3">
        <v>4.33</v>
      </c>
      <c r="P123" s="3">
        <f t="shared" si="348"/>
        <v>4.33</v>
      </c>
      <c r="Q123" s="4">
        <f t="shared" si="349"/>
        <v>4.33</v>
      </c>
      <c r="R123" s="3">
        <v>4.8</v>
      </c>
      <c r="S123" s="3">
        <f t="shared" si="350"/>
        <v>4.8</v>
      </c>
      <c r="T123" s="4">
        <f t="shared" si="351"/>
        <v>4.8</v>
      </c>
      <c r="U123" s="3">
        <v>1.74</v>
      </c>
      <c r="V123" s="3">
        <f t="shared" si="352"/>
        <v>1.74</v>
      </c>
      <c r="W123" s="4">
        <f t="shared" si="353"/>
        <v>1.74</v>
      </c>
      <c r="X123" s="3">
        <v>3.23</v>
      </c>
      <c r="Y123" s="3">
        <f t="shared" si="354"/>
        <v>3.23</v>
      </c>
      <c r="Z123" s="21" t="str">
        <f t="shared" si="355"/>
        <v/>
      </c>
      <c r="BB123" s="20" t="s">
        <v>708</v>
      </c>
      <c r="BC123" s="3">
        <v>3.92</v>
      </c>
      <c r="BD123" s="3">
        <f t="shared" si="239"/>
        <v>3.92</v>
      </c>
      <c r="BE123" s="4">
        <f t="shared" si="240"/>
        <v>3.92</v>
      </c>
      <c r="BF123" s="3">
        <v>4.26</v>
      </c>
      <c r="BG123" s="3">
        <f t="shared" si="241"/>
        <v>4.26</v>
      </c>
      <c r="BH123" s="4">
        <f t="shared" si="242"/>
        <v>4.26</v>
      </c>
      <c r="BI123" s="3">
        <v>4.16</v>
      </c>
      <c r="BJ123" s="3">
        <f t="shared" si="243"/>
        <v>4.16</v>
      </c>
      <c r="BK123" s="4">
        <f t="shared" si="244"/>
        <v>4.16</v>
      </c>
      <c r="BL123" s="3">
        <v>4.29</v>
      </c>
      <c r="BM123" s="3">
        <f t="shared" si="245"/>
        <v>4.29</v>
      </c>
      <c r="BN123" s="4">
        <f t="shared" si="246"/>
        <v>4.29</v>
      </c>
      <c r="BO123" s="3">
        <v>3.62</v>
      </c>
      <c r="BP123" s="3">
        <f t="shared" si="247"/>
        <v>3.62</v>
      </c>
      <c r="BQ123" s="4">
        <f t="shared" si="248"/>
        <v>3.62</v>
      </c>
      <c r="BR123" s="3">
        <v>3.11</v>
      </c>
      <c r="BS123" s="3">
        <f t="shared" si="249"/>
        <v>3.11</v>
      </c>
      <c r="BT123" s="4">
        <f t="shared" si="250"/>
        <v>3.11</v>
      </c>
      <c r="BU123" s="3">
        <v>1.59</v>
      </c>
      <c r="BV123" s="3">
        <f t="shared" si="251"/>
        <v>1.59</v>
      </c>
      <c r="BW123" s="4">
        <f t="shared" si="252"/>
        <v>1.59</v>
      </c>
      <c r="BX123" s="3">
        <v>1.29</v>
      </c>
      <c r="BY123" s="3">
        <f t="shared" si="253"/>
        <v>1.29</v>
      </c>
      <c r="BZ123" s="21">
        <f t="shared" si="254"/>
        <v>1.29</v>
      </c>
      <c r="CB123" s="51" t="s">
        <v>510</v>
      </c>
      <c r="CC123" s="8"/>
      <c r="CD123" s="8">
        <f t="shared" ref="CD123:CZ123" si="364">AVERAGE(CD4:CD122)</f>
        <v>3.8551260504201652</v>
      </c>
      <c r="CE123" s="8">
        <f t="shared" si="364"/>
        <v>4.1203738317756979</v>
      </c>
      <c r="CF123" s="8">
        <f t="shared" si="364"/>
        <v>5.8413445378151305</v>
      </c>
      <c r="CG123" s="8">
        <f t="shared" si="364"/>
        <v>5.8413445378151305</v>
      </c>
      <c r="CH123" s="8">
        <f t="shared" si="364"/>
        <v>6.0938532110091774</v>
      </c>
      <c r="CI123" s="8">
        <f t="shared" si="364"/>
        <v>3.6062184873949588</v>
      </c>
      <c r="CJ123" s="8">
        <f t="shared" si="364"/>
        <v>3.6062184873949588</v>
      </c>
      <c r="CK123" s="8">
        <f t="shared" si="364"/>
        <v>3.7511926605504593</v>
      </c>
      <c r="CL123" s="8">
        <f t="shared" si="364"/>
        <v>4.8718487394957997</v>
      </c>
      <c r="CM123" s="8">
        <f t="shared" si="364"/>
        <v>4.91313559322034</v>
      </c>
      <c r="CN123" s="8">
        <f t="shared" si="364"/>
        <v>5.1123762376237618</v>
      </c>
      <c r="CO123" s="8">
        <f t="shared" si="364"/>
        <v>5.9858823529411804</v>
      </c>
      <c r="CP123" s="8">
        <f t="shared" si="364"/>
        <v>5.2335897435897456</v>
      </c>
      <c r="CQ123" s="8">
        <f t="shared" si="364"/>
        <v>5.3855454545454551</v>
      </c>
      <c r="CR123" s="8">
        <f t="shared" si="364"/>
        <v>1.8060504201680683</v>
      </c>
      <c r="CS123" s="8">
        <f t="shared" si="364"/>
        <v>1.8060504201680683</v>
      </c>
      <c r="CT123" s="8">
        <f t="shared" si="364"/>
        <v>1.847543859649124</v>
      </c>
      <c r="CU123" s="8">
        <f t="shared" si="364"/>
        <v>3.4309243697478977</v>
      </c>
      <c r="CV123" s="8">
        <f t="shared" si="364"/>
        <v>3.4309243697478977</v>
      </c>
      <c r="CW123" s="8">
        <f t="shared" si="364"/>
        <v>3.7243396226415082</v>
      </c>
      <c r="CX123" s="8">
        <f t="shared" si="364"/>
        <v>3.952521008403362</v>
      </c>
      <c r="CY123" s="8">
        <f t="shared" si="364"/>
        <v>3.1077011494252869</v>
      </c>
      <c r="CZ123" s="9">
        <f t="shared" si="364"/>
        <v>3.1539743589743585</v>
      </c>
    </row>
    <row r="124" spans="2:104">
      <c r="B124" s="20" t="s">
        <v>709</v>
      </c>
      <c r="C124" s="3">
        <v>2.98</v>
      </c>
      <c r="D124" s="3">
        <f t="shared" si="340"/>
        <v>2.98</v>
      </c>
      <c r="E124" s="4">
        <f t="shared" si="341"/>
        <v>2.98</v>
      </c>
      <c r="F124" s="3">
        <v>4.3899999999999997</v>
      </c>
      <c r="G124" s="3">
        <f t="shared" si="342"/>
        <v>4.3899999999999997</v>
      </c>
      <c r="H124" s="4">
        <f t="shared" si="343"/>
        <v>4.3899999999999997</v>
      </c>
      <c r="I124" s="3">
        <v>5.32</v>
      </c>
      <c r="J124" s="3">
        <f t="shared" si="344"/>
        <v>5.32</v>
      </c>
      <c r="K124" s="4">
        <f t="shared" si="345"/>
        <v>5.32</v>
      </c>
      <c r="L124" s="3">
        <v>5.62</v>
      </c>
      <c r="M124" s="3">
        <f t="shared" si="346"/>
        <v>5.62</v>
      </c>
      <c r="N124" s="4">
        <f t="shared" si="347"/>
        <v>5.62</v>
      </c>
      <c r="O124" s="3">
        <v>4.3499999999999996</v>
      </c>
      <c r="P124" s="3">
        <f t="shared" si="348"/>
        <v>4.3499999999999996</v>
      </c>
      <c r="Q124" s="4">
        <f t="shared" si="349"/>
        <v>4.3499999999999996</v>
      </c>
      <c r="R124" s="3">
        <v>4.93</v>
      </c>
      <c r="S124" s="3">
        <f t="shared" si="350"/>
        <v>4.93</v>
      </c>
      <c r="T124" s="4">
        <f t="shared" si="351"/>
        <v>4.93</v>
      </c>
      <c r="U124" s="3">
        <v>1.77</v>
      </c>
      <c r="V124" s="3">
        <f t="shared" si="352"/>
        <v>1.77</v>
      </c>
      <c r="W124" s="4">
        <f t="shared" si="353"/>
        <v>1.77</v>
      </c>
      <c r="X124" s="3">
        <v>2.2799999999999998</v>
      </c>
      <c r="Y124" s="3">
        <f t="shared" si="354"/>
        <v>2.2799999999999998</v>
      </c>
      <c r="Z124" s="21">
        <f t="shared" si="355"/>
        <v>2.2799999999999998</v>
      </c>
      <c r="BB124" s="20" t="s">
        <v>710</v>
      </c>
      <c r="BC124" s="3">
        <v>3.93</v>
      </c>
      <c r="BD124" s="3">
        <f t="shared" si="239"/>
        <v>3.93</v>
      </c>
      <c r="BE124" s="4">
        <f t="shared" si="240"/>
        <v>3.93</v>
      </c>
      <c r="BF124" s="3">
        <v>4.2699999999999996</v>
      </c>
      <c r="BG124" s="3">
        <f t="shared" si="241"/>
        <v>4.2699999999999996</v>
      </c>
      <c r="BH124" s="4">
        <f t="shared" si="242"/>
        <v>4.2699999999999996</v>
      </c>
      <c r="BI124" s="3">
        <v>4.1399999999999997</v>
      </c>
      <c r="BJ124" s="3">
        <f t="shared" si="243"/>
        <v>4.1399999999999997</v>
      </c>
      <c r="BK124" s="4">
        <f t="shared" si="244"/>
        <v>4.1399999999999997</v>
      </c>
      <c r="BL124" s="3">
        <v>4.3</v>
      </c>
      <c r="BM124" s="3">
        <f t="shared" si="245"/>
        <v>4.3</v>
      </c>
      <c r="BN124" s="4">
        <f t="shared" si="246"/>
        <v>4.3</v>
      </c>
      <c r="BO124" s="3">
        <v>3.59</v>
      </c>
      <c r="BP124" s="3">
        <f t="shared" si="247"/>
        <v>3.59</v>
      </c>
      <c r="BQ124" s="4">
        <f t="shared" si="248"/>
        <v>3.59</v>
      </c>
      <c r="BR124" s="3">
        <v>3.14</v>
      </c>
      <c r="BS124" s="3">
        <f t="shared" si="249"/>
        <v>3.14</v>
      </c>
      <c r="BT124" s="4">
        <f t="shared" si="250"/>
        <v>3.14</v>
      </c>
      <c r="BU124" s="3">
        <v>0.83</v>
      </c>
      <c r="BV124" s="3">
        <f t="shared" si="251"/>
        <v>0.83</v>
      </c>
      <c r="BW124" s="4" t="str">
        <f t="shared" si="252"/>
        <v/>
      </c>
      <c r="BX124" s="3">
        <v>1.25</v>
      </c>
      <c r="BY124" s="3">
        <f t="shared" si="253"/>
        <v>1.25</v>
      </c>
      <c r="BZ124" s="21">
        <f t="shared" si="254"/>
        <v>1.25</v>
      </c>
      <c r="CB124" s="52" t="s">
        <v>515</v>
      </c>
      <c r="CC124" s="11"/>
      <c r="CD124" s="11">
        <f t="shared" ref="CD124:CZ124" si="365">STDEV(CD4:CD122)</f>
        <v>0.87165327575200513</v>
      </c>
      <c r="CE124" s="11">
        <f t="shared" si="365"/>
        <v>0.17733310109149436</v>
      </c>
      <c r="CF124" s="11">
        <f t="shared" si="365"/>
        <v>0.8663569980581064</v>
      </c>
      <c r="CG124" s="11">
        <f t="shared" si="365"/>
        <v>0.8663569980581064</v>
      </c>
      <c r="CH124" s="11">
        <f t="shared" si="365"/>
        <v>2.8606793316504599E-2</v>
      </c>
      <c r="CI124" s="11">
        <f t="shared" si="365"/>
        <v>0.54601327294451796</v>
      </c>
      <c r="CJ124" s="11">
        <f t="shared" si="365"/>
        <v>0.54601327294451796</v>
      </c>
      <c r="CK124" s="11">
        <f t="shared" si="365"/>
        <v>9.862691363812344E-2</v>
      </c>
      <c r="CL124" s="11">
        <f t="shared" si="365"/>
        <v>1.0021087650182301</v>
      </c>
      <c r="CM124" s="11">
        <f t="shared" si="365"/>
        <v>0.89901246785279487</v>
      </c>
      <c r="CN124" s="11">
        <f t="shared" si="365"/>
        <v>0.27102453215475347</v>
      </c>
      <c r="CO124" s="11">
        <f t="shared" si="365"/>
        <v>8.7306117800437253</v>
      </c>
      <c r="CP124" s="11">
        <f t="shared" si="365"/>
        <v>0.6920876234369171</v>
      </c>
      <c r="CQ124" s="11">
        <f t="shared" si="365"/>
        <v>0.19766335185669262</v>
      </c>
      <c r="CR124" s="11">
        <f t="shared" si="365"/>
        <v>0.20627535688974921</v>
      </c>
      <c r="CS124" s="11">
        <f t="shared" si="365"/>
        <v>0.20627535688974921</v>
      </c>
      <c r="CT124" s="11">
        <f t="shared" si="365"/>
        <v>1.5940231480801745E-2</v>
      </c>
      <c r="CU124" s="11">
        <f t="shared" si="365"/>
        <v>0.87855716810087914</v>
      </c>
      <c r="CV124" s="11">
        <f t="shared" si="365"/>
        <v>0.87855716810087914</v>
      </c>
      <c r="CW124" s="11">
        <f t="shared" si="365"/>
        <v>0.1498826135469547</v>
      </c>
      <c r="CX124" s="11">
        <f t="shared" si="365"/>
        <v>12.689451058533933</v>
      </c>
      <c r="CY124" s="11">
        <f t="shared" si="365"/>
        <v>0.52223513627178453</v>
      </c>
      <c r="CZ124" s="12">
        <f t="shared" si="365"/>
        <v>8.5589472340690226E-2</v>
      </c>
    </row>
    <row r="125" spans="2:104">
      <c r="B125" s="20" t="s">
        <v>711</v>
      </c>
      <c r="C125" s="3">
        <v>3.01</v>
      </c>
      <c r="D125" s="3">
        <f t="shared" si="340"/>
        <v>3.01</v>
      </c>
      <c r="E125" s="4">
        <f t="shared" si="341"/>
        <v>3.01</v>
      </c>
      <c r="F125" s="3">
        <v>4.38</v>
      </c>
      <c r="G125" s="3">
        <f t="shared" si="342"/>
        <v>4.38</v>
      </c>
      <c r="H125" s="4">
        <f t="shared" si="343"/>
        <v>4.38</v>
      </c>
      <c r="I125" s="3">
        <v>5.31</v>
      </c>
      <c r="J125" s="3">
        <f t="shared" si="344"/>
        <v>5.31</v>
      </c>
      <c r="K125" s="4">
        <f t="shared" si="345"/>
        <v>5.31</v>
      </c>
      <c r="L125" s="3">
        <v>5.66</v>
      </c>
      <c r="M125" s="3">
        <f t="shared" si="346"/>
        <v>5.66</v>
      </c>
      <c r="N125" s="4">
        <f t="shared" si="347"/>
        <v>5.66</v>
      </c>
      <c r="O125" s="3">
        <v>4.33</v>
      </c>
      <c r="P125" s="3">
        <f t="shared" si="348"/>
        <v>4.33</v>
      </c>
      <c r="Q125" s="4">
        <f t="shared" si="349"/>
        <v>4.33</v>
      </c>
      <c r="R125" s="3">
        <v>4.8499999999999996</v>
      </c>
      <c r="S125" s="3">
        <f t="shared" si="350"/>
        <v>4.8499999999999996</v>
      </c>
      <c r="T125" s="4">
        <f t="shared" si="351"/>
        <v>4.8499999999999996</v>
      </c>
      <c r="U125" s="3">
        <v>1.74</v>
      </c>
      <c r="V125" s="3">
        <f t="shared" si="352"/>
        <v>1.74</v>
      </c>
      <c r="W125" s="4">
        <f t="shared" si="353"/>
        <v>1.74</v>
      </c>
      <c r="X125" s="3">
        <v>2.25</v>
      </c>
      <c r="Y125" s="3">
        <f t="shared" si="354"/>
        <v>2.25</v>
      </c>
      <c r="Z125" s="21">
        <f t="shared" si="355"/>
        <v>2.25</v>
      </c>
      <c r="BB125" s="20" t="s">
        <v>712</v>
      </c>
      <c r="BC125" s="3">
        <v>1.97</v>
      </c>
      <c r="BD125" s="3">
        <f t="shared" si="239"/>
        <v>1.97</v>
      </c>
      <c r="BE125" s="4" t="str">
        <f t="shared" si="240"/>
        <v/>
      </c>
      <c r="BF125" s="3">
        <v>4.3</v>
      </c>
      <c r="BG125" s="3">
        <f t="shared" si="241"/>
        <v>4.3</v>
      </c>
      <c r="BH125" s="4">
        <f t="shared" si="242"/>
        <v>4.3</v>
      </c>
      <c r="BI125" s="3">
        <v>4.18</v>
      </c>
      <c r="BJ125" s="3">
        <f t="shared" si="243"/>
        <v>4.18</v>
      </c>
      <c r="BK125" s="4">
        <f t="shared" si="244"/>
        <v>4.18</v>
      </c>
      <c r="BL125" s="3">
        <v>4.28</v>
      </c>
      <c r="BM125" s="3">
        <f t="shared" si="245"/>
        <v>4.28</v>
      </c>
      <c r="BN125" s="4">
        <f t="shared" si="246"/>
        <v>4.28</v>
      </c>
      <c r="BO125" s="3">
        <v>3.62</v>
      </c>
      <c r="BP125" s="3">
        <f t="shared" si="247"/>
        <v>3.62</v>
      </c>
      <c r="BQ125" s="4">
        <f t="shared" si="248"/>
        <v>3.62</v>
      </c>
      <c r="BR125" s="3">
        <v>3.13</v>
      </c>
      <c r="BS125" s="3">
        <f t="shared" si="249"/>
        <v>3.13</v>
      </c>
      <c r="BT125" s="4">
        <f t="shared" si="250"/>
        <v>3.13</v>
      </c>
      <c r="BU125" s="3">
        <v>1.66</v>
      </c>
      <c r="BV125" s="3">
        <f t="shared" si="251"/>
        <v>1.66</v>
      </c>
      <c r="BW125" s="4">
        <f t="shared" si="252"/>
        <v>1.66</v>
      </c>
      <c r="BX125" s="3">
        <v>1.22</v>
      </c>
      <c r="BY125" s="3">
        <f t="shared" si="253"/>
        <v>1.22</v>
      </c>
      <c r="BZ125" s="21">
        <f t="shared" si="254"/>
        <v>1.22</v>
      </c>
      <c r="CB125" s="52" t="s">
        <v>520</v>
      </c>
      <c r="CC125" s="11"/>
      <c r="CD125" s="11">
        <f>CD123+CD124</f>
        <v>4.7267793261721707</v>
      </c>
      <c r="CE125" s="11"/>
      <c r="CF125" s="11"/>
      <c r="CG125" s="11">
        <f>CG123+CG124</f>
        <v>6.7077015358732366</v>
      </c>
      <c r="CH125" s="11"/>
      <c r="CI125" s="11"/>
      <c r="CJ125" s="11">
        <f>CJ123+CJ124</f>
        <v>4.1522317603394772</v>
      </c>
      <c r="CK125" s="11"/>
      <c r="CL125" s="11"/>
      <c r="CM125" s="11">
        <f>CM123+CM124</f>
        <v>5.8121480610731346</v>
      </c>
      <c r="CN125" s="11"/>
      <c r="CO125" s="11"/>
      <c r="CP125" s="11">
        <f>CP123+CP124</f>
        <v>5.9256773670266627</v>
      </c>
      <c r="CQ125" s="11"/>
      <c r="CR125" s="11"/>
      <c r="CS125" s="11">
        <f>CS123+CS124</f>
        <v>2.0123257770578173</v>
      </c>
      <c r="CT125" s="11"/>
      <c r="CU125" s="11"/>
      <c r="CV125" s="11">
        <f>CV123+CV124</f>
        <v>4.309481537848777</v>
      </c>
      <c r="CW125" s="11"/>
      <c r="CX125" s="11"/>
      <c r="CY125" s="11">
        <f>CY123+CY124</f>
        <v>3.6299362856970712</v>
      </c>
      <c r="CZ125" s="12"/>
    </row>
    <row r="126" spans="2:104" ht="15.75" thickBot="1">
      <c r="B126" s="20" t="s">
        <v>713</v>
      </c>
      <c r="C126" s="3">
        <v>2.97</v>
      </c>
      <c r="D126" s="3">
        <f t="shared" si="340"/>
        <v>2.97</v>
      </c>
      <c r="E126" s="4">
        <f t="shared" si="341"/>
        <v>2.97</v>
      </c>
      <c r="F126" s="3">
        <v>4.41</v>
      </c>
      <c r="G126" s="3">
        <f t="shared" si="342"/>
        <v>4.41</v>
      </c>
      <c r="H126" s="4">
        <f t="shared" si="343"/>
        <v>4.41</v>
      </c>
      <c r="I126" s="3">
        <v>5.3</v>
      </c>
      <c r="J126" s="3">
        <f t="shared" si="344"/>
        <v>5.3</v>
      </c>
      <c r="K126" s="4">
        <f t="shared" si="345"/>
        <v>5.3</v>
      </c>
      <c r="L126" s="3">
        <v>4.32</v>
      </c>
      <c r="M126" s="3">
        <f t="shared" si="346"/>
        <v>4.32</v>
      </c>
      <c r="N126" s="4">
        <f t="shared" si="347"/>
        <v>4.32</v>
      </c>
      <c r="O126" s="3">
        <v>4.3099999999999996</v>
      </c>
      <c r="P126" s="3">
        <f t="shared" si="348"/>
        <v>4.3099999999999996</v>
      </c>
      <c r="Q126" s="4">
        <f t="shared" si="349"/>
        <v>4.3099999999999996</v>
      </c>
      <c r="R126" s="3">
        <v>4.8499999999999996</v>
      </c>
      <c r="S126" s="3">
        <f t="shared" si="350"/>
        <v>4.8499999999999996</v>
      </c>
      <c r="T126" s="4">
        <f t="shared" si="351"/>
        <v>4.8499999999999996</v>
      </c>
      <c r="U126" s="3">
        <v>1.75</v>
      </c>
      <c r="V126" s="3">
        <f t="shared" si="352"/>
        <v>1.75</v>
      </c>
      <c r="W126" s="4">
        <f t="shared" si="353"/>
        <v>1.75</v>
      </c>
      <c r="X126" s="3">
        <v>2.2799999999999998</v>
      </c>
      <c r="Y126" s="3">
        <f t="shared" si="354"/>
        <v>2.2799999999999998</v>
      </c>
      <c r="Z126" s="21">
        <f t="shared" si="355"/>
        <v>2.2799999999999998</v>
      </c>
      <c r="BB126" s="20" t="s">
        <v>714</v>
      </c>
      <c r="BC126" s="3">
        <v>3.91</v>
      </c>
      <c r="BD126" s="3">
        <f t="shared" si="239"/>
        <v>3.91</v>
      </c>
      <c r="BE126" s="4">
        <f t="shared" si="240"/>
        <v>3.91</v>
      </c>
      <c r="BF126" s="3">
        <v>4.28</v>
      </c>
      <c r="BG126" s="3">
        <f t="shared" si="241"/>
        <v>4.28</v>
      </c>
      <c r="BH126" s="4">
        <f t="shared" si="242"/>
        <v>4.28</v>
      </c>
      <c r="BI126" s="3">
        <v>4.1500000000000004</v>
      </c>
      <c r="BJ126" s="3">
        <f t="shared" si="243"/>
        <v>4.1500000000000004</v>
      </c>
      <c r="BK126" s="4">
        <f t="shared" si="244"/>
        <v>4.1500000000000004</v>
      </c>
      <c r="BL126" s="3">
        <v>4.28</v>
      </c>
      <c r="BM126" s="3">
        <f t="shared" si="245"/>
        <v>4.28</v>
      </c>
      <c r="BN126" s="4">
        <f t="shared" si="246"/>
        <v>4.28</v>
      </c>
      <c r="BO126" s="3">
        <v>3.6</v>
      </c>
      <c r="BP126" s="3">
        <f t="shared" si="247"/>
        <v>3.6</v>
      </c>
      <c r="BQ126" s="4">
        <f t="shared" si="248"/>
        <v>3.6</v>
      </c>
      <c r="BR126" s="3">
        <v>3.12</v>
      </c>
      <c r="BS126" s="3">
        <f t="shared" si="249"/>
        <v>3.12</v>
      </c>
      <c r="BT126" s="4">
        <f t="shared" si="250"/>
        <v>3.12</v>
      </c>
      <c r="BU126" s="3">
        <v>1.63</v>
      </c>
      <c r="BV126" s="3">
        <f t="shared" si="251"/>
        <v>1.63</v>
      </c>
      <c r="BW126" s="4">
        <f t="shared" si="252"/>
        <v>1.63</v>
      </c>
      <c r="BX126" s="3">
        <v>1.19</v>
      </c>
      <c r="BY126" s="3">
        <f t="shared" si="253"/>
        <v>1.19</v>
      </c>
      <c r="BZ126" s="21">
        <f t="shared" si="254"/>
        <v>1.19</v>
      </c>
      <c r="CB126" s="53" t="s">
        <v>525</v>
      </c>
      <c r="CC126" s="14"/>
      <c r="CD126" s="14">
        <f>CD123-CD124</f>
        <v>2.9834727746681602</v>
      </c>
      <c r="CE126" s="14"/>
      <c r="CF126" s="14"/>
      <c r="CG126" s="14">
        <f>CG123-CG124</f>
        <v>4.9749875397570245</v>
      </c>
      <c r="CH126" s="14"/>
      <c r="CI126" s="14"/>
      <c r="CJ126" s="14">
        <f>CJ123-CJ124</f>
        <v>3.0602052144504408</v>
      </c>
      <c r="CK126" s="14"/>
      <c r="CL126" s="14"/>
      <c r="CM126" s="14">
        <f>CM123-CM124</f>
        <v>4.0141231253675453</v>
      </c>
      <c r="CN126" s="14"/>
      <c r="CO126" s="14"/>
      <c r="CP126" s="14">
        <f>CP123-CP124</f>
        <v>4.5415021201528285</v>
      </c>
      <c r="CQ126" s="14"/>
      <c r="CR126" s="14"/>
      <c r="CS126" s="14">
        <f>CS123-CS124</f>
        <v>1.599775063278319</v>
      </c>
      <c r="CT126" s="14"/>
      <c r="CU126" s="14"/>
      <c r="CV126" s="14">
        <f>CV123-CV124</f>
        <v>2.5523672016470185</v>
      </c>
      <c r="CW126" s="14"/>
      <c r="CX126" s="14"/>
      <c r="CY126" s="14">
        <f>CY123-CY124</f>
        <v>2.5854660131535026</v>
      </c>
      <c r="CZ126" s="15"/>
    </row>
    <row r="127" spans="2:104" ht="15.75" thickBot="1">
      <c r="B127" s="20" t="s">
        <v>715</v>
      </c>
      <c r="C127" s="3">
        <v>3.02</v>
      </c>
      <c r="D127" s="3">
        <f t="shared" si="340"/>
        <v>3.02</v>
      </c>
      <c r="E127" s="4">
        <f t="shared" si="341"/>
        <v>3.02</v>
      </c>
      <c r="F127" s="3">
        <v>4.41</v>
      </c>
      <c r="G127" s="3">
        <f t="shared" si="342"/>
        <v>4.41</v>
      </c>
      <c r="H127" s="4">
        <f t="shared" si="343"/>
        <v>4.41</v>
      </c>
      <c r="I127" s="3">
        <v>5.3</v>
      </c>
      <c r="J127" s="3">
        <f t="shared" si="344"/>
        <v>5.3</v>
      </c>
      <c r="K127" s="4">
        <f t="shared" si="345"/>
        <v>5.3</v>
      </c>
      <c r="L127" s="3">
        <v>5.67</v>
      </c>
      <c r="M127" s="3">
        <f t="shared" si="346"/>
        <v>5.67</v>
      </c>
      <c r="N127" s="4">
        <f t="shared" si="347"/>
        <v>5.67</v>
      </c>
      <c r="O127" s="3">
        <v>4.32</v>
      </c>
      <c r="P127" s="3">
        <f t="shared" si="348"/>
        <v>4.32</v>
      </c>
      <c r="Q127" s="4">
        <f t="shared" si="349"/>
        <v>4.32</v>
      </c>
      <c r="R127" s="3">
        <v>2.91</v>
      </c>
      <c r="S127" s="3">
        <f t="shared" si="350"/>
        <v>2.91</v>
      </c>
      <c r="T127" s="4" t="str">
        <f t="shared" si="351"/>
        <v/>
      </c>
      <c r="U127" s="3">
        <v>1.77</v>
      </c>
      <c r="V127" s="3">
        <f t="shared" si="352"/>
        <v>1.77</v>
      </c>
      <c r="W127" s="4">
        <f t="shared" si="353"/>
        <v>1.77</v>
      </c>
      <c r="X127" s="3">
        <v>2.27</v>
      </c>
      <c r="Y127" s="3">
        <f t="shared" si="354"/>
        <v>2.27</v>
      </c>
      <c r="Z127" s="21">
        <f t="shared" si="355"/>
        <v>2.27</v>
      </c>
      <c r="BB127" s="20" t="s">
        <v>716</v>
      </c>
      <c r="BC127" s="3">
        <v>3.93</v>
      </c>
      <c r="BD127" s="3">
        <f t="shared" si="239"/>
        <v>3.93</v>
      </c>
      <c r="BE127" s="4">
        <f t="shared" si="240"/>
        <v>3.93</v>
      </c>
      <c r="BF127" s="3">
        <v>4.25</v>
      </c>
      <c r="BG127" s="3">
        <f t="shared" si="241"/>
        <v>4.25</v>
      </c>
      <c r="BH127" s="4">
        <f t="shared" si="242"/>
        <v>4.25</v>
      </c>
      <c r="BI127" s="3">
        <v>4.1399999999999997</v>
      </c>
      <c r="BJ127" s="3">
        <f t="shared" si="243"/>
        <v>4.1399999999999997</v>
      </c>
      <c r="BK127" s="4">
        <f t="shared" si="244"/>
        <v>4.1399999999999997</v>
      </c>
      <c r="BL127" s="3">
        <v>4.3099999999999996</v>
      </c>
      <c r="BM127" s="3">
        <f t="shared" si="245"/>
        <v>4.3099999999999996</v>
      </c>
      <c r="BN127" s="4">
        <f t="shared" si="246"/>
        <v>4.3099999999999996</v>
      </c>
      <c r="BO127" s="3">
        <v>3.61</v>
      </c>
      <c r="BP127" s="3">
        <f t="shared" si="247"/>
        <v>3.61</v>
      </c>
      <c r="BQ127" s="4">
        <f t="shared" si="248"/>
        <v>3.61</v>
      </c>
      <c r="BR127" s="3">
        <v>3.13</v>
      </c>
      <c r="BS127" s="3">
        <f t="shared" si="249"/>
        <v>3.13</v>
      </c>
      <c r="BT127" s="4">
        <f t="shared" si="250"/>
        <v>3.13</v>
      </c>
      <c r="BU127" s="3">
        <v>1.62</v>
      </c>
      <c r="BV127" s="3">
        <f t="shared" si="251"/>
        <v>1.62</v>
      </c>
      <c r="BW127" s="4">
        <f t="shared" si="252"/>
        <v>1.62</v>
      </c>
      <c r="BX127" s="3">
        <v>1.27</v>
      </c>
      <c r="BY127" s="3">
        <f t="shared" si="253"/>
        <v>1.27</v>
      </c>
      <c r="BZ127" s="21">
        <f t="shared" si="254"/>
        <v>1.27</v>
      </c>
    </row>
    <row r="128" spans="2:104" ht="30">
      <c r="B128" s="20" t="s">
        <v>717</v>
      </c>
      <c r="C128" s="3">
        <v>3.01</v>
      </c>
      <c r="D128" s="3">
        <f t="shared" si="340"/>
        <v>3.01</v>
      </c>
      <c r="E128" s="4">
        <f t="shared" si="341"/>
        <v>3.01</v>
      </c>
      <c r="F128" s="3">
        <v>4.37</v>
      </c>
      <c r="G128" s="3">
        <f t="shared" si="342"/>
        <v>4.37</v>
      </c>
      <c r="H128" s="4">
        <f t="shared" si="343"/>
        <v>4.37</v>
      </c>
      <c r="I128" s="3">
        <v>5.28</v>
      </c>
      <c r="J128" s="3">
        <f t="shared" si="344"/>
        <v>5.28</v>
      </c>
      <c r="K128" s="4">
        <f t="shared" si="345"/>
        <v>5.28</v>
      </c>
      <c r="L128" s="3">
        <v>5.62</v>
      </c>
      <c r="M128" s="3">
        <f t="shared" si="346"/>
        <v>5.62</v>
      </c>
      <c r="N128" s="4">
        <f t="shared" si="347"/>
        <v>5.62</v>
      </c>
      <c r="O128" s="3">
        <v>4.33</v>
      </c>
      <c r="P128" s="3">
        <f t="shared" si="348"/>
        <v>4.33</v>
      </c>
      <c r="Q128" s="4">
        <f t="shared" si="349"/>
        <v>4.33</v>
      </c>
      <c r="R128" s="3">
        <v>4.8600000000000003</v>
      </c>
      <c r="S128" s="3">
        <f t="shared" si="350"/>
        <v>4.8600000000000003</v>
      </c>
      <c r="T128" s="4">
        <f t="shared" si="351"/>
        <v>4.8600000000000003</v>
      </c>
      <c r="U128" s="3">
        <v>1.76</v>
      </c>
      <c r="V128" s="3">
        <f t="shared" si="352"/>
        <v>1.76</v>
      </c>
      <c r="W128" s="4">
        <f t="shared" si="353"/>
        <v>1.76</v>
      </c>
      <c r="X128" s="3">
        <v>2.25</v>
      </c>
      <c r="Y128" s="3">
        <f t="shared" si="354"/>
        <v>2.25</v>
      </c>
      <c r="Z128" s="21">
        <f t="shared" si="355"/>
        <v>2.25</v>
      </c>
      <c r="BB128" s="20" t="s">
        <v>718</v>
      </c>
      <c r="BC128" s="3">
        <v>3.91</v>
      </c>
      <c r="BD128" s="3">
        <f t="shared" si="239"/>
        <v>3.91</v>
      </c>
      <c r="BE128" s="4">
        <f t="shared" si="240"/>
        <v>3.91</v>
      </c>
      <c r="BF128" s="3">
        <v>4.3</v>
      </c>
      <c r="BG128" s="3">
        <f t="shared" si="241"/>
        <v>4.3</v>
      </c>
      <c r="BH128" s="4">
        <f t="shared" si="242"/>
        <v>4.3</v>
      </c>
      <c r="BI128" s="3">
        <v>4.17</v>
      </c>
      <c r="BJ128" s="3">
        <f t="shared" si="243"/>
        <v>4.17</v>
      </c>
      <c r="BK128" s="4">
        <f t="shared" si="244"/>
        <v>4.17</v>
      </c>
      <c r="BL128" s="3">
        <v>4.34</v>
      </c>
      <c r="BM128" s="3">
        <f t="shared" si="245"/>
        <v>4.34</v>
      </c>
      <c r="BN128" s="4">
        <f t="shared" si="246"/>
        <v>4.34</v>
      </c>
      <c r="BO128" s="3">
        <v>3.58</v>
      </c>
      <c r="BP128" s="3">
        <f t="shared" si="247"/>
        <v>3.58</v>
      </c>
      <c r="BQ128" s="4">
        <f t="shared" si="248"/>
        <v>3.58</v>
      </c>
      <c r="BR128" s="3">
        <v>3.12</v>
      </c>
      <c r="BS128" s="3">
        <f t="shared" si="249"/>
        <v>3.12</v>
      </c>
      <c r="BT128" s="4">
        <f t="shared" si="250"/>
        <v>3.12</v>
      </c>
      <c r="BU128" s="3">
        <v>1.61</v>
      </c>
      <c r="BV128" s="3">
        <f t="shared" si="251"/>
        <v>1.61</v>
      </c>
      <c r="BW128" s="4">
        <f t="shared" si="252"/>
        <v>1.61</v>
      </c>
      <c r="BX128" s="3">
        <v>1.23</v>
      </c>
      <c r="BY128" s="3">
        <f t="shared" si="253"/>
        <v>1.23</v>
      </c>
      <c r="BZ128" s="21">
        <f t="shared" si="254"/>
        <v>1.23</v>
      </c>
      <c r="CB128" s="80" t="s">
        <v>534</v>
      </c>
      <c r="CC128" s="7"/>
      <c r="CD128" s="8"/>
      <c r="CE128" s="8">
        <v>4.2</v>
      </c>
      <c r="CF128" s="8"/>
      <c r="CG128" s="8"/>
      <c r="CH128" s="8">
        <v>6.08</v>
      </c>
      <c r="CI128" s="8"/>
      <c r="CJ128" s="8"/>
      <c r="CK128" s="8">
        <v>3.62</v>
      </c>
      <c r="CL128" s="8"/>
      <c r="CM128" s="8"/>
      <c r="CN128" s="8">
        <v>5.36</v>
      </c>
      <c r="CO128" s="8"/>
      <c r="CP128" s="8"/>
      <c r="CQ128" s="8">
        <v>5.44</v>
      </c>
      <c r="CR128" s="8"/>
      <c r="CS128" s="8"/>
      <c r="CT128" s="8">
        <v>1.82</v>
      </c>
      <c r="CU128" s="8"/>
      <c r="CV128" s="8"/>
      <c r="CW128" s="8">
        <v>3.76</v>
      </c>
      <c r="CX128" s="8"/>
      <c r="CY128" s="8"/>
      <c r="CZ128" s="9">
        <v>2.87</v>
      </c>
    </row>
    <row r="129" spans="2:104">
      <c r="B129" s="20" t="s">
        <v>719</v>
      </c>
      <c r="C129" s="3">
        <v>3.03</v>
      </c>
      <c r="D129" s="3">
        <f t="shared" si="340"/>
        <v>3.03</v>
      </c>
      <c r="E129" s="4">
        <f t="shared" si="341"/>
        <v>3.03</v>
      </c>
      <c r="F129" s="3">
        <v>4.37</v>
      </c>
      <c r="G129" s="3">
        <f t="shared" si="342"/>
        <v>4.37</v>
      </c>
      <c r="H129" s="4">
        <f t="shared" si="343"/>
        <v>4.37</v>
      </c>
      <c r="I129" s="3">
        <v>5.31</v>
      </c>
      <c r="J129" s="3">
        <f t="shared" si="344"/>
        <v>5.31</v>
      </c>
      <c r="K129" s="4">
        <f t="shared" si="345"/>
        <v>5.31</v>
      </c>
      <c r="L129" s="3">
        <v>5.61</v>
      </c>
      <c r="M129" s="3">
        <f t="shared" si="346"/>
        <v>5.61</v>
      </c>
      <c r="N129" s="4">
        <f t="shared" si="347"/>
        <v>5.61</v>
      </c>
      <c r="O129" s="3">
        <v>4.33</v>
      </c>
      <c r="P129" s="3">
        <f t="shared" si="348"/>
        <v>4.33</v>
      </c>
      <c r="Q129" s="4">
        <f t="shared" si="349"/>
        <v>4.33</v>
      </c>
      <c r="R129" s="3">
        <v>3.26</v>
      </c>
      <c r="S129" s="3">
        <f t="shared" si="350"/>
        <v>3.26</v>
      </c>
      <c r="T129" s="4" t="str">
        <f t="shared" si="351"/>
        <v/>
      </c>
      <c r="U129" s="3">
        <v>99.99</v>
      </c>
      <c r="V129" s="3" t="str">
        <f t="shared" si="352"/>
        <v/>
      </c>
      <c r="W129" s="4" t="str">
        <f t="shared" si="353"/>
        <v/>
      </c>
      <c r="X129" s="3">
        <v>3.22</v>
      </c>
      <c r="Y129" s="3">
        <f t="shared" si="354"/>
        <v>3.22</v>
      </c>
      <c r="Z129" s="21" t="str">
        <f t="shared" si="355"/>
        <v/>
      </c>
      <c r="BB129" s="20" t="s">
        <v>720</v>
      </c>
      <c r="BC129" s="3">
        <v>3.93</v>
      </c>
      <c r="BD129" s="3">
        <f t="shared" si="239"/>
        <v>3.93</v>
      </c>
      <c r="BE129" s="4">
        <f t="shared" si="240"/>
        <v>3.93</v>
      </c>
      <c r="BF129" s="3">
        <v>4.29</v>
      </c>
      <c r="BG129" s="3">
        <f t="shared" si="241"/>
        <v>4.29</v>
      </c>
      <c r="BH129" s="4">
        <f t="shared" si="242"/>
        <v>4.29</v>
      </c>
      <c r="BI129" s="3">
        <v>4.1500000000000004</v>
      </c>
      <c r="BJ129" s="3">
        <f t="shared" si="243"/>
        <v>4.1500000000000004</v>
      </c>
      <c r="BK129" s="4">
        <f t="shared" si="244"/>
        <v>4.1500000000000004</v>
      </c>
      <c r="BL129" s="3">
        <v>4.3499999999999996</v>
      </c>
      <c r="BM129" s="3">
        <f t="shared" si="245"/>
        <v>4.3499999999999996</v>
      </c>
      <c r="BN129" s="4">
        <f t="shared" si="246"/>
        <v>4.3499999999999996</v>
      </c>
      <c r="BO129" s="3">
        <v>3.61</v>
      </c>
      <c r="BP129" s="3">
        <f t="shared" si="247"/>
        <v>3.61</v>
      </c>
      <c r="BQ129" s="4">
        <f t="shared" si="248"/>
        <v>3.61</v>
      </c>
      <c r="BR129" s="3">
        <v>3.13</v>
      </c>
      <c r="BS129" s="3">
        <f t="shared" si="249"/>
        <v>3.13</v>
      </c>
      <c r="BT129" s="4">
        <f t="shared" si="250"/>
        <v>3.13</v>
      </c>
      <c r="BU129" s="3">
        <v>1.61</v>
      </c>
      <c r="BV129" s="3">
        <f t="shared" si="251"/>
        <v>1.61</v>
      </c>
      <c r="BW129" s="4">
        <f t="shared" si="252"/>
        <v>1.61</v>
      </c>
      <c r="BX129" s="3">
        <v>1.21</v>
      </c>
      <c r="BY129" s="3">
        <f t="shared" si="253"/>
        <v>1.21</v>
      </c>
      <c r="BZ129" s="21">
        <f t="shared" si="254"/>
        <v>1.21</v>
      </c>
      <c r="CB129" s="10" t="s">
        <v>539</v>
      </c>
      <c r="CC129" s="10"/>
      <c r="CD129" s="11"/>
      <c r="CE129" s="11">
        <f>CE128-CE123</f>
        <v>7.9626168224302241E-2</v>
      </c>
      <c r="CF129" s="11"/>
      <c r="CG129" s="11"/>
      <c r="CH129" s="11">
        <f>CH128-CH123</f>
        <v>-1.3853211009177357E-2</v>
      </c>
      <c r="CI129" s="11"/>
      <c r="CJ129" s="11"/>
      <c r="CK129" s="11">
        <f>CK128-CK123</f>
        <v>-0.13119266055045919</v>
      </c>
      <c r="CL129" s="11"/>
      <c r="CM129" s="11"/>
      <c r="CN129" s="11">
        <f>CN128-CN123</f>
        <v>0.24762376237623851</v>
      </c>
      <c r="CO129" s="11"/>
      <c r="CP129" s="11"/>
      <c r="CQ129" s="11">
        <f>CQ128-CQ123</f>
        <v>5.4454545454545311E-2</v>
      </c>
      <c r="CR129" s="11"/>
      <c r="CS129" s="11"/>
      <c r="CT129" s="11">
        <f>CT128-CT123</f>
        <v>-2.7543859649123981E-2</v>
      </c>
      <c r="CU129" s="11"/>
      <c r="CV129" s="11"/>
      <c r="CW129" s="11">
        <f>CW128-CW123</f>
        <v>3.5660377358491591E-2</v>
      </c>
      <c r="CX129" s="11"/>
      <c r="CY129" s="11"/>
      <c r="CZ129" s="12">
        <f>CZ128-CZ123</f>
        <v>-0.28397435897435841</v>
      </c>
    </row>
    <row r="130" spans="2:104" ht="15.75" thickBot="1">
      <c r="B130" s="20" t="s">
        <v>721</v>
      </c>
      <c r="C130" s="3">
        <v>0.99</v>
      </c>
      <c r="D130" s="3">
        <f t="shared" si="340"/>
        <v>0.99</v>
      </c>
      <c r="E130" s="4" t="str">
        <f t="shared" si="341"/>
        <v/>
      </c>
      <c r="F130" s="3">
        <v>4.34</v>
      </c>
      <c r="G130" s="3">
        <f t="shared" si="342"/>
        <v>4.34</v>
      </c>
      <c r="H130" s="4">
        <f t="shared" si="343"/>
        <v>4.34</v>
      </c>
      <c r="I130" s="3">
        <v>5.31</v>
      </c>
      <c r="J130" s="3">
        <f t="shared" si="344"/>
        <v>5.31</v>
      </c>
      <c r="K130" s="4">
        <f t="shared" si="345"/>
        <v>5.31</v>
      </c>
      <c r="L130" s="3">
        <v>5.66</v>
      </c>
      <c r="M130" s="3">
        <f t="shared" si="346"/>
        <v>5.66</v>
      </c>
      <c r="N130" s="4">
        <f t="shared" si="347"/>
        <v>5.66</v>
      </c>
      <c r="O130" s="3">
        <v>4.32</v>
      </c>
      <c r="P130" s="3">
        <f t="shared" si="348"/>
        <v>4.32</v>
      </c>
      <c r="Q130" s="4">
        <f t="shared" si="349"/>
        <v>4.32</v>
      </c>
      <c r="R130" s="3">
        <v>4.82</v>
      </c>
      <c r="S130" s="3">
        <f t="shared" si="350"/>
        <v>4.82</v>
      </c>
      <c r="T130" s="4">
        <f t="shared" si="351"/>
        <v>4.82</v>
      </c>
      <c r="U130" s="3">
        <v>1.76</v>
      </c>
      <c r="V130" s="3">
        <f t="shared" si="352"/>
        <v>1.76</v>
      </c>
      <c r="W130" s="4">
        <f t="shared" si="353"/>
        <v>1.76</v>
      </c>
      <c r="X130" s="3">
        <v>2.2400000000000002</v>
      </c>
      <c r="Y130" s="3">
        <f t="shared" si="354"/>
        <v>2.2400000000000002</v>
      </c>
      <c r="Z130" s="21">
        <f t="shared" si="355"/>
        <v>2.2400000000000002</v>
      </c>
      <c r="BB130" s="20" t="s">
        <v>722</v>
      </c>
      <c r="BC130" s="3">
        <v>3.89</v>
      </c>
      <c r="BD130" s="3">
        <f t="shared" si="239"/>
        <v>3.89</v>
      </c>
      <c r="BE130" s="4">
        <f t="shared" si="240"/>
        <v>3.89</v>
      </c>
      <c r="BF130" s="3">
        <v>4.25</v>
      </c>
      <c r="BG130" s="3">
        <f t="shared" si="241"/>
        <v>4.25</v>
      </c>
      <c r="BH130" s="4">
        <f t="shared" si="242"/>
        <v>4.25</v>
      </c>
      <c r="BI130" s="3">
        <v>4.17</v>
      </c>
      <c r="BJ130" s="3">
        <f t="shared" si="243"/>
        <v>4.17</v>
      </c>
      <c r="BK130" s="4">
        <f t="shared" si="244"/>
        <v>4.17</v>
      </c>
      <c r="BL130" s="3">
        <v>4.28</v>
      </c>
      <c r="BM130" s="3">
        <f t="shared" si="245"/>
        <v>4.28</v>
      </c>
      <c r="BN130" s="4">
        <f t="shared" si="246"/>
        <v>4.28</v>
      </c>
      <c r="BO130" s="3">
        <v>3.63</v>
      </c>
      <c r="BP130" s="3">
        <f t="shared" si="247"/>
        <v>3.63</v>
      </c>
      <c r="BQ130" s="4">
        <f t="shared" si="248"/>
        <v>3.63</v>
      </c>
      <c r="BR130" s="3">
        <v>3.13</v>
      </c>
      <c r="BS130" s="3">
        <f t="shared" si="249"/>
        <v>3.13</v>
      </c>
      <c r="BT130" s="4">
        <f t="shared" si="250"/>
        <v>3.13</v>
      </c>
      <c r="BU130" s="3">
        <v>1.62</v>
      </c>
      <c r="BV130" s="3">
        <f t="shared" si="251"/>
        <v>1.62</v>
      </c>
      <c r="BW130" s="4">
        <f t="shared" si="252"/>
        <v>1.62</v>
      </c>
      <c r="BX130" s="3">
        <v>1.22</v>
      </c>
      <c r="BY130" s="3">
        <f t="shared" si="253"/>
        <v>1.22</v>
      </c>
      <c r="BZ130" s="21">
        <f t="shared" si="254"/>
        <v>1.22</v>
      </c>
      <c r="CB130" s="13" t="s">
        <v>544</v>
      </c>
      <c r="CC130" s="13"/>
      <c r="CD130" s="14"/>
      <c r="CE130" s="14">
        <f>(CE129/CE123)*100</f>
        <v>1.9324986390855441</v>
      </c>
      <c r="CF130" s="14"/>
      <c r="CG130" s="14"/>
      <c r="CH130" s="14">
        <f>(CH129/CH123)*100</f>
        <v>-0.22733089441915169</v>
      </c>
      <c r="CI130" s="14"/>
      <c r="CJ130" s="14"/>
      <c r="CK130" s="14">
        <f>(CK129/CK123)*100</f>
        <v>-3.4973586382312778</v>
      </c>
      <c r="CL130" s="14"/>
      <c r="CM130" s="14"/>
      <c r="CN130" s="14">
        <f>(CN129/CN123)*100</f>
        <v>4.8436138278299783</v>
      </c>
      <c r="CO130" s="14"/>
      <c r="CP130" s="14"/>
      <c r="CQ130" s="14">
        <f>(CQ129/CQ123)*100</f>
        <v>1.0111240525987042</v>
      </c>
      <c r="CR130" s="14"/>
      <c r="CS130" s="14"/>
      <c r="CT130" s="14">
        <f>(CT129/CT123)*100</f>
        <v>-1.4908365777229757</v>
      </c>
      <c r="CU130" s="14"/>
      <c r="CV130" s="14"/>
      <c r="CW130" s="14">
        <f>(CW129/CW123)*100</f>
        <v>0.95749531384571407</v>
      </c>
      <c r="CX130" s="14"/>
      <c r="CY130" s="14"/>
      <c r="CZ130" s="15">
        <f>(CZ129/CZ123)*100</f>
        <v>-9.0036990366245107</v>
      </c>
    </row>
    <row r="131" spans="2:104" ht="15.75" thickBot="1">
      <c r="B131" s="20" t="s">
        <v>723</v>
      </c>
      <c r="C131" s="3">
        <v>1.21</v>
      </c>
      <c r="D131" s="3">
        <f t="shared" si="340"/>
        <v>1.21</v>
      </c>
      <c r="E131" s="4" t="str">
        <f t="shared" si="341"/>
        <v/>
      </c>
      <c r="F131" s="3">
        <v>4.3600000000000003</v>
      </c>
      <c r="G131" s="3">
        <f t="shared" si="342"/>
        <v>4.3600000000000003</v>
      </c>
      <c r="H131" s="4">
        <f t="shared" si="343"/>
        <v>4.3600000000000003</v>
      </c>
      <c r="I131" s="3">
        <v>5.29</v>
      </c>
      <c r="J131" s="3">
        <f t="shared" si="344"/>
        <v>5.29</v>
      </c>
      <c r="K131" s="4">
        <f t="shared" si="345"/>
        <v>5.29</v>
      </c>
      <c r="L131" s="3">
        <v>5.61</v>
      </c>
      <c r="M131" s="3">
        <f t="shared" si="346"/>
        <v>5.61</v>
      </c>
      <c r="N131" s="4">
        <f t="shared" si="347"/>
        <v>5.61</v>
      </c>
      <c r="O131" s="3">
        <v>2.4900000000000002</v>
      </c>
      <c r="P131" s="3">
        <f t="shared" si="348"/>
        <v>2.4900000000000002</v>
      </c>
      <c r="Q131" s="4" t="str">
        <f t="shared" si="349"/>
        <v/>
      </c>
      <c r="R131" s="3">
        <v>4.83</v>
      </c>
      <c r="S131" s="3">
        <f t="shared" si="350"/>
        <v>4.83</v>
      </c>
      <c r="T131" s="4">
        <f t="shared" si="351"/>
        <v>4.83</v>
      </c>
      <c r="U131" s="3">
        <v>1.74</v>
      </c>
      <c r="V131" s="3">
        <f t="shared" si="352"/>
        <v>1.74</v>
      </c>
      <c r="W131" s="4">
        <f t="shared" si="353"/>
        <v>1.74</v>
      </c>
      <c r="X131" s="3">
        <v>1.57</v>
      </c>
      <c r="Y131" s="3">
        <f t="shared" si="354"/>
        <v>1.57</v>
      </c>
      <c r="Z131" s="21" t="str">
        <f t="shared" si="355"/>
        <v/>
      </c>
      <c r="BB131" s="20" t="s">
        <v>724</v>
      </c>
      <c r="BC131" s="3">
        <v>3.92</v>
      </c>
      <c r="BD131" s="3">
        <f t="shared" si="239"/>
        <v>3.92</v>
      </c>
      <c r="BE131" s="4">
        <f t="shared" si="240"/>
        <v>3.92</v>
      </c>
      <c r="BF131" s="3">
        <v>4.28</v>
      </c>
      <c r="BG131" s="3">
        <f t="shared" si="241"/>
        <v>4.28</v>
      </c>
      <c r="BH131" s="4">
        <f t="shared" si="242"/>
        <v>4.28</v>
      </c>
      <c r="BI131" s="3">
        <v>4.21</v>
      </c>
      <c r="BJ131" s="3">
        <f t="shared" si="243"/>
        <v>4.21</v>
      </c>
      <c r="BK131" s="4">
        <f t="shared" si="244"/>
        <v>4.21</v>
      </c>
      <c r="BL131" s="3">
        <v>4.29</v>
      </c>
      <c r="BM131" s="3">
        <f t="shared" si="245"/>
        <v>4.29</v>
      </c>
      <c r="BN131" s="4">
        <f t="shared" si="246"/>
        <v>4.29</v>
      </c>
      <c r="BO131" s="3">
        <v>3.58</v>
      </c>
      <c r="BP131" s="3">
        <f t="shared" si="247"/>
        <v>3.58</v>
      </c>
      <c r="BQ131" s="4">
        <f t="shared" si="248"/>
        <v>3.58</v>
      </c>
      <c r="BR131" s="3">
        <v>3.15</v>
      </c>
      <c r="BS131" s="3">
        <f t="shared" si="249"/>
        <v>3.15</v>
      </c>
      <c r="BT131" s="4">
        <f t="shared" si="250"/>
        <v>3.15</v>
      </c>
      <c r="BU131" s="3">
        <v>1.61</v>
      </c>
      <c r="BV131" s="3">
        <f t="shared" si="251"/>
        <v>1.61</v>
      </c>
      <c r="BW131" s="4">
        <f t="shared" si="252"/>
        <v>1.61</v>
      </c>
      <c r="BX131" s="3">
        <v>1.29</v>
      </c>
      <c r="BY131" s="3">
        <f t="shared" si="253"/>
        <v>1.29</v>
      </c>
      <c r="BZ131" s="21">
        <f t="shared" si="254"/>
        <v>1.29</v>
      </c>
    </row>
    <row r="132" spans="2:104" ht="30">
      <c r="B132" s="20" t="s">
        <v>725</v>
      </c>
      <c r="C132" s="3">
        <v>2.99</v>
      </c>
      <c r="D132" s="3">
        <f t="shared" ref="D132:D195" si="366">IF(AND(C132 &lt; 99.99, C132 &gt; 0), C132, "")</f>
        <v>2.99</v>
      </c>
      <c r="E132" s="4">
        <f t="shared" ref="E132:E195" si="367">IF(AND(D132 &lt;= $D$214, D132 &gt;= $D$215), D132, "")</f>
        <v>2.99</v>
      </c>
      <c r="F132" s="3">
        <v>4.42</v>
      </c>
      <c r="G132" s="3">
        <f t="shared" ref="G132:G195" si="368">IF(AND(F132 &lt; 99.99, F132 &gt; 0), F132, "")</f>
        <v>4.42</v>
      </c>
      <c r="H132" s="4">
        <f t="shared" ref="H132:H195" si="369">IF(AND(G132 &lt;= G$214, G132 &gt;= G$215), G132, "")</f>
        <v>4.42</v>
      </c>
      <c r="I132" s="3">
        <v>5.34</v>
      </c>
      <c r="J132" s="3">
        <f t="shared" ref="J132:J195" si="370">IF(AND(I132 &lt; 99.99, I132 &gt; 0), I132, "")</f>
        <v>5.34</v>
      </c>
      <c r="K132" s="4">
        <f t="shared" ref="K132:K195" si="371">IF(AND(J132 &lt;= J$214, J132 &gt;= J$215), J132, "")</f>
        <v>5.34</v>
      </c>
      <c r="L132" s="3">
        <v>5.64</v>
      </c>
      <c r="M132" s="3">
        <f t="shared" ref="M132:M195" si="372">IF(AND(L132 &lt; 99.99, L132 &gt; 0), L132, "")</f>
        <v>5.64</v>
      </c>
      <c r="N132" s="4">
        <f t="shared" ref="N132:N195" si="373">IF(AND(M132 &lt;= M$214, M132 &gt;= M$215), M132, "")</f>
        <v>5.64</v>
      </c>
      <c r="O132" s="3">
        <v>3.09</v>
      </c>
      <c r="P132" s="3">
        <f t="shared" ref="P132:P195" si="374">IF(AND(O132 &lt; 99.99, O132 &gt; 0), O132, "")</f>
        <v>3.09</v>
      </c>
      <c r="Q132" s="4" t="str">
        <f t="shared" ref="Q132:Q195" si="375">IF(AND(P132 &lt;= P$214, P132 &gt;= P$215), P132, "")</f>
        <v/>
      </c>
      <c r="R132" s="3">
        <v>4.8</v>
      </c>
      <c r="S132" s="3">
        <f t="shared" ref="S132:S195" si="376">IF(AND(R132 &lt; 99.99, R132 &gt; 0), R132, "")</f>
        <v>4.8</v>
      </c>
      <c r="T132" s="4">
        <f t="shared" ref="T132:T195" si="377">IF(AND(S132 &lt;= S$214, S132 &gt;= S$215), S132, "")</f>
        <v>4.8</v>
      </c>
      <c r="U132" s="3">
        <v>1.75</v>
      </c>
      <c r="V132" s="3">
        <f t="shared" ref="V132:V195" si="378">IF(AND(U132 &lt; 99.99, U132 &gt; 0), U132, "")</f>
        <v>1.75</v>
      </c>
      <c r="W132" s="4">
        <f t="shared" ref="W132:W195" si="379">IF(AND(V132 &lt;= V$214, V132 &gt;= V$215), V132, "")</f>
        <v>1.75</v>
      </c>
      <c r="X132" s="3">
        <v>2.2999999999999998</v>
      </c>
      <c r="Y132" s="3">
        <f t="shared" ref="Y132:Y195" si="380">IF(AND(X132 &lt; 99.99, X132 &gt; 0), X132, "")</f>
        <v>2.2999999999999998</v>
      </c>
      <c r="Z132" s="21">
        <f t="shared" ref="Z132:Z195" si="381">IF(AND(Y132 &lt;= Y$214, Y132 &gt;= Y$215), Y132, "")</f>
        <v>2.2999999999999998</v>
      </c>
      <c r="BB132" s="20" t="s">
        <v>726</v>
      </c>
      <c r="BC132" s="3">
        <v>3.92</v>
      </c>
      <c r="BD132" s="3">
        <f t="shared" ref="BD132:BD195" si="382">IF(AND(BC132 &lt; 99.99, BC132 &gt; 0), BC132, "")</f>
        <v>3.92</v>
      </c>
      <c r="BE132" s="4">
        <f t="shared" ref="BE132:BE195" si="383">IF(AND(BD132 &lt;= BD$260, BD132 &gt;= BD$261), BD132, "")</f>
        <v>3.92</v>
      </c>
      <c r="BF132" s="3">
        <v>3.75</v>
      </c>
      <c r="BG132" s="3">
        <f t="shared" ref="BG132:BG195" si="384">IF(AND(BF132 &lt; 99.99, BF132 &gt; 0), BF132, "")</f>
        <v>3.75</v>
      </c>
      <c r="BH132" s="4">
        <f t="shared" ref="BH132:BH195" si="385">IF(AND(BG132 &lt;= BG$260, BG132 &gt;= BG$261), BG132, "")</f>
        <v>3.75</v>
      </c>
      <c r="BI132" s="3">
        <v>4.17</v>
      </c>
      <c r="BJ132" s="3">
        <f t="shared" ref="BJ132:BJ195" si="386">IF(AND(BI132 &lt; 99.99, BI132 &gt; 0), BI132, "")</f>
        <v>4.17</v>
      </c>
      <c r="BK132" s="4">
        <f t="shared" ref="BK132:BK195" si="387">IF(AND(BJ132 &lt;= BJ$260, BJ132 &gt;= BJ$261), BJ132, "")</f>
        <v>4.17</v>
      </c>
      <c r="BL132" s="3">
        <v>4.28</v>
      </c>
      <c r="BM132" s="3">
        <f t="shared" ref="BM132:BM195" si="388">IF(AND(BL132 &lt; 99.99, BL132 &gt; 0), BL132, "")</f>
        <v>4.28</v>
      </c>
      <c r="BN132" s="4">
        <f t="shared" ref="BN132:BN195" si="389">IF(AND(BM132 &lt;= BM$260, BM132 &gt;= BM$261), BM132, "")</f>
        <v>4.28</v>
      </c>
      <c r="BO132" s="3">
        <v>3.59</v>
      </c>
      <c r="BP132" s="3">
        <f t="shared" ref="BP132:BP195" si="390">IF(AND(BO132 &lt; 99.99, BO132 &gt; 0), BO132, "")</f>
        <v>3.59</v>
      </c>
      <c r="BQ132" s="4">
        <f t="shared" ref="BQ132:BQ195" si="391">IF(AND(BP132 &lt;= BP$260, BP132 &gt;= BP$261), BP132, "")</f>
        <v>3.59</v>
      </c>
      <c r="BR132" s="3">
        <v>1.18</v>
      </c>
      <c r="BS132" s="3">
        <f t="shared" ref="BS132:BS195" si="392">IF(AND(BR132 &lt; 99.99, BR132 &gt; 0), BR132, "")</f>
        <v>1.18</v>
      </c>
      <c r="BT132" s="4" t="str">
        <f t="shared" ref="BT132:BT195" si="393">IF(AND(BS132 &lt;= BS$260, BS132 &gt;= BS$261), BS132, "")</f>
        <v/>
      </c>
      <c r="BU132" s="3">
        <v>1.62</v>
      </c>
      <c r="BV132" s="3">
        <f t="shared" ref="BV132:BV195" si="394">IF(AND(BU132 &lt; 99.99, BU132 &gt; 0), BU132, "")</f>
        <v>1.62</v>
      </c>
      <c r="BW132" s="4">
        <f t="shared" ref="BW132:BW195" si="395">IF(AND(BV132 &lt;= BV$260, BV132 &gt;= BV$261), BV132, "")</f>
        <v>1.62</v>
      </c>
      <c r="BX132" s="3">
        <v>1.22</v>
      </c>
      <c r="BY132" s="3">
        <f t="shared" ref="BY132:BY195" si="396">IF(AND(BX132 &lt; 99.99, BX132 &gt; 0), BX132, "")</f>
        <v>1.22</v>
      </c>
      <c r="BZ132" s="21">
        <f t="shared" ref="BZ132:BZ195" si="397">IF(AND(BY132 &lt;= BY$260, BY132 &gt;= BY$261), BY132, "")</f>
        <v>1.22</v>
      </c>
      <c r="CB132" s="81" t="s">
        <v>553</v>
      </c>
      <c r="CC132" s="7"/>
      <c r="CD132" s="8"/>
      <c r="CE132" s="8">
        <v>4.1399999999999997</v>
      </c>
      <c r="CF132" s="8"/>
      <c r="CG132" s="8"/>
      <c r="CH132" s="8">
        <v>6.08</v>
      </c>
      <c r="CI132" s="8"/>
      <c r="CJ132" s="8"/>
      <c r="CK132" s="8">
        <v>3.66</v>
      </c>
      <c r="CL132" s="8"/>
      <c r="CM132" s="8"/>
      <c r="CN132" s="8">
        <v>5.32</v>
      </c>
      <c r="CO132" s="8"/>
      <c r="CP132" s="8"/>
      <c r="CQ132" s="8">
        <v>5.44</v>
      </c>
      <c r="CR132" s="8"/>
      <c r="CS132" s="8"/>
      <c r="CT132" s="8">
        <v>1.83</v>
      </c>
      <c r="CU132" s="8"/>
      <c r="CV132" s="8"/>
      <c r="CW132" s="8">
        <v>3.76</v>
      </c>
      <c r="CX132" s="8"/>
      <c r="CY132" s="8"/>
      <c r="CZ132" s="9">
        <v>2.91</v>
      </c>
    </row>
    <row r="133" spans="2:104">
      <c r="B133" s="20" t="s">
        <v>727</v>
      </c>
      <c r="C133" s="3">
        <v>3.02</v>
      </c>
      <c r="D133" s="3">
        <f t="shared" si="366"/>
        <v>3.02</v>
      </c>
      <c r="E133" s="4">
        <f t="shared" si="367"/>
        <v>3.02</v>
      </c>
      <c r="F133" s="3">
        <v>4.3499999999999996</v>
      </c>
      <c r="G133" s="3">
        <f t="shared" si="368"/>
        <v>4.3499999999999996</v>
      </c>
      <c r="H133" s="4">
        <f t="shared" si="369"/>
        <v>4.3499999999999996</v>
      </c>
      <c r="I133" s="3">
        <v>5.3</v>
      </c>
      <c r="J133" s="3">
        <f t="shared" si="370"/>
        <v>5.3</v>
      </c>
      <c r="K133" s="4">
        <f t="shared" si="371"/>
        <v>5.3</v>
      </c>
      <c r="L133" s="3">
        <v>5.62</v>
      </c>
      <c r="M133" s="3">
        <f t="shared" si="372"/>
        <v>5.62</v>
      </c>
      <c r="N133" s="4">
        <f t="shared" si="373"/>
        <v>5.62</v>
      </c>
      <c r="O133" s="3">
        <v>4.33</v>
      </c>
      <c r="P133" s="3">
        <f t="shared" si="374"/>
        <v>4.33</v>
      </c>
      <c r="Q133" s="4">
        <f t="shared" si="375"/>
        <v>4.33</v>
      </c>
      <c r="R133" s="3">
        <v>4.79</v>
      </c>
      <c r="S133" s="3">
        <f t="shared" si="376"/>
        <v>4.79</v>
      </c>
      <c r="T133" s="4">
        <f t="shared" si="377"/>
        <v>4.79</v>
      </c>
      <c r="U133" s="3">
        <v>1.73</v>
      </c>
      <c r="V133" s="3">
        <f t="shared" si="378"/>
        <v>1.73</v>
      </c>
      <c r="W133" s="4">
        <f t="shared" si="379"/>
        <v>1.73</v>
      </c>
      <c r="X133" s="3">
        <v>0.69</v>
      </c>
      <c r="Y133" s="3">
        <f t="shared" si="380"/>
        <v>0.69</v>
      </c>
      <c r="Z133" s="21" t="str">
        <f t="shared" si="381"/>
        <v/>
      </c>
      <c r="BB133" s="20" t="s">
        <v>728</v>
      </c>
      <c r="BC133" s="3">
        <v>3.91</v>
      </c>
      <c r="BD133" s="3">
        <f t="shared" si="382"/>
        <v>3.91</v>
      </c>
      <c r="BE133" s="4">
        <f t="shared" si="383"/>
        <v>3.91</v>
      </c>
      <c r="BF133" s="3">
        <v>4.28</v>
      </c>
      <c r="BG133" s="3">
        <f t="shared" si="384"/>
        <v>4.28</v>
      </c>
      <c r="BH133" s="4">
        <f t="shared" si="385"/>
        <v>4.28</v>
      </c>
      <c r="BI133" s="3">
        <v>4.16</v>
      </c>
      <c r="BJ133" s="3">
        <f t="shared" si="386"/>
        <v>4.16</v>
      </c>
      <c r="BK133" s="4">
        <f t="shared" si="387"/>
        <v>4.16</v>
      </c>
      <c r="BL133" s="3">
        <v>4.32</v>
      </c>
      <c r="BM133" s="3">
        <f t="shared" si="388"/>
        <v>4.32</v>
      </c>
      <c r="BN133" s="4">
        <f t="shared" si="389"/>
        <v>4.32</v>
      </c>
      <c r="BO133" s="3">
        <v>0.18</v>
      </c>
      <c r="BP133" s="3">
        <f t="shared" si="390"/>
        <v>0.18</v>
      </c>
      <c r="BQ133" s="4" t="str">
        <f t="shared" si="391"/>
        <v/>
      </c>
      <c r="BR133" s="3">
        <v>3.14</v>
      </c>
      <c r="BS133" s="3">
        <f t="shared" si="392"/>
        <v>3.14</v>
      </c>
      <c r="BT133" s="4">
        <f t="shared" si="393"/>
        <v>3.14</v>
      </c>
      <c r="BU133" s="3">
        <v>1.67</v>
      </c>
      <c r="BV133" s="3">
        <f t="shared" si="394"/>
        <v>1.67</v>
      </c>
      <c r="BW133" s="4">
        <f t="shared" si="395"/>
        <v>1.67</v>
      </c>
      <c r="BX133" s="3">
        <v>1.22</v>
      </c>
      <c r="BY133" s="3">
        <f t="shared" si="396"/>
        <v>1.22</v>
      </c>
      <c r="BZ133" s="21">
        <f t="shared" si="397"/>
        <v>1.22</v>
      </c>
      <c r="CB133" s="10" t="s">
        <v>539</v>
      </c>
      <c r="CC133" s="10"/>
      <c r="CD133" s="11"/>
      <c r="CE133" s="11">
        <f>CE132-CE123</f>
        <v>1.9626168224301743E-2</v>
      </c>
      <c r="CF133" s="11"/>
      <c r="CG133" s="11"/>
      <c r="CH133" s="11">
        <f t="shared" ref="CH133" si="398">CH132-CH123</f>
        <v>-1.3853211009177357E-2</v>
      </c>
      <c r="CI133" s="11"/>
      <c r="CJ133" s="11"/>
      <c r="CK133" s="11">
        <f t="shared" ref="CK133" si="399">CK132-CK123</f>
        <v>-9.1192660550459159E-2</v>
      </c>
      <c r="CL133" s="11"/>
      <c r="CM133" s="11"/>
      <c r="CN133" s="11">
        <f t="shared" ref="CN133" si="400">CN132-CN123</f>
        <v>0.20762376237623847</v>
      </c>
      <c r="CO133" s="11"/>
      <c r="CP133" s="11"/>
      <c r="CQ133" s="11">
        <f t="shared" ref="CQ133" si="401">CQ132-CQ123</f>
        <v>5.4454545454545311E-2</v>
      </c>
      <c r="CR133" s="11"/>
      <c r="CS133" s="11"/>
      <c r="CT133" s="11">
        <f t="shared" ref="CT133" si="402">CT132-CT123</f>
        <v>-1.7543859649123972E-2</v>
      </c>
      <c r="CU133" s="11"/>
      <c r="CV133" s="11"/>
      <c r="CW133" s="11">
        <f t="shared" ref="CW133" si="403">CW132-CW123</f>
        <v>3.5660377358491591E-2</v>
      </c>
      <c r="CX133" s="11"/>
      <c r="CY133" s="11"/>
      <c r="CZ133" s="12">
        <f t="shared" ref="CZ133" si="404">CZ132-CZ123</f>
        <v>-0.24397435897435837</v>
      </c>
    </row>
    <row r="134" spans="2:104" ht="15.75" thickBot="1">
      <c r="B134" s="20" t="s">
        <v>729</v>
      </c>
      <c r="C134" s="3">
        <v>3.02</v>
      </c>
      <c r="D134" s="3">
        <f t="shared" si="366"/>
        <v>3.02</v>
      </c>
      <c r="E134" s="4">
        <f t="shared" si="367"/>
        <v>3.02</v>
      </c>
      <c r="F134" s="3">
        <v>4.3899999999999997</v>
      </c>
      <c r="G134" s="3">
        <f t="shared" si="368"/>
        <v>4.3899999999999997</v>
      </c>
      <c r="H134" s="4">
        <f t="shared" si="369"/>
        <v>4.3899999999999997</v>
      </c>
      <c r="I134" s="3">
        <v>2.5</v>
      </c>
      <c r="J134" s="3">
        <f t="shared" si="370"/>
        <v>2.5</v>
      </c>
      <c r="K134" s="4" t="str">
        <f t="shared" si="371"/>
        <v/>
      </c>
      <c r="L134" s="3">
        <v>5.63</v>
      </c>
      <c r="M134" s="3">
        <f t="shared" si="372"/>
        <v>5.63</v>
      </c>
      <c r="N134" s="4">
        <f t="shared" si="373"/>
        <v>5.63</v>
      </c>
      <c r="O134" s="3">
        <v>4.3600000000000003</v>
      </c>
      <c r="P134" s="3">
        <f t="shared" si="374"/>
        <v>4.3600000000000003</v>
      </c>
      <c r="Q134" s="4">
        <f t="shared" si="375"/>
        <v>4.3600000000000003</v>
      </c>
      <c r="R134" s="3">
        <v>4.8499999999999996</v>
      </c>
      <c r="S134" s="3">
        <f t="shared" si="376"/>
        <v>4.8499999999999996</v>
      </c>
      <c r="T134" s="4">
        <f t="shared" si="377"/>
        <v>4.8499999999999996</v>
      </c>
      <c r="U134" s="3">
        <v>1.77</v>
      </c>
      <c r="V134" s="3">
        <f t="shared" si="378"/>
        <v>1.77</v>
      </c>
      <c r="W134" s="4">
        <f t="shared" si="379"/>
        <v>1.77</v>
      </c>
      <c r="X134" s="3">
        <v>2.2400000000000002</v>
      </c>
      <c r="Y134" s="3">
        <f t="shared" si="380"/>
        <v>2.2400000000000002</v>
      </c>
      <c r="Z134" s="21">
        <f t="shared" si="381"/>
        <v>2.2400000000000002</v>
      </c>
      <c r="BB134" s="20" t="s">
        <v>730</v>
      </c>
      <c r="BC134" s="3">
        <v>3.91</v>
      </c>
      <c r="BD134" s="3">
        <f t="shared" si="382"/>
        <v>3.91</v>
      </c>
      <c r="BE134" s="4">
        <f t="shared" si="383"/>
        <v>3.91</v>
      </c>
      <c r="BF134" s="3">
        <v>4.29</v>
      </c>
      <c r="BG134" s="3">
        <f t="shared" si="384"/>
        <v>4.29</v>
      </c>
      <c r="BH134" s="4">
        <f t="shared" si="385"/>
        <v>4.29</v>
      </c>
      <c r="BI134" s="3">
        <v>4.1399999999999997</v>
      </c>
      <c r="BJ134" s="3">
        <f t="shared" si="386"/>
        <v>4.1399999999999997</v>
      </c>
      <c r="BK134" s="4">
        <f t="shared" si="387"/>
        <v>4.1399999999999997</v>
      </c>
      <c r="BL134" s="3">
        <v>4.32</v>
      </c>
      <c r="BM134" s="3">
        <f t="shared" si="388"/>
        <v>4.32</v>
      </c>
      <c r="BN134" s="4">
        <f t="shared" si="389"/>
        <v>4.32</v>
      </c>
      <c r="BO134" s="3">
        <v>3.6</v>
      </c>
      <c r="BP134" s="3">
        <f t="shared" si="390"/>
        <v>3.6</v>
      </c>
      <c r="BQ134" s="4">
        <f t="shared" si="391"/>
        <v>3.6</v>
      </c>
      <c r="BR134" s="3">
        <v>3.15</v>
      </c>
      <c r="BS134" s="3">
        <f t="shared" si="392"/>
        <v>3.15</v>
      </c>
      <c r="BT134" s="4">
        <f t="shared" si="393"/>
        <v>3.15</v>
      </c>
      <c r="BU134" s="3">
        <v>1.62</v>
      </c>
      <c r="BV134" s="3">
        <f t="shared" si="394"/>
        <v>1.62</v>
      </c>
      <c r="BW134" s="4">
        <f t="shared" si="395"/>
        <v>1.62</v>
      </c>
      <c r="BX134" s="3">
        <v>1.21</v>
      </c>
      <c r="BY134" s="3">
        <f t="shared" si="396"/>
        <v>1.21</v>
      </c>
      <c r="BZ134" s="21">
        <f t="shared" si="397"/>
        <v>1.21</v>
      </c>
      <c r="CB134" s="13" t="s">
        <v>544</v>
      </c>
      <c r="CC134" s="13"/>
      <c r="CD134" s="14"/>
      <c r="CE134" s="14">
        <f>(CE133/CE123)*100</f>
        <v>0.47632008709859558</v>
      </c>
      <c r="CF134" s="14"/>
      <c r="CG134" s="14"/>
      <c r="CH134" s="14">
        <f>(CH133/CH123)*100</f>
        <v>-0.22733089441915169</v>
      </c>
      <c r="CI134" s="14"/>
      <c r="CJ134" s="14"/>
      <c r="CK134" s="14">
        <f>(CK133/CK123)*100</f>
        <v>-2.4310311093719545</v>
      </c>
      <c r="CL134" s="14"/>
      <c r="CM134" s="14"/>
      <c r="CN134" s="14">
        <f>(CN133/CN123)*100</f>
        <v>4.0611987992640817</v>
      </c>
      <c r="CO134" s="14"/>
      <c r="CP134" s="14"/>
      <c r="CQ134" s="14">
        <f>(CQ133/CQ123)*100</f>
        <v>1.0111240525987042</v>
      </c>
      <c r="CR134" s="14"/>
      <c r="CS134" s="14"/>
      <c r="CT134" s="14">
        <f>(CT133/CT123)*100</f>
        <v>-0.94957743804013461</v>
      </c>
      <c r="CU134" s="14"/>
      <c r="CV134" s="14"/>
      <c r="CW134" s="14">
        <f t="shared" ref="CW134" si="405">(CW133/CW123)*100</f>
        <v>0.95749531384571407</v>
      </c>
      <c r="CX134" s="14"/>
      <c r="CY134" s="14"/>
      <c r="CZ134" s="15">
        <f>(CZ133/CZ123)*100</f>
        <v>-7.7354579082150963</v>
      </c>
    </row>
    <row r="135" spans="2:104" ht="15.75" thickBot="1">
      <c r="B135" s="20" t="s">
        <v>731</v>
      </c>
      <c r="C135" s="3">
        <v>3.05</v>
      </c>
      <c r="D135" s="3">
        <f t="shared" si="366"/>
        <v>3.05</v>
      </c>
      <c r="E135" s="4">
        <f t="shared" si="367"/>
        <v>3.05</v>
      </c>
      <c r="F135" s="3">
        <v>4.37</v>
      </c>
      <c r="G135" s="3">
        <f t="shared" si="368"/>
        <v>4.37</v>
      </c>
      <c r="H135" s="4">
        <f t="shared" si="369"/>
        <v>4.37</v>
      </c>
      <c r="I135" s="3">
        <v>5.27</v>
      </c>
      <c r="J135" s="3">
        <f t="shared" si="370"/>
        <v>5.27</v>
      </c>
      <c r="K135" s="4">
        <f t="shared" si="371"/>
        <v>5.27</v>
      </c>
      <c r="L135" s="3">
        <v>5.69</v>
      </c>
      <c r="M135" s="3">
        <f t="shared" si="372"/>
        <v>5.69</v>
      </c>
      <c r="N135" s="4">
        <f t="shared" si="373"/>
        <v>5.69</v>
      </c>
      <c r="O135" s="3">
        <v>3.13</v>
      </c>
      <c r="P135" s="3">
        <f t="shared" si="374"/>
        <v>3.13</v>
      </c>
      <c r="Q135" s="4" t="str">
        <f t="shared" si="375"/>
        <v/>
      </c>
      <c r="R135" s="3">
        <v>4.8099999999999996</v>
      </c>
      <c r="S135" s="3">
        <f t="shared" si="376"/>
        <v>4.8099999999999996</v>
      </c>
      <c r="T135" s="4">
        <f t="shared" si="377"/>
        <v>4.8099999999999996</v>
      </c>
      <c r="U135" s="3">
        <v>1.77</v>
      </c>
      <c r="V135" s="3">
        <f t="shared" si="378"/>
        <v>1.77</v>
      </c>
      <c r="W135" s="4">
        <f t="shared" si="379"/>
        <v>1.77</v>
      </c>
      <c r="X135" s="3">
        <v>2.25</v>
      </c>
      <c r="Y135" s="3">
        <f t="shared" si="380"/>
        <v>2.25</v>
      </c>
      <c r="Z135" s="21">
        <f t="shared" si="381"/>
        <v>2.25</v>
      </c>
      <c r="BB135" s="20" t="s">
        <v>732</v>
      </c>
      <c r="BC135" s="3">
        <v>2.61</v>
      </c>
      <c r="BD135" s="3">
        <f t="shared" si="382"/>
        <v>2.61</v>
      </c>
      <c r="BE135" s="4" t="str">
        <f t="shared" si="383"/>
        <v/>
      </c>
      <c r="BF135" s="3">
        <v>4.2699999999999996</v>
      </c>
      <c r="BG135" s="3">
        <f t="shared" si="384"/>
        <v>4.2699999999999996</v>
      </c>
      <c r="BH135" s="4">
        <f t="shared" si="385"/>
        <v>4.2699999999999996</v>
      </c>
      <c r="BI135" s="3">
        <v>4.1100000000000003</v>
      </c>
      <c r="BJ135" s="3">
        <f t="shared" si="386"/>
        <v>4.1100000000000003</v>
      </c>
      <c r="BK135" s="4">
        <f t="shared" si="387"/>
        <v>4.1100000000000003</v>
      </c>
      <c r="BL135" s="3">
        <v>4.29</v>
      </c>
      <c r="BM135" s="3">
        <f t="shared" si="388"/>
        <v>4.29</v>
      </c>
      <c r="BN135" s="4">
        <f t="shared" si="389"/>
        <v>4.29</v>
      </c>
      <c r="BO135" s="3">
        <v>3.63</v>
      </c>
      <c r="BP135" s="3">
        <f t="shared" si="390"/>
        <v>3.63</v>
      </c>
      <c r="BQ135" s="4">
        <f t="shared" si="391"/>
        <v>3.63</v>
      </c>
      <c r="BR135" s="3">
        <v>3.13</v>
      </c>
      <c r="BS135" s="3">
        <f t="shared" si="392"/>
        <v>3.13</v>
      </c>
      <c r="BT135" s="4">
        <f t="shared" si="393"/>
        <v>3.13</v>
      </c>
      <c r="BU135" s="3">
        <v>1.65</v>
      </c>
      <c r="BV135" s="3">
        <f t="shared" si="394"/>
        <v>1.65</v>
      </c>
      <c r="BW135" s="4">
        <f t="shared" si="395"/>
        <v>1.65</v>
      </c>
      <c r="BX135" s="3">
        <v>1.24</v>
      </c>
      <c r="BY135" s="3">
        <f t="shared" si="396"/>
        <v>1.24</v>
      </c>
      <c r="BZ135" s="21">
        <f t="shared" si="397"/>
        <v>1.24</v>
      </c>
      <c r="CB135" s="11"/>
    </row>
    <row r="136" spans="2:104" ht="30">
      <c r="B136" s="20" t="s">
        <v>733</v>
      </c>
      <c r="C136" s="3">
        <v>3.03</v>
      </c>
      <c r="D136" s="3">
        <f t="shared" si="366"/>
        <v>3.03</v>
      </c>
      <c r="E136" s="4">
        <f t="shared" si="367"/>
        <v>3.03</v>
      </c>
      <c r="F136" s="3">
        <v>4.3899999999999997</v>
      </c>
      <c r="G136" s="3">
        <f t="shared" si="368"/>
        <v>4.3899999999999997</v>
      </c>
      <c r="H136" s="4">
        <f t="shared" si="369"/>
        <v>4.3899999999999997</v>
      </c>
      <c r="I136" s="3">
        <v>5.34</v>
      </c>
      <c r="J136" s="3">
        <f t="shared" si="370"/>
        <v>5.34</v>
      </c>
      <c r="K136" s="4">
        <f t="shared" si="371"/>
        <v>5.34</v>
      </c>
      <c r="L136" s="3">
        <v>5.62</v>
      </c>
      <c r="M136" s="3">
        <f t="shared" si="372"/>
        <v>5.62</v>
      </c>
      <c r="N136" s="4">
        <f t="shared" si="373"/>
        <v>5.62</v>
      </c>
      <c r="O136" s="3">
        <v>4.34</v>
      </c>
      <c r="P136" s="3">
        <f t="shared" si="374"/>
        <v>4.34</v>
      </c>
      <c r="Q136" s="4">
        <f t="shared" si="375"/>
        <v>4.34</v>
      </c>
      <c r="R136" s="3">
        <v>4.83</v>
      </c>
      <c r="S136" s="3">
        <f t="shared" si="376"/>
        <v>4.83</v>
      </c>
      <c r="T136" s="4">
        <f t="shared" si="377"/>
        <v>4.83</v>
      </c>
      <c r="U136" s="3">
        <v>1.71</v>
      </c>
      <c r="V136" s="3">
        <f t="shared" si="378"/>
        <v>1.71</v>
      </c>
      <c r="W136" s="4">
        <f t="shared" si="379"/>
        <v>1.71</v>
      </c>
      <c r="X136" s="3">
        <v>2.1800000000000002</v>
      </c>
      <c r="Y136" s="3">
        <f t="shared" si="380"/>
        <v>2.1800000000000002</v>
      </c>
      <c r="Z136" s="21">
        <f t="shared" si="381"/>
        <v>2.1800000000000002</v>
      </c>
      <c r="BB136" s="20" t="s">
        <v>734</v>
      </c>
      <c r="BC136" s="3">
        <v>3.89</v>
      </c>
      <c r="BD136" s="3">
        <f t="shared" si="382"/>
        <v>3.89</v>
      </c>
      <c r="BE136" s="4">
        <f t="shared" si="383"/>
        <v>3.89</v>
      </c>
      <c r="BF136" s="3">
        <v>4.28</v>
      </c>
      <c r="BG136" s="3">
        <f t="shared" si="384"/>
        <v>4.28</v>
      </c>
      <c r="BH136" s="4">
        <f t="shared" si="385"/>
        <v>4.28</v>
      </c>
      <c r="BI136" s="3">
        <v>4.1500000000000004</v>
      </c>
      <c r="BJ136" s="3">
        <f t="shared" si="386"/>
        <v>4.1500000000000004</v>
      </c>
      <c r="BK136" s="4">
        <f t="shared" si="387"/>
        <v>4.1500000000000004</v>
      </c>
      <c r="BL136" s="3">
        <v>4.3099999999999996</v>
      </c>
      <c r="BM136" s="3">
        <f t="shared" si="388"/>
        <v>4.3099999999999996</v>
      </c>
      <c r="BN136" s="4">
        <f t="shared" si="389"/>
        <v>4.3099999999999996</v>
      </c>
      <c r="BO136" s="3">
        <v>3.63</v>
      </c>
      <c r="BP136" s="3">
        <f t="shared" si="390"/>
        <v>3.63</v>
      </c>
      <c r="BQ136" s="4">
        <f t="shared" si="391"/>
        <v>3.63</v>
      </c>
      <c r="BR136" s="3">
        <v>0.44</v>
      </c>
      <c r="BS136" s="3">
        <f t="shared" si="392"/>
        <v>0.44</v>
      </c>
      <c r="BT136" s="4" t="str">
        <f t="shared" si="393"/>
        <v/>
      </c>
      <c r="BU136" s="3">
        <v>1.62</v>
      </c>
      <c r="BV136" s="3">
        <f t="shared" si="394"/>
        <v>1.62</v>
      </c>
      <c r="BW136" s="4">
        <f t="shared" si="395"/>
        <v>1.62</v>
      </c>
      <c r="BX136" s="3">
        <v>1.21</v>
      </c>
      <c r="BY136" s="3">
        <f t="shared" si="396"/>
        <v>1.21</v>
      </c>
      <c r="BZ136" s="21">
        <f t="shared" si="397"/>
        <v>1.21</v>
      </c>
      <c r="CB136" s="81" t="s">
        <v>568</v>
      </c>
      <c r="CC136" s="7"/>
      <c r="CD136" s="8"/>
      <c r="CE136" s="8">
        <v>4.1900000000000004</v>
      </c>
      <c r="CF136" s="8"/>
      <c r="CG136" s="8"/>
      <c r="CH136" s="8">
        <v>6.13</v>
      </c>
      <c r="CI136" s="8"/>
      <c r="CJ136" s="8"/>
      <c r="CK136" s="8">
        <v>3.69</v>
      </c>
      <c r="CL136" s="8"/>
      <c r="CM136" s="8"/>
      <c r="CN136" s="8">
        <v>5.35</v>
      </c>
      <c r="CO136" s="8"/>
      <c r="CP136" s="8"/>
      <c r="CQ136" s="8">
        <v>5.49</v>
      </c>
      <c r="CR136" s="8"/>
      <c r="CS136" s="8"/>
      <c r="CT136" s="8">
        <v>1.85</v>
      </c>
      <c r="CU136" s="8"/>
      <c r="CV136" s="8"/>
      <c r="CW136" s="8">
        <v>3.72</v>
      </c>
      <c r="CX136" s="8"/>
      <c r="CY136" s="8"/>
      <c r="CZ136" s="9">
        <v>2.9</v>
      </c>
    </row>
    <row r="137" spans="2:104">
      <c r="B137" s="20" t="s">
        <v>735</v>
      </c>
      <c r="C137" s="3">
        <v>3.02</v>
      </c>
      <c r="D137" s="3">
        <f t="shared" si="366"/>
        <v>3.02</v>
      </c>
      <c r="E137" s="4">
        <f t="shared" si="367"/>
        <v>3.02</v>
      </c>
      <c r="F137" s="3">
        <v>4.3899999999999997</v>
      </c>
      <c r="G137" s="3">
        <f t="shared" si="368"/>
        <v>4.3899999999999997</v>
      </c>
      <c r="H137" s="4">
        <f t="shared" si="369"/>
        <v>4.3899999999999997</v>
      </c>
      <c r="I137" s="3">
        <v>5.28</v>
      </c>
      <c r="J137" s="3">
        <f t="shared" si="370"/>
        <v>5.28</v>
      </c>
      <c r="K137" s="4">
        <f t="shared" si="371"/>
        <v>5.28</v>
      </c>
      <c r="L137" s="3">
        <v>5.65</v>
      </c>
      <c r="M137" s="3">
        <f t="shared" si="372"/>
        <v>5.65</v>
      </c>
      <c r="N137" s="4">
        <f t="shared" si="373"/>
        <v>5.65</v>
      </c>
      <c r="O137" s="3">
        <v>4.3</v>
      </c>
      <c r="P137" s="3">
        <f t="shared" si="374"/>
        <v>4.3</v>
      </c>
      <c r="Q137" s="4">
        <f t="shared" si="375"/>
        <v>4.3</v>
      </c>
      <c r="R137" s="3">
        <v>4.84</v>
      </c>
      <c r="S137" s="3">
        <f t="shared" si="376"/>
        <v>4.84</v>
      </c>
      <c r="T137" s="4">
        <f t="shared" si="377"/>
        <v>4.84</v>
      </c>
      <c r="U137" s="3">
        <v>1.75</v>
      </c>
      <c r="V137" s="3">
        <f t="shared" si="378"/>
        <v>1.75</v>
      </c>
      <c r="W137" s="4">
        <f t="shared" si="379"/>
        <v>1.75</v>
      </c>
      <c r="X137" s="3">
        <v>2.19</v>
      </c>
      <c r="Y137" s="3">
        <f t="shared" si="380"/>
        <v>2.19</v>
      </c>
      <c r="Z137" s="21">
        <f t="shared" si="381"/>
        <v>2.19</v>
      </c>
      <c r="BB137" s="20" t="s">
        <v>736</v>
      </c>
      <c r="BC137" s="3">
        <v>3.88</v>
      </c>
      <c r="BD137" s="3">
        <f t="shared" si="382"/>
        <v>3.88</v>
      </c>
      <c r="BE137" s="4">
        <f t="shared" si="383"/>
        <v>3.88</v>
      </c>
      <c r="BF137" s="3">
        <v>4.26</v>
      </c>
      <c r="BG137" s="3">
        <f t="shared" si="384"/>
        <v>4.26</v>
      </c>
      <c r="BH137" s="4">
        <f t="shared" si="385"/>
        <v>4.26</v>
      </c>
      <c r="BI137" s="3">
        <v>4.16</v>
      </c>
      <c r="BJ137" s="3">
        <f t="shared" si="386"/>
        <v>4.16</v>
      </c>
      <c r="BK137" s="4">
        <f t="shared" si="387"/>
        <v>4.16</v>
      </c>
      <c r="BL137" s="3">
        <v>4.3</v>
      </c>
      <c r="BM137" s="3">
        <f t="shared" si="388"/>
        <v>4.3</v>
      </c>
      <c r="BN137" s="4">
        <f t="shared" si="389"/>
        <v>4.3</v>
      </c>
      <c r="BO137" s="3">
        <v>3.62</v>
      </c>
      <c r="BP137" s="3">
        <f t="shared" si="390"/>
        <v>3.62</v>
      </c>
      <c r="BQ137" s="4">
        <f t="shared" si="391"/>
        <v>3.62</v>
      </c>
      <c r="BR137" s="3">
        <v>3.08</v>
      </c>
      <c r="BS137" s="3">
        <f t="shared" si="392"/>
        <v>3.08</v>
      </c>
      <c r="BT137" s="4">
        <f t="shared" si="393"/>
        <v>3.08</v>
      </c>
      <c r="BU137" s="3">
        <v>1.62</v>
      </c>
      <c r="BV137" s="3">
        <f t="shared" si="394"/>
        <v>1.62</v>
      </c>
      <c r="BW137" s="4">
        <f t="shared" si="395"/>
        <v>1.62</v>
      </c>
      <c r="BX137" s="3">
        <v>1.22</v>
      </c>
      <c r="BY137" s="3">
        <f t="shared" si="396"/>
        <v>1.22</v>
      </c>
      <c r="BZ137" s="21">
        <f t="shared" si="397"/>
        <v>1.22</v>
      </c>
      <c r="CB137" s="10" t="s">
        <v>539</v>
      </c>
      <c r="CC137" s="10"/>
      <c r="CD137" s="11"/>
      <c r="CE137" s="11">
        <f>CE136-CE123</f>
        <v>6.9626168224302454E-2</v>
      </c>
      <c r="CF137" s="11"/>
      <c r="CG137" s="11"/>
      <c r="CH137" s="11">
        <f>CH136-CH123</f>
        <v>3.6146788990822465E-2</v>
      </c>
      <c r="CI137" s="11"/>
      <c r="CJ137" s="11"/>
      <c r="CK137" s="11">
        <f t="shared" ref="CK137:CW137" si="406">CK136-CK123</f>
        <v>-6.1192660550459355E-2</v>
      </c>
      <c r="CL137" s="11"/>
      <c r="CM137" s="11"/>
      <c r="CN137" s="11">
        <f>CN136-CN123</f>
        <v>0.23762376237623783</v>
      </c>
      <c r="CO137" s="11"/>
      <c r="CP137" s="11"/>
      <c r="CQ137" s="11">
        <f t="shared" si="406"/>
        <v>0.10445454545454513</v>
      </c>
      <c r="CR137" s="11"/>
      <c r="CS137" s="11"/>
      <c r="CT137" s="11">
        <f>CT136-CT123</f>
        <v>2.456140350876046E-3</v>
      </c>
      <c r="CU137" s="11"/>
      <c r="CV137" s="11"/>
      <c r="CW137" s="11">
        <f t="shared" si="406"/>
        <v>-4.3396226415080008E-3</v>
      </c>
      <c r="CX137" s="11"/>
      <c r="CY137" s="11"/>
      <c r="CZ137" s="12">
        <f>CZ136-CZ123</f>
        <v>-0.2539743589743586</v>
      </c>
    </row>
    <row r="138" spans="2:104" ht="15.75" thickBot="1">
      <c r="B138" s="20" t="s">
        <v>737</v>
      </c>
      <c r="C138" s="3">
        <v>3.03</v>
      </c>
      <c r="D138" s="3">
        <f t="shared" si="366"/>
        <v>3.03</v>
      </c>
      <c r="E138" s="4">
        <f t="shared" si="367"/>
        <v>3.03</v>
      </c>
      <c r="F138" s="3">
        <v>4.42</v>
      </c>
      <c r="G138" s="3">
        <f t="shared" si="368"/>
        <v>4.42</v>
      </c>
      <c r="H138" s="4">
        <f t="shared" si="369"/>
        <v>4.42</v>
      </c>
      <c r="I138" s="3">
        <v>5.3</v>
      </c>
      <c r="J138" s="3">
        <f t="shared" si="370"/>
        <v>5.3</v>
      </c>
      <c r="K138" s="4">
        <f t="shared" si="371"/>
        <v>5.3</v>
      </c>
      <c r="L138" s="3">
        <v>5.66</v>
      </c>
      <c r="M138" s="3">
        <f t="shared" si="372"/>
        <v>5.66</v>
      </c>
      <c r="N138" s="4">
        <f t="shared" si="373"/>
        <v>5.66</v>
      </c>
      <c r="O138" s="3">
        <v>4.32</v>
      </c>
      <c r="P138" s="3">
        <f t="shared" si="374"/>
        <v>4.32</v>
      </c>
      <c r="Q138" s="4">
        <f t="shared" si="375"/>
        <v>4.32</v>
      </c>
      <c r="R138" s="3">
        <v>4.82</v>
      </c>
      <c r="S138" s="3">
        <f t="shared" si="376"/>
        <v>4.82</v>
      </c>
      <c r="T138" s="4">
        <f t="shared" si="377"/>
        <v>4.82</v>
      </c>
      <c r="U138" s="3">
        <v>1.74</v>
      </c>
      <c r="V138" s="3">
        <f t="shared" si="378"/>
        <v>1.74</v>
      </c>
      <c r="W138" s="4">
        <f t="shared" si="379"/>
        <v>1.74</v>
      </c>
      <c r="X138" s="3">
        <v>2.2599999999999998</v>
      </c>
      <c r="Y138" s="3">
        <f t="shared" si="380"/>
        <v>2.2599999999999998</v>
      </c>
      <c r="Z138" s="21">
        <f t="shared" si="381"/>
        <v>2.2599999999999998</v>
      </c>
      <c r="BB138" s="20" t="s">
        <v>738</v>
      </c>
      <c r="BC138" s="3">
        <v>3.95</v>
      </c>
      <c r="BD138" s="3">
        <f t="shared" si="382"/>
        <v>3.95</v>
      </c>
      <c r="BE138" s="4">
        <f t="shared" si="383"/>
        <v>3.95</v>
      </c>
      <c r="BF138" s="3">
        <v>4.29</v>
      </c>
      <c r="BG138" s="3">
        <f t="shared" si="384"/>
        <v>4.29</v>
      </c>
      <c r="BH138" s="4">
        <f t="shared" si="385"/>
        <v>4.29</v>
      </c>
      <c r="BI138" s="3">
        <v>4.1500000000000004</v>
      </c>
      <c r="BJ138" s="3">
        <f t="shared" si="386"/>
        <v>4.1500000000000004</v>
      </c>
      <c r="BK138" s="4">
        <f t="shared" si="387"/>
        <v>4.1500000000000004</v>
      </c>
      <c r="BL138" s="3">
        <v>4.29</v>
      </c>
      <c r="BM138" s="3">
        <f t="shared" si="388"/>
        <v>4.29</v>
      </c>
      <c r="BN138" s="4">
        <f t="shared" si="389"/>
        <v>4.29</v>
      </c>
      <c r="BO138" s="3">
        <v>3.6</v>
      </c>
      <c r="BP138" s="3">
        <f t="shared" si="390"/>
        <v>3.6</v>
      </c>
      <c r="BQ138" s="4">
        <f t="shared" si="391"/>
        <v>3.6</v>
      </c>
      <c r="BR138" s="3">
        <v>3.13</v>
      </c>
      <c r="BS138" s="3">
        <f t="shared" si="392"/>
        <v>3.13</v>
      </c>
      <c r="BT138" s="4">
        <f t="shared" si="393"/>
        <v>3.13</v>
      </c>
      <c r="BU138" s="3">
        <v>1.65</v>
      </c>
      <c r="BV138" s="3">
        <f t="shared" si="394"/>
        <v>1.65</v>
      </c>
      <c r="BW138" s="4">
        <f t="shared" si="395"/>
        <v>1.65</v>
      </c>
      <c r="BX138" s="3">
        <v>1.2</v>
      </c>
      <c r="BY138" s="3">
        <f t="shared" si="396"/>
        <v>1.2</v>
      </c>
      <c r="BZ138" s="21">
        <f t="shared" si="397"/>
        <v>1.2</v>
      </c>
      <c r="CB138" s="13" t="s">
        <v>544</v>
      </c>
      <c r="CC138" s="13"/>
      <c r="CD138" s="14"/>
      <c r="CE138" s="14">
        <f>(CE137/CE123)*100</f>
        <v>1.6898022137543929</v>
      </c>
      <c r="CF138" s="14"/>
      <c r="CG138" s="14"/>
      <c r="CH138" s="14">
        <f>(CH137/CH123)*100</f>
        <v>0.59316802914647737</v>
      </c>
      <c r="CI138" s="14"/>
      <c r="CJ138" s="14"/>
      <c r="CK138" s="14">
        <f>(CK137/CK123)*100</f>
        <v>-1.6312854627274676</v>
      </c>
      <c r="CL138" s="14"/>
      <c r="CM138" s="14"/>
      <c r="CN138" s="14">
        <f>(CN137/CN123)*100</f>
        <v>4.6480100706884908</v>
      </c>
      <c r="CO138" s="14"/>
      <c r="CP138" s="14"/>
      <c r="CQ138" s="14">
        <f t="shared" ref="CQ138:CW138" si="407">(CQ137/CQ123)*100</f>
        <v>1.9395351192586154</v>
      </c>
      <c r="CR138" s="14"/>
      <c r="CS138" s="14"/>
      <c r="CT138" s="14">
        <f>(CT137/CT123)*100</f>
        <v>0.13294084132554793</v>
      </c>
      <c r="CU138" s="14"/>
      <c r="CV138" s="14"/>
      <c r="CW138" s="14">
        <f t="shared" si="407"/>
        <v>-0.11652059374837841</v>
      </c>
      <c r="CX138" s="14"/>
      <c r="CY138" s="14"/>
      <c r="CZ138" s="15">
        <f>(CZ137/CZ123)*100</f>
        <v>-8.052518190317457</v>
      </c>
    </row>
    <row r="139" spans="2:104">
      <c r="B139" s="20" t="s">
        <v>739</v>
      </c>
      <c r="C139" s="3">
        <v>3.01</v>
      </c>
      <c r="D139" s="3">
        <f t="shared" si="366"/>
        <v>3.01</v>
      </c>
      <c r="E139" s="4">
        <f t="shared" si="367"/>
        <v>3.01</v>
      </c>
      <c r="F139" s="3">
        <v>4.37</v>
      </c>
      <c r="G139" s="3">
        <f t="shared" si="368"/>
        <v>4.37</v>
      </c>
      <c r="H139" s="4">
        <f t="shared" si="369"/>
        <v>4.37</v>
      </c>
      <c r="I139" s="3">
        <v>5.29</v>
      </c>
      <c r="J139" s="3">
        <f t="shared" si="370"/>
        <v>5.29</v>
      </c>
      <c r="K139" s="4">
        <f t="shared" si="371"/>
        <v>5.29</v>
      </c>
      <c r="L139" s="3">
        <v>5.62</v>
      </c>
      <c r="M139" s="3">
        <f t="shared" si="372"/>
        <v>5.62</v>
      </c>
      <c r="N139" s="4">
        <f t="shared" si="373"/>
        <v>5.62</v>
      </c>
      <c r="O139" s="3">
        <v>4.3</v>
      </c>
      <c r="P139" s="3">
        <f t="shared" si="374"/>
        <v>4.3</v>
      </c>
      <c r="Q139" s="4">
        <f t="shared" si="375"/>
        <v>4.3</v>
      </c>
      <c r="R139" s="3">
        <v>4.8</v>
      </c>
      <c r="S139" s="3">
        <f t="shared" si="376"/>
        <v>4.8</v>
      </c>
      <c r="T139" s="4">
        <f t="shared" si="377"/>
        <v>4.8</v>
      </c>
      <c r="U139" s="3">
        <v>1.74</v>
      </c>
      <c r="V139" s="3">
        <f t="shared" si="378"/>
        <v>1.74</v>
      </c>
      <c r="W139" s="4">
        <f t="shared" si="379"/>
        <v>1.74</v>
      </c>
      <c r="X139" s="3">
        <v>2.2200000000000002</v>
      </c>
      <c r="Y139" s="3">
        <f t="shared" si="380"/>
        <v>2.2200000000000002</v>
      </c>
      <c r="Z139" s="21">
        <f t="shared" si="381"/>
        <v>2.2200000000000002</v>
      </c>
      <c r="BB139" s="20" t="s">
        <v>740</v>
      </c>
      <c r="BC139" s="3">
        <v>3.9</v>
      </c>
      <c r="BD139" s="3">
        <f t="shared" si="382"/>
        <v>3.9</v>
      </c>
      <c r="BE139" s="4">
        <f t="shared" si="383"/>
        <v>3.9</v>
      </c>
      <c r="BF139" s="3">
        <v>4.28</v>
      </c>
      <c r="BG139" s="3">
        <f t="shared" si="384"/>
        <v>4.28</v>
      </c>
      <c r="BH139" s="4">
        <f t="shared" si="385"/>
        <v>4.28</v>
      </c>
      <c r="BI139" s="3">
        <v>4.16</v>
      </c>
      <c r="BJ139" s="3">
        <f t="shared" si="386"/>
        <v>4.16</v>
      </c>
      <c r="BK139" s="4">
        <f t="shared" si="387"/>
        <v>4.16</v>
      </c>
      <c r="BL139" s="3">
        <v>4.3099999999999996</v>
      </c>
      <c r="BM139" s="3">
        <f t="shared" si="388"/>
        <v>4.3099999999999996</v>
      </c>
      <c r="BN139" s="4">
        <f t="shared" si="389"/>
        <v>4.3099999999999996</v>
      </c>
      <c r="BO139" s="3">
        <v>3.6</v>
      </c>
      <c r="BP139" s="3">
        <f t="shared" si="390"/>
        <v>3.6</v>
      </c>
      <c r="BQ139" s="4">
        <f t="shared" si="391"/>
        <v>3.6</v>
      </c>
      <c r="BR139" s="3">
        <v>3.13</v>
      </c>
      <c r="BS139" s="3">
        <f t="shared" si="392"/>
        <v>3.13</v>
      </c>
      <c r="BT139" s="4">
        <f t="shared" si="393"/>
        <v>3.13</v>
      </c>
      <c r="BU139" s="3">
        <v>1.65</v>
      </c>
      <c r="BV139" s="3">
        <f t="shared" si="394"/>
        <v>1.65</v>
      </c>
      <c r="BW139" s="4">
        <f t="shared" si="395"/>
        <v>1.65</v>
      </c>
      <c r="BX139" s="3">
        <v>1.25</v>
      </c>
      <c r="BY139" s="3">
        <f t="shared" si="396"/>
        <v>1.25</v>
      </c>
      <c r="BZ139" s="21">
        <f t="shared" si="397"/>
        <v>1.25</v>
      </c>
    </row>
    <row r="140" spans="2:104">
      <c r="B140" s="20" t="s">
        <v>741</v>
      </c>
      <c r="C140" s="3">
        <v>2.99</v>
      </c>
      <c r="D140" s="3">
        <f t="shared" si="366"/>
        <v>2.99</v>
      </c>
      <c r="E140" s="4">
        <f t="shared" si="367"/>
        <v>2.99</v>
      </c>
      <c r="F140" s="3">
        <v>4.38</v>
      </c>
      <c r="G140" s="3">
        <f t="shared" si="368"/>
        <v>4.38</v>
      </c>
      <c r="H140" s="4">
        <f t="shared" si="369"/>
        <v>4.38</v>
      </c>
      <c r="I140" s="3">
        <v>5.3</v>
      </c>
      <c r="J140" s="3">
        <f t="shared" si="370"/>
        <v>5.3</v>
      </c>
      <c r="K140" s="4">
        <f t="shared" si="371"/>
        <v>5.3</v>
      </c>
      <c r="L140" s="3">
        <v>5.64</v>
      </c>
      <c r="M140" s="3">
        <f t="shared" si="372"/>
        <v>5.64</v>
      </c>
      <c r="N140" s="4">
        <f t="shared" si="373"/>
        <v>5.64</v>
      </c>
      <c r="O140" s="3">
        <v>4.34</v>
      </c>
      <c r="P140" s="3">
        <f t="shared" si="374"/>
        <v>4.34</v>
      </c>
      <c r="Q140" s="4">
        <f t="shared" si="375"/>
        <v>4.34</v>
      </c>
      <c r="R140" s="3">
        <v>4.8</v>
      </c>
      <c r="S140" s="3">
        <f t="shared" si="376"/>
        <v>4.8</v>
      </c>
      <c r="T140" s="4">
        <f t="shared" si="377"/>
        <v>4.8</v>
      </c>
      <c r="U140" s="3">
        <v>1.71</v>
      </c>
      <c r="V140" s="3">
        <f t="shared" si="378"/>
        <v>1.71</v>
      </c>
      <c r="W140" s="4">
        <f t="shared" si="379"/>
        <v>1.71</v>
      </c>
      <c r="X140" s="3">
        <v>2.2599999999999998</v>
      </c>
      <c r="Y140" s="3">
        <f t="shared" si="380"/>
        <v>2.2599999999999998</v>
      </c>
      <c r="Z140" s="21">
        <f t="shared" si="381"/>
        <v>2.2599999999999998</v>
      </c>
      <c r="BB140" s="20" t="s">
        <v>742</v>
      </c>
      <c r="BC140" s="3">
        <v>3.92</v>
      </c>
      <c r="BD140" s="3">
        <f t="shared" si="382"/>
        <v>3.92</v>
      </c>
      <c r="BE140" s="4">
        <f t="shared" si="383"/>
        <v>3.92</v>
      </c>
      <c r="BF140" s="3">
        <v>4.29</v>
      </c>
      <c r="BG140" s="3">
        <f t="shared" si="384"/>
        <v>4.29</v>
      </c>
      <c r="BH140" s="4">
        <f t="shared" si="385"/>
        <v>4.29</v>
      </c>
      <c r="BI140" s="3">
        <v>4.1900000000000004</v>
      </c>
      <c r="BJ140" s="3">
        <f t="shared" si="386"/>
        <v>4.1900000000000004</v>
      </c>
      <c r="BK140" s="4">
        <f t="shared" si="387"/>
        <v>4.1900000000000004</v>
      </c>
      <c r="BL140" s="3">
        <v>4.3</v>
      </c>
      <c r="BM140" s="3">
        <f t="shared" si="388"/>
        <v>4.3</v>
      </c>
      <c r="BN140" s="4">
        <f t="shared" si="389"/>
        <v>4.3</v>
      </c>
      <c r="BO140" s="3">
        <v>3.64</v>
      </c>
      <c r="BP140" s="3">
        <f t="shared" si="390"/>
        <v>3.64</v>
      </c>
      <c r="BQ140" s="4">
        <f t="shared" si="391"/>
        <v>3.64</v>
      </c>
      <c r="BR140" s="3">
        <v>3.13</v>
      </c>
      <c r="BS140" s="3">
        <f t="shared" si="392"/>
        <v>3.13</v>
      </c>
      <c r="BT140" s="4">
        <f t="shared" si="393"/>
        <v>3.13</v>
      </c>
      <c r="BU140" s="3">
        <v>1.62</v>
      </c>
      <c r="BV140" s="3">
        <f t="shared" si="394"/>
        <v>1.62</v>
      </c>
      <c r="BW140" s="4">
        <f t="shared" si="395"/>
        <v>1.62</v>
      </c>
      <c r="BX140" s="3">
        <v>1.24</v>
      </c>
      <c r="BY140" s="3">
        <f t="shared" si="396"/>
        <v>1.24</v>
      </c>
      <c r="BZ140" s="21">
        <f t="shared" si="397"/>
        <v>1.24</v>
      </c>
    </row>
    <row r="141" spans="2:104">
      <c r="B141" s="20" t="s">
        <v>743</v>
      </c>
      <c r="C141" s="3">
        <v>2.99</v>
      </c>
      <c r="D141" s="3">
        <f t="shared" si="366"/>
        <v>2.99</v>
      </c>
      <c r="E141" s="4">
        <f t="shared" si="367"/>
        <v>2.99</v>
      </c>
      <c r="F141" s="3">
        <v>4.3899999999999997</v>
      </c>
      <c r="G141" s="3">
        <f t="shared" si="368"/>
        <v>4.3899999999999997</v>
      </c>
      <c r="H141" s="4">
        <f t="shared" si="369"/>
        <v>4.3899999999999997</v>
      </c>
      <c r="I141" s="3">
        <v>5.31</v>
      </c>
      <c r="J141" s="3">
        <f t="shared" si="370"/>
        <v>5.31</v>
      </c>
      <c r="K141" s="4">
        <f t="shared" si="371"/>
        <v>5.31</v>
      </c>
      <c r="L141" s="3">
        <v>4.71</v>
      </c>
      <c r="M141" s="3">
        <f t="shared" si="372"/>
        <v>4.71</v>
      </c>
      <c r="N141" s="4">
        <f t="shared" si="373"/>
        <v>4.71</v>
      </c>
      <c r="O141" s="3">
        <v>4.3099999999999996</v>
      </c>
      <c r="P141" s="3">
        <f t="shared" si="374"/>
        <v>4.3099999999999996</v>
      </c>
      <c r="Q141" s="4">
        <f t="shared" si="375"/>
        <v>4.3099999999999996</v>
      </c>
      <c r="R141" s="3">
        <v>4.83</v>
      </c>
      <c r="S141" s="3">
        <f t="shared" si="376"/>
        <v>4.83</v>
      </c>
      <c r="T141" s="4">
        <f t="shared" si="377"/>
        <v>4.83</v>
      </c>
      <c r="U141" s="3">
        <v>1.73</v>
      </c>
      <c r="V141" s="3">
        <f t="shared" si="378"/>
        <v>1.73</v>
      </c>
      <c r="W141" s="4">
        <f t="shared" si="379"/>
        <v>1.73</v>
      </c>
      <c r="X141" s="3">
        <v>2.23</v>
      </c>
      <c r="Y141" s="3">
        <f t="shared" si="380"/>
        <v>2.23</v>
      </c>
      <c r="Z141" s="21">
        <f t="shared" si="381"/>
        <v>2.23</v>
      </c>
      <c r="BB141" s="20" t="s">
        <v>744</v>
      </c>
      <c r="BC141" s="3">
        <v>3.92</v>
      </c>
      <c r="BD141" s="3">
        <f t="shared" si="382"/>
        <v>3.92</v>
      </c>
      <c r="BE141" s="4">
        <f t="shared" si="383"/>
        <v>3.92</v>
      </c>
      <c r="BF141" s="3">
        <v>4.25</v>
      </c>
      <c r="BG141" s="3">
        <f t="shared" si="384"/>
        <v>4.25</v>
      </c>
      <c r="BH141" s="4">
        <f t="shared" si="385"/>
        <v>4.25</v>
      </c>
      <c r="BI141" s="3">
        <v>4.18</v>
      </c>
      <c r="BJ141" s="3">
        <f t="shared" si="386"/>
        <v>4.18</v>
      </c>
      <c r="BK141" s="4">
        <f t="shared" si="387"/>
        <v>4.18</v>
      </c>
      <c r="BL141" s="3">
        <v>4.29</v>
      </c>
      <c r="BM141" s="3">
        <f t="shared" si="388"/>
        <v>4.29</v>
      </c>
      <c r="BN141" s="4">
        <f t="shared" si="389"/>
        <v>4.29</v>
      </c>
      <c r="BO141" s="3">
        <v>3.6</v>
      </c>
      <c r="BP141" s="3">
        <f t="shared" si="390"/>
        <v>3.6</v>
      </c>
      <c r="BQ141" s="4">
        <f t="shared" si="391"/>
        <v>3.6</v>
      </c>
      <c r="BR141" s="3">
        <v>3.12</v>
      </c>
      <c r="BS141" s="3">
        <f t="shared" si="392"/>
        <v>3.12</v>
      </c>
      <c r="BT141" s="4">
        <f t="shared" si="393"/>
        <v>3.12</v>
      </c>
      <c r="BU141" s="3">
        <v>1.64</v>
      </c>
      <c r="BV141" s="3">
        <f t="shared" si="394"/>
        <v>1.64</v>
      </c>
      <c r="BW141" s="4">
        <f t="shared" si="395"/>
        <v>1.64</v>
      </c>
      <c r="BX141" s="3">
        <v>1.21</v>
      </c>
      <c r="BY141" s="3">
        <f t="shared" si="396"/>
        <v>1.21</v>
      </c>
      <c r="BZ141" s="21">
        <f t="shared" si="397"/>
        <v>1.21</v>
      </c>
    </row>
    <row r="142" spans="2:104">
      <c r="B142" s="20" t="s">
        <v>745</v>
      </c>
      <c r="C142" s="3">
        <v>3.02</v>
      </c>
      <c r="D142" s="3">
        <f t="shared" si="366"/>
        <v>3.02</v>
      </c>
      <c r="E142" s="4">
        <f t="shared" si="367"/>
        <v>3.02</v>
      </c>
      <c r="F142" s="3">
        <v>0</v>
      </c>
      <c r="G142" s="3" t="str">
        <f t="shared" si="368"/>
        <v/>
      </c>
      <c r="H142" s="4" t="str">
        <f t="shared" si="369"/>
        <v/>
      </c>
      <c r="I142" s="3">
        <v>5.29</v>
      </c>
      <c r="J142" s="3">
        <f t="shared" si="370"/>
        <v>5.29</v>
      </c>
      <c r="K142" s="4">
        <f t="shared" si="371"/>
        <v>5.29</v>
      </c>
      <c r="L142" s="3">
        <v>2.5299999999999998</v>
      </c>
      <c r="M142" s="3">
        <f t="shared" si="372"/>
        <v>2.5299999999999998</v>
      </c>
      <c r="N142" s="4" t="str">
        <f t="shared" si="373"/>
        <v/>
      </c>
      <c r="O142" s="3">
        <v>4.3099999999999996</v>
      </c>
      <c r="P142" s="3">
        <f t="shared" si="374"/>
        <v>4.3099999999999996</v>
      </c>
      <c r="Q142" s="4">
        <f t="shared" si="375"/>
        <v>4.3099999999999996</v>
      </c>
      <c r="R142" s="3">
        <v>4.84</v>
      </c>
      <c r="S142" s="3">
        <f t="shared" si="376"/>
        <v>4.84</v>
      </c>
      <c r="T142" s="4">
        <f t="shared" si="377"/>
        <v>4.84</v>
      </c>
      <c r="U142" s="3">
        <v>1.73</v>
      </c>
      <c r="V142" s="3">
        <f t="shared" si="378"/>
        <v>1.73</v>
      </c>
      <c r="W142" s="4">
        <f t="shared" si="379"/>
        <v>1.73</v>
      </c>
      <c r="X142" s="3">
        <v>2.2200000000000002</v>
      </c>
      <c r="Y142" s="3">
        <f t="shared" si="380"/>
        <v>2.2200000000000002</v>
      </c>
      <c r="Z142" s="21">
        <f t="shared" si="381"/>
        <v>2.2200000000000002</v>
      </c>
      <c r="BB142" s="20" t="s">
        <v>746</v>
      </c>
      <c r="BC142" s="3">
        <v>3.93</v>
      </c>
      <c r="BD142" s="3">
        <f t="shared" si="382"/>
        <v>3.93</v>
      </c>
      <c r="BE142" s="4">
        <f t="shared" si="383"/>
        <v>3.93</v>
      </c>
      <c r="BF142" s="3">
        <v>4.26</v>
      </c>
      <c r="BG142" s="3">
        <f t="shared" si="384"/>
        <v>4.26</v>
      </c>
      <c r="BH142" s="4">
        <f t="shared" si="385"/>
        <v>4.26</v>
      </c>
      <c r="BI142" s="3">
        <v>4.18</v>
      </c>
      <c r="BJ142" s="3">
        <f t="shared" si="386"/>
        <v>4.18</v>
      </c>
      <c r="BK142" s="4">
        <f t="shared" si="387"/>
        <v>4.18</v>
      </c>
      <c r="BL142" s="3">
        <v>4.32</v>
      </c>
      <c r="BM142" s="3">
        <f t="shared" si="388"/>
        <v>4.32</v>
      </c>
      <c r="BN142" s="4">
        <f t="shared" si="389"/>
        <v>4.32</v>
      </c>
      <c r="BO142" s="3">
        <v>3.6</v>
      </c>
      <c r="BP142" s="3">
        <f t="shared" si="390"/>
        <v>3.6</v>
      </c>
      <c r="BQ142" s="4">
        <f t="shared" si="391"/>
        <v>3.6</v>
      </c>
      <c r="BR142" s="3">
        <v>3.12</v>
      </c>
      <c r="BS142" s="3">
        <f t="shared" si="392"/>
        <v>3.12</v>
      </c>
      <c r="BT142" s="4">
        <f t="shared" si="393"/>
        <v>3.12</v>
      </c>
      <c r="BU142" s="3">
        <v>1.61</v>
      </c>
      <c r="BV142" s="3">
        <f t="shared" si="394"/>
        <v>1.61</v>
      </c>
      <c r="BW142" s="4">
        <f t="shared" si="395"/>
        <v>1.61</v>
      </c>
      <c r="BX142" s="3">
        <v>1.28</v>
      </c>
      <c r="BY142" s="3">
        <f t="shared" si="396"/>
        <v>1.28</v>
      </c>
      <c r="BZ142" s="21">
        <f t="shared" si="397"/>
        <v>1.28</v>
      </c>
    </row>
    <row r="143" spans="2:104">
      <c r="B143" s="20" t="s">
        <v>747</v>
      </c>
      <c r="C143" s="3">
        <v>3.04</v>
      </c>
      <c r="D143" s="3">
        <f t="shared" si="366"/>
        <v>3.04</v>
      </c>
      <c r="E143" s="4">
        <f t="shared" si="367"/>
        <v>3.04</v>
      </c>
      <c r="F143" s="3">
        <v>4.3899999999999997</v>
      </c>
      <c r="G143" s="3">
        <f t="shared" si="368"/>
        <v>4.3899999999999997</v>
      </c>
      <c r="H143" s="4">
        <f t="shared" si="369"/>
        <v>4.3899999999999997</v>
      </c>
      <c r="I143" s="3">
        <v>5.31</v>
      </c>
      <c r="J143" s="3">
        <f t="shared" si="370"/>
        <v>5.31</v>
      </c>
      <c r="K143" s="4">
        <f t="shared" si="371"/>
        <v>5.31</v>
      </c>
      <c r="L143" s="3">
        <v>5.67</v>
      </c>
      <c r="M143" s="3">
        <f t="shared" si="372"/>
        <v>5.67</v>
      </c>
      <c r="N143" s="4">
        <f t="shared" si="373"/>
        <v>5.67</v>
      </c>
      <c r="O143" s="3">
        <v>4.33</v>
      </c>
      <c r="P143" s="3">
        <f t="shared" si="374"/>
        <v>4.33</v>
      </c>
      <c r="Q143" s="4">
        <f t="shared" si="375"/>
        <v>4.33</v>
      </c>
      <c r="R143" s="3">
        <v>4.84</v>
      </c>
      <c r="S143" s="3">
        <f t="shared" si="376"/>
        <v>4.84</v>
      </c>
      <c r="T143" s="4">
        <f t="shared" si="377"/>
        <v>4.84</v>
      </c>
      <c r="U143" s="3">
        <v>1.75</v>
      </c>
      <c r="V143" s="3">
        <f t="shared" si="378"/>
        <v>1.75</v>
      </c>
      <c r="W143" s="4">
        <f t="shared" si="379"/>
        <v>1.75</v>
      </c>
      <c r="X143" s="3">
        <v>2.25</v>
      </c>
      <c r="Y143" s="3">
        <f t="shared" si="380"/>
        <v>2.25</v>
      </c>
      <c r="Z143" s="21">
        <f t="shared" si="381"/>
        <v>2.25</v>
      </c>
      <c r="BB143" s="20" t="s">
        <v>748</v>
      </c>
      <c r="BC143" s="3">
        <v>3.92</v>
      </c>
      <c r="BD143" s="3">
        <f t="shared" si="382"/>
        <v>3.92</v>
      </c>
      <c r="BE143" s="4">
        <f t="shared" si="383"/>
        <v>3.92</v>
      </c>
      <c r="BF143" s="3">
        <v>2.2799999999999998</v>
      </c>
      <c r="BG143" s="3">
        <f t="shared" si="384"/>
        <v>2.2799999999999998</v>
      </c>
      <c r="BH143" s="4" t="str">
        <f t="shared" si="385"/>
        <v/>
      </c>
      <c r="BI143" s="3">
        <v>4.0999999999999996</v>
      </c>
      <c r="BJ143" s="3">
        <f t="shared" si="386"/>
        <v>4.0999999999999996</v>
      </c>
      <c r="BK143" s="4">
        <f t="shared" si="387"/>
        <v>4.0999999999999996</v>
      </c>
      <c r="BL143" s="3">
        <v>4.33</v>
      </c>
      <c r="BM143" s="3">
        <f t="shared" si="388"/>
        <v>4.33</v>
      </c>
      <c r="BN143" s="4">
        <f t="shared" si="389"/>
        <v>4.33</v>
      </c>
      <c r="BO143" s="3">
        <v>3.6</v>
      </c>
      <c r="BP143" s="3">
        <f t="shared" si="390"/>
        <v>3.6</v>
      </c>
      <c r="BQ143" s="4">
        <f t="shared" si="391"/>
        <v>3.6</v>
      </c>
      <c r="BR143" s="3">
        <v>3.13</v>
      </c>
      <c r="BS143" s="3">
        <f t="shared" si="392"/>
        <v>3.13</v>
      </c>
      <c r="BT143" s="4">
        <f t="shared" si="393"/>
        <v>3.13</v>
      </c>
      <c r="BU143" s="3">
        <v>1.64</v>
      </c>
      <c r="BV143" s="3">
        <f t="shared" si="394"/>
        <v>1.64</v>
      </c>
      <c r="BW143" s="4">
        <f t="shared" si="395"/>
        <v>1.64</v>
      </c>
      <c r="BX143" s="3">
        <v>1.22</v>
      </c>
      <c r="BY143" s="3">
        <f t="shared" si="396"/>
        <v>1.22</v>
      </c>
      <c r="BZ143" s="21">
        <f t="shared" si="397"/>
        <v>1.22</v>
      </c>
    </row>
    <row r="144" spans="2:104">
      <c r="B144" s="20" t="s">
        <v>749</v>
      </c>
      <c r="C144" s="3">
        <v>2.97</v>
      </c>
      <c r="D144" s="3">
        <f t="shared" si="366"/>
        <v>2.97</v>
      </c>
      <c r="E144" s="4">
        <f t="shared" si="367"/>
        <v>2.97</v>
      </c>
      <c r="F144" s="3">
        <v>4.3899999999999997</v>
      </c>
      <c r="G144" s="3">
        <f t="shared" si="368"/>
        <v>4.3899999999999997</v>
      </c>
      <c r="H144" s="4">
        <f t="shared" si="369"/>
        <v>4.3899999999999997</v>
      </c>
      <c r="I144" s="3">
        <v>5.32</v>
      </c>
      <c r="J144" s="3">
        <f t="shared" si="370"/>
        <v>5.32</v>
      </c>
      <c r="K144" s="4">
        <f t="shared" si="371"/>
        <v>5.32</v>
      </c>
      <c r="L144" s="3">
        <v>5.7</v>
      </c>
      <c r="M144" s="3">
        <f t="shared" si="372"/>
        <v>5.7</v>
      </c>
      <c r="N144" s="4">
        <f t="shared" si="373"/>
        <v>5.7</v>
      </c>
      <c r="O144" s="3">
        <v>4.3</v>
      </c>
      <c r="P144" s="3">
        <f t="shared" si="374"/>
        <v>4.3</v>
      </c>
      <c r="Q144" s="4">
        <f t="shared" si="375"/>
        <v>4.3</v>
      </c>
      <c r="R144" s="3">
        <v>4.8099999999999996</v>
      </c>
      <c r="S144" s="3">
        <f t="shared" si="376"/>
        <v>4.8099999999999996</v>
      </c>
      <c r="T144" s="4">
        <f t="shared" si="377"/>
        <v>4.8099999999999996</v>
      </c>
      <c r="U144" s="3">
        <v>1.76</v>
      </c>
      <c r="V144" s="3">
        <f t="shared" si="378"/>
        <v>1.76</v>
      </c>
      <c r="W144" s="4">
        <f t="shared" si="379"/>
        <v>1.76</v>
      </c>
      <c r="X144" s="3">
        <v>2.2599999999999998</v>
      </c>
      <c r="Y144" s="3">
        <f t="shared" si="380"/>
        <v>2.2599999999999998</v>
      </c>
      <c r="Z144" s="21">
        <f t="shared" si="381"/>
        <v>2.2599999999999998</v>
      </c>
      <c r="BB144" s="20" t="s">
        <v>750</v>
      </c>
      <c r="BC144" s="3">
        <v>3.94</v>
      </c>
      <c r="BD144" s="3">
        <f t="shared" si="382"/>
        <v>3.94</v>
      </c>
      <c r="BE144" s="4">
        <f t="shared" si="383"/>
        <v>3.94</v>
      </c>
      <c r="BF144" s="3">
        <v>4.3</v>
      </c>
      <c r="BG144" s="3">
        <f t="shared" si="384"/>
        <v>4.3</v>
      </c>
      <c r="BH144" s="4">
        <f t="shared" si="385"/>
        <v>4.3</v>
      </c>
      <c r="BI144" s="3">
        <v>4.1900000000000004</v>
      </c>
      <c r="BJ144" s="3">
        <f t="shared" si="386"/>
        <v>4.1900000000000004</v>
      </c>
      <c r="BK144" s="4">
        <f t="shared" si="387"/>
        <v>4.1900000000000004</v>
      </c>
      <c r="BL144" s="3">
        <v>4.29</v>
      </c>
      <c r="BM144" s="3">
        <f t="shared" si="388"/>
        <v>4.29</v>
      </c>
      <c r="BN144" s="4">
        <f t="shared" si="389"/>
        <v>4.29</v>
      </c>
      <c r="BO144" s="3">
        <v>3.6</v>
      </c>
      <c r="BP144" s="3">
        <f t="shared" si="390"/>
        <v>3.6</v>
      </c>
      <c r="BQ144" s="4">
        <f t="shared" si="391"/>
        <v>3.6</v>
      </c>
      <c r="BR144" s="3">
        <v>3.14</v>
      </c>
      <c r="BS144" s="3">
        <f t="shared" si="392"/>
        <v>3.14</v>
      </c>
      <c r="BT144" s="4">
        <f t="shared" si="393"/>
        <v>3.14</v>
      </c>
      <c r="BU144" s="3">
        <v>1.6</v>
      </c>
      <c r="BV144" s="3">
        <f t="shared" si="394"/>
        <v>1.6</v>
      </c>
      <c r="BW144" s="4">
        <f t="shared" si="395"/>
        <v>1.6</v>
      </c>
      <c r="BX144" s="3">
        <v>1.28</v>
      </c>
      <c r="BY144" s="3">
        <f t="shared" si="396"/>
        <v>1.28</v>
      </c>
      <c r="BZ144" s="21">
        <f t="shared" si="397"/>
        <v>1.28</v>
      </c>
    </row>
    <row r="145" spans="2:78">
      <c r="B145" s="20" t="s">
        <v>751</v>
      </c>
      <c r="C145" s="3">
        <v>3</v>
      </c>
      <c r="D145" s="3">
        <f t="shared" si="366"/>
        <v>3</v>
      </c>
      <c r="E145" s="4">
        <f t="shared" si="367"/>
        <v>3</v>
      </c>
      <c r="F145" s="3">
        <v>4.42</v>
      </c>
      <c r="G145" s="3">
        <f t="shared" si="368"/>
        <v>4.42</v>
      </c>
      <c r="H145" s="4">
        <f t="shared" si="369"/>
        <v>4.42</v>
      </c>
      <c r="I145" s="3">
        <v>5.32</v>
      </c>
      <c r="J145" s="3">
        <f t="shared" si="370"/>
        <v>5.32</v>
      </c>
      <c r="K145" s="4">
        <f t="shared" si="371"/>
        <v>5.32</v>
      </c>
      <c r="L145" s="3">
        <v>5.63</v>
      </c>
      <c r="M145" s="3">
        <f t="shared" si="372"/>
        <v>5.63</v>
      </c>
      <c r="N145" s="4">
        <f t="shared" si="373"/>
        <v>5.63</v>
      </c>
      <c r="O145" s="3">
        <v>4.32</v>
      </c>
      <c r="P145" s="3">
        <f t="shared" si="374"/>
        <v>4.32</v>
      </c>
      <c r="Q145" s="4">
        <f t="shared" si="375"/>
        <v>4.32</v>
      </c>
      <c r="R145" s="3">
        <v>3.67</v>
      </c>
      <c r="S145" s="3">
        <f t="shared" si="376"/>
        <v>3.67</v>
      </c>
      <c r="T145" s="4">
        <f t="shared" si="377"/>
        <v>3.67</v>
      </c>
      <c r="U145" s="3">
        <v>1.75</v>
      </c>
      <c r="V145" s="3">
        <f t="shared" si="378"/>
        <v>1.75</v>
      </c>
      <c r="W145" s="4">
        <f t="shared" si="379"/>
        <v>1.75</v>
      </c>
      <c r="X145" s="3">
        <v>2.2000000000000002</v>
      </c>
      <c r="Y145" s="3">
        <f t="shared" si="380"/>
        <v>2.2000000000000002</v>
      </c>
      <c r="Z145" s="21">
        <f t="shared" si="381"/>
        <v>2.2000000000000002</v>
      </c>
      <c r="BB145" s="20" t="s">
        <v>752</v>
      </c>
      <c r="BC145" s="3">
        <v>3.89</v>
      </c>
      <c r="BD145" s="3">
        <f t="shared" si="382"/>
        <v>3.89</v>
      </c>
      <c r="BE145" s="4">
        <f t="shared" si="383"/>
        <v>3.89</v>
      </c>
      <c r="BF145" s="3">
        <v>4.28</v>
      </c>
      <c r="BG145" s="3">
        <f t="shared" si="384"/>
        <v>4.28</v>
      </c>
      <c r="BH145" s="4">
        <f t="shared" si="385"/>
        <v>4.28</v>
      </c>
      <c r="BI145" s="3">
        <v>4.1500000000000004</v>
      </c>
      <c r="BJ145" s="3">
        <f t="shared" si="386"/>
        <v>4.1500000000000004</v>
      </c>
      <c r="BK145" s="4">
        <f t="shared" si="387"/>
        <v>4.1500000000000004</v>
      </c>
      <c r="BL145" s="3">
        <v>4.2699999999999996</v>
      </c>
      <c r="BM145" s="3">
        <f t="shared" si="388"/>
        <v>4.2699999999999996</v>
      </c>
      <c r="BN145" s="4">
        <f t="shared" si="389"/>
        <v>4.2699999999999996</v>
      </c>
      <c r="BO145" s="3">
        <v>3.63</v>
      </c>
      <c r="BP145" s="3">
        <f t="shared" si="390"/>
        <v>3.63</v>
      </c>
      <c r="BQ145" s="4">
        <f t="shared" si="391"/>
        <v>3.63</v>
      </c>
      <c r="BR145" s="3">
        <v>1.1200000000000001</v>
      </c>
      <c r="BS145" s="3">
        <f t="shared" si="392"/>
        <v>1.1200000000000001</v>
      </c>
      <c r="BT145" s="4" t="str">
        <f t="shared" si="393"/>
        <v/>
      </c>
      <c r="BU145" s="3">
        <v>0.1</v>
      </c>
      <c r="BV145" s="3">
        <f t="shared" si="394"/>
        <v>0.1</v>
      </c>
      <c r="BW145" s="4" t="str">
        <f t="shared" si="395"/>
        <v/>
      </c>
      <c r="BX145" s="3">
        <v>1.25</v>
      </c>
      <c r="BY145" s="3">
        <f t="shared" si="396"/>
        <v>1.25</v>
      </c>
      <c r="BZ145" s="21">
        <f t="shared" si="397"/>
        <v>1.25</v>
      </c>
    </row>
    <row r="146" spans="2:78">
      <c r="B146" s="20" t="s">
        <v>753</v>
      </c>
      <c r="C146" s="3">
        <v>3.01</v>
      </c>
      <c r="D146" s="3">
        <f t="shared" si="366"/>
        <v>3.01</v>
      </c>
      <c r="E146" s="4">
        <f t="shared" si="367"/>
        <v>3.01</v>
      </c>
      <c r="F146" s="3">
        <v>4.3899999999999997</v>
      </c>
      <c r="G146" s="3">
        <f t="shared" si="368"/>
        <v>4.3899999999999997</v>
      </c>
      <c r="H146" s="4">
        <f t="shared" si="369"/>
        <v>4.3899999999999997</v>
      </c>
      <c r="I146" s="3">
        <v>5.3</v>
      </c>
      <c r="J146" s="3">
        <f t="shared" si="370"/>
        <v>5.3</v>
      </c>
      <c r="K146" s="4">
        <f t="shared" si="371"/>
        <v>5.3</v>
      </c>
      <c r="L146" s="3">
        <v>5.61</v>
      </c>
      <c r="M146" s="3">
        <f t="shared" si="372"/>
        <v>5.61</v>
      </c>
      <c r="N146" s="4">
        <f t="shared" si="373"/>
        <v>5.61</v>
      </c>
      <c r="O146" s="3">
        <v>4.3499999999999996</v>
      </c>
      <c r="P146" s="3">
        <f t="shared" si="374"/>
        <v>4.3499999999999996</v>
      </c>
      <c r="Q146" s="4">
        <f t="shared" si="375"/>
        <v>4.3499999999999996</v>
      </c>
      <c r="R146" s="3">
        <v>4.82</v>
      </c>
      <c r="S146" s="3">
        <f t="shared" si="376"/>
        <v>4.82</v>
      </c>
      <c r="T146" s="4">
        <f t="shared" si="377"/>
        <v>4.82</v>
      </c>
      <c r="U146" s="3">
        <v>1.72</v>
      </c>
      <c r="V146" s="3">
        <f t="shared" si="378"/>
        <v>1.72</v>
      </c>
      <c r="W146" s="4">
        <f t="shared" si="379"/>
        <v>1.72</v>
      </c>
      <c r="X146" s="3">
        <v>2.23</v>
      </c>
      <c r="Y146" s="3">
        <f t="shared" si="380"/>
        <v>2.23</v>
      </c>
      <c r="Z146" s="21">
        <f t="shared" si="381"/>
        <v>2.23</v>
      </c>
      <c r="BB146" s="20" t="s">
        <v>754</v>
      </c>
      <c r="BC146" s="3">
        <v>3.93</v>
      </c>
      <c r="BD146" s="3">
        <f t="shared" si="382"/>
        <v>3.93</v>
      </c>
      <c r="BE146" s="4">
        <f t="shared" si="383"/>
        <v>3.93</v>
      </c>
      <c r="BF146" s="3">
        <v>4.3</v>
      </c>
      <c r="BG146" s="3">
        <f t="shared" si="384"/>
        <v>4.3</v>
      </c>
      <c r="BH146" s="4">
        <f t="shared" si="385"/>
        <v>4.3</v>
      </c>
      <c r="BI146" s="3">
        <v>4.16</v>
      </c>
      <c r="BJ146" s="3">
        <f t="shared" si="386"/>
        <v>4.16</v>
      </c>
      <c r="BK146" s="4">
        <f t="shared" si="387"/>
        <v>4.16</v>
      </c>
      <c r="BL146" s="3">
        <v>4.26</v>
      </c>
      <c r="BM146" s="3">
        <f t="shared" si="388"/>
        <v>4.26</v>
      </c>
      <c r="BN146" s="4">
        <f t="shared" si="389"/>
        <v>4.26</v>
      </c>
      <c r="BO146" s="3">
        <v>3.61</v>
      </c>
      <c r="BP146" s="3">
        <f t="shared" si="390"/>
        <v>3.61</v>
      </c>
      <c r="BQ146" s="4">
        <f t="shared" si="391"/>
        <v>3.61</v>
      </c>
      <c r="BR146" s="3">
        <v>3.13</v>
      </c>
      <c r="BS146" s="3">
        <f t="shared" si="392"/>
        <v>3.13</v>
      </c>
      <c r="BT146" s="4">
        <f t="shared" si="393"/>
        <v>3.13</v>
      </c>
      <c r="BU146" s="3">
        <v>1.65</v>
      </c>
      <c r="BV146" s="3">
        <f t="shared" si="394"/>
        <v>1.65</v>
      </c>
      <c r="BW146" s="4">
        <f t="shared" si="395"/>
        <v>1.65</v>
      </c>
      <c r="BX146" s="3">
        <v>1.21</v>
      </c>
      <c r="BY146" s="3">
        <f t="shared" si="396"/>
        <v>1.21</v>
      </c>
      <c r="BZ146" s="21">
        <f t="shared" si="397"/>
        <v>1.21</v>
      </c>
    </row>
    <row r="147" spans="2:78">
      <c r="B147" s="20" t="s">
        <v>755</v>
      </c>
      <c r="C147" s="3">
        <v>3.03</v>
      </c>
      <c r="D147" s="3">
        <f t="shared" si="366"/>
        <v>3.03</v>
      </c>
      <c r="E147" s="4">
        <f t="shared" si="367"/>
        <v>3.03</v>
      </c>
      <c r="F147" s="3">
        <v>4.3899999999999997</v>
      </c>
      <c r="G147" s="3">
        <f t="shared" si="368"/>
        <v>4.3899999999999997</v>
      </c>
      <c r="H147" s="4">
        <f t="shared" si="369"/>
        <v>4.3899999999999997</v>
      </c>
      <c r="I147" s="3">
        <v>5.28</v>
      </c>
      <c r="J147" s="3">
        <f t="shared" si="370"/>
        <v>5.28</v>
      </c>
      <c r="K147" s="4">
        <f t="shared" si="371"/>
        <v>5.28</v>
      </c>
      <c r="L147" s="3">
        <v>5.63</v>
      </c>
      <c r="M147" s="3">
        <f t="shared" si="372"/>
        <v>5.63</v>
      </c>
      <c r="N147" s="4">
        <f t="shared" si="373"/>
        <v>5.63</v>
      </c>
      <c r="O147" s="3">
        <v>4.32</v>
      </c>
      <c r="P147" s="3">
        <f t="shared" si="374"/>
        <v>4.32</v>
      </c>
      <c r="Q147" s="4">
        <f t="shared" si="375"/>
        <v>4.32</v>
      </c>
      <c r="R147" s="3">
        <v>3.59</v>
      </c>
      <c r="S147" s="3">
        <f t="shared" si="376"/>
        <v>3.59</v>
      </c>
      <c r="T147" s="4">
        <f t="shared" si="377"/>
        <v>3.59</v>
      </c>
      <c r="U147" s="3">
        <v>1.71</v>
      </c>
      <c r="V147" s="3">
        <f t="shared" si="378"/>
        <v>1.71</v>
      </c>
      <c r="W147" s="4">
        <f t="shared" si="379"/>
        <v>1.71</v>
      </c>
      <c r="X147" s="3">
        <v>2.2599999999999998</v>
      </c>
      <c r="Y147" s="3">
        <f t="shared" si="380"/>
        <v>2.2599999999999998</v>
      </c>
      <c r="Z147" s="21">
        <f t="shared" si="381"/>
        <v>2.2599999999999998</v>
      </c>
      <c r="BB147" s="20" t="s">
        <v>756</v>
      </c>
      <c r="BC147" s="3">
        <v>3.93</v>
      </c>
      <c r="BD147" s="3">
        <f t="shared" si="382"/>
        <v>3.93</v>
      </c>
      <c r="BE147" s="4">
        <f t="shared" si="383"/>
        <v>3.93</v>
      </c>
      <c r="BF147" s="3">
        <v>4.3099999999999996</v>
      </c>
      <c r="BG147" s="3">
        <f t="shared" si="384"/>
        <v>4.3099999999999996</v>
      </c>
      <c r="BH147" s="4">
        <f t="shared" si="385"/>
        <v>4.3099999999999996</v>
      </c>
      <c r="BI147" s="3">
        <v>4.1399999999999997</v>
      </c>
      <c r="BJ147" s="3">
        <f t="shared" si="386"/>
        <v>4.1399999999999997</v>
      </c>
      <c r="BK147" s="4">
        <f t="shared" si="387"/>
        <v>4.1399999999999997</v>
      </c>
      <c r="BL147" s="3">
        <v>4.33</v>
      </c>
      <c r="BM147" s="3">
        <f t="shared" si="388"/>
        <v>4.33</v>
      </c>
      <c r="BN147" s="4">
        <f t="shared" si="389"/>
        <v>4.33</v>
      </c>
      <c r="BO147" s="3">
        <v>3.14</v>
      </c>
      <c r="BP147" s="3">
        <f t="shared" si="390"/>
        <v>3.14</v>
      </c>
      <c r="BQ147" s="4">
        <f t="shared" si="391"/>
        <v>3.14</v>
      </c>
      <c r="BR147" s="3">
        <v>3.11</v>
      </c>
      <c r="BS147" s="3">
        <f t="shared" si="392"/>
        <v>3.11</v>
      </c>
      <c r="BT147" s="4">
        <f t="shared" si="393"/>
        <v>3.11</v>
      </c>
      <c r="BU147" s="3">
        <v>1.63</v>
      </c>
      <c r="BV147" s="3">
        <f t="shared" si="394"/>
        <v>1.63</v>
      </c>
      <c r="BW147" s="4">
        <f t="shared" si="395"/>
        <v>1.63</v>
      </c>
      <c r="BX147" s="3">
        <v>1.23</v>
      </c>
      <c r="BY147" s="3">
        <f t="shared" si="396"/>
        <v>1.23</v>
      </c>
      <c r="BZ147" s="21">
        <f t="shared" si="397"/>
        <v>1.23</v>
      </c>
    </row>
    <row r="148" spans="2:78">
      <c r="B148" s="20" t="s">
        <v>757</v>
      </c>
      <c r="C148" s="3">
        <v>3.01</v>
      </c>
      <c r="D148" s="3">
        <f t="shared" si="366"/>
        <v>3.01</v>
      </c>
      <c r="E148" s="4">
        <f t="shared" si="367"/>
        <v>3.01</v>
      </c>
      <c r="F148" s="3">
        <v>4.3899999999999997</v>
      </c>
      <c r="G148" s="3">
        <f t="shared" si="368"/>
        <v>4.3899999999999997</v>
      </c>
      <c r="H148" s="4">
        <f t="shared" si="369"/>
        <v>4.3899999999999997</v>
      </c>
      <c r="I148" s="3">
        <v>5.33</v>
      </c>
      <c r="J148" s="3">
        <f t="shared" si="370"/>
        <v>5.33</v>
      </c>
      <c r="K148" s="4">
        <f t="shared" si="371"/>
        <v>5.33</v>
      </c>
      <c r="L148" s="3">
        <v>5.63</v>
      </c>
      <c r="M148" s="3">
        <f t="shared" si="372"/>
        <v>5.63</v>
      </c>
      <c r="N148" s="4">
        <f t="shared" si="373"/>
        <v>5.63</v>
      </c>
      <c r="O148" s="3">
        <v>4.32</v>
      </c>
      <c r="P148" s="3">
        <f t="shared" si="374"/>
        <v>4.32</v>
      </c>
      <c r="Q148" s="4">
        <f t="shared" si="375"/>
        <v>4.32</v>
      </c>
      <c r="R148" s="3">
        <v>3.72</v>
      </c>
      <c r="S148" s="3">
        <f t="shared" si="376"/>
        <v>3.72</v>
      </c>
      <c r="T148" s="4">
        <f t="shared" si="377"/>
        <v>3.72</v>
      </c>
      <c r="U148" s="3">
        <v>1.76</v>
      </c>
      <c r="V148" s="3">
        <f t="shared" si="378"/>
        <v>1.76</v>
      </c>
      <c r="W148" s="4">
        <f t="shared" si="379"/>
        <v>1.76</v>
      </c>
      <c r="X148" s="3">
        <v>2.23</v>
      </c>
      <c r="Y148" s="3">
        <f t="shared" si="380"/>
        <v>2.23</v>
      </c>
      <c r="Z148" s="21">
        <f t="shared" si="381"/>
        <v>2.23</v>
      </c>
      <c r="BB148" s="20" t="s">
        <v>758</v>
      </c>
      <c r="BC148" s="3">
        <v>3.93</v>
      </c>
      <c r="BD148" s="3">
        <f t="shared" si="382"/>
        <v>3.93</v>
      </c>
      <c r="BE148" s="4">
        <f t="shared" si="383"/>
        <v>3.93</v>
      </c>
      <c r="BF148" s="3">
        <v>0.53</v>
      </c>
      <c r="BG148" s="3">
        <f t="shared" si="384"/>
        <v>0.53</v>
      </c>
      <c r="BH148" s="4" t="str">
        <f t="shared" si="385"/>
        <v/>
      </c>
      <c r="BI148" s="3">
        <v>4.0999999999999996</v>
      </c>
      <c r="BJ148" s="3">
        <f t="shared" si="386"/>
        <v>4.0999999999999996</v>
      </c>
      <c r="BK148" s="4">
        <f t="shared" si="387"/>
        <v>4.0999999999999996</v>
      </c>
      <c r="BL148" s="3">
        <v>4.32</v>
      </c>
      <c r="BM148" s="3">
        <f t="shared" si="388"/>
        <v>4.32</v>
      </c>
      <c r="BN148" s="4">
        <f t="shared" si="389"/>
        <v>4.32</v>
      </c>
      <c r="BO148" s="3">
        <v>3.61</v>
      </c>
      <c r="BP148" s="3">
        <f t="shared" si="390"/>
        <v>3.61</v>
      </c>
      <c r="BQ148" s="4">
        <f t="shared" si="391"/>
        <v>3.61</v>
      </c>
      <c r="BR148" s="3">
        <v>3.13</v>
      </c>
      <c r="BS148" s="3">
        <f t="shared" si="392"/>
        <v>3.13</v>
      </c>
      <c r="BT148" s="4">
        <f t="shared" si="393"/>
        <v>3.13</v>
      </c>
      <c r="BU148" s="3">
        <v>1.65</v>
      </c>
      <c r="BV148" s="3">
        <f t="shared" si="394"/>
        <v>1.65</v>
      </c>
      <c r="BW148" s="4">
        <f t="shared" si="395"/>
        <v>1.65</v>
      </c>
      <c r="BX148" s="3">
        <v>1.24</v>
      </c>
      <c r="BY148" s="3">
        <f t="shared" si="396"/>
        <v>1.24</v>
      </c>
      <c r="BZ148" s="21">
        <f t="shared" si="397"/>
        <v>1.24</v>
      </c>
    </row>
    <row r="149" spans="2:78">
      <c r="B149" s="20" t="s">
        <v>759</v>
      </c>
      <c r="C149" s="3">
        <v>3.03</v>
      </c>
      <c r="D149" s="3">
        <f t="shared" si="366"/>
        <v>3.03</v>
      </c>
      <c r="E149" s="4">
        <f t="shared" si="367"/>
        <v>3.03</v>
      </c>
      <c r="F149" s="3">
        <v>4.42</v>
      </c>
      <c r="G149" s="3">
        <f t="shared" si="368"/>
        <v>4.42</v>
      </c>
      <c r="H149" s="4">
        <f t="shared" si="369"/>
        <v>4.42</v>
      </c>
      <c r="I149" s="3">
        <v>3.73</v>
      </c>
      <c r="J149" s="3">
        <f t="shared" si="370"/>
        <v>3.73</v>
      </c>
      <c r="K149" s="4" t="str">
        <f t="shared" si="371"/>
        <v/>
      </c>
      <c r="L149" s="3">
        <v>5.63</v>
      </c>
      <c r="M149" s="3">
        <f t="shared" si="372"/>
        <v>5.63</v>
      </c>
      <c r="N149" s="4">
        <f t="shared" si="373"/>
        <v>5.63</v>
      </c>
      <c r="O149" s="3">
        <v>4.32</v>
      </c>
      <c r="P149" s="3">
        <f t="shared" si="374"/>
        <v>4.32</v>
      </c>
      <c r="Q149" s="4">
        <f t="shared" si="375"/>
        <v>4.32</v>
      </c>
      <c r="R149" s="3">
        <v>3.17</v>
      </c>
      <c r="S149" s="3">
        <f t="shared" si="376"/>
        <v>3.17</v>
      </c>
      <c r="T149" s="4" t="str">
        <f t="shared" si="377"/>
        <v/>
      </c>
      <c r="U149" s="3">
        <v>1.75</v>
      </c>
      <c r="V149" s="3">
        <f t="shared" si="378"/>
        <v>1.75</v>
      </c>
      <c r="W149" s="4">
        <f t="shared" si="379"/>
        <v>1.75</v>
      </c>
      <c r="X149" s="3">
        <v>2.66</v>
      </c>
      <c r="Y149" s="3">
        <f t="shared" si="380"/>
        <v>2.66</v>
      </c>
      <c r="Z149" s="21">
        <f t="shared" si="381"/>
        <v>2.66</v>
      </c>
      <c r="BB149" s="20" t="s">
        <v>760</v>
      </c>
      <c r="BC149" s="3">
        <v>3.92</v>
      </c>
      <c r="BD149" s="3">
        <f t="shared" si="382"/>
        <v>3.92</v>
      </c>
      <c r="BE149" s="4">
        <f t="shared" si="383"/>
        <v>3.92</v>
      </c>
      <c r="BF149" s="3">
        <v>4.28</v>
      </c>
      <c r="BG149" s="3">
        <f t="shared" si="384"/>
        <v>4.28</v>
      </c>
      <c r="BH149" s="4">
        <f t="shared" si="385"/>
        <v>4.28</v>
      </c>
      <c r="BI149" s="3">
        <v>4.18</v>
      </c>
      <c r="BJ149" s="3">
        <f t="shared" si="386"/>
        <v>4.18</v>
      </c>
      <c r="BK149" s="4">
        <f t="shared" si="387"/>
        <v>4.18</v>
      </c>
      <c r="BL149" s="3">
        <v>4.3099999999999996</v>
      </c>
      <c r="BM149" s="3">
        <f t="shared" si="388"/>
        <v>4.3099999999999996</v>
      </c>
      <c r="BN149" s="4">
        <f t="shared" si="389"/>
        <v>4.3099999999999996</v>
      </c>
      <c r="BO149" s="3">
        <v>3.61</v>
      </c>
      <c r="BP149" s="3">
        <f t="shared" si="390"/>
        <v>3.61</v>
      </c>
      <c r="BQ149" s="4">
        <f t="shared" si="391"/>
        <v>3.61</v>
      </c>
      <c r="BR149" s="3">
        <v>3.11</v>
      </c>
      <c r="BS149" s="3">
        <f t="shared" si="392"/>
        <v>3.11</v>
      </c>
      <c r="BT149" s="4">
        <f t="shared" si="393"/>
        <v>3.11</v>
      </c>
      <c r="BU149" s="3">
        <v>1.62</v>
      </c>
      <c r="BV149" s="3">
        <f t="shared" si="394"/>
        <v>1.62</v>
      </c>
      <c r="BW149" s="4">
        <f t="shared" si="395"/>
        <v>1.62</v>
      </c>
      <c r="BX149" s="3">
        <v>1.23</v>
      </c>
      <c r="BY149" s="3">
        <f t="shared" si="396"/>
        <v>1.23</v>
      </c>
      <c r="BZ149" s="21">
        <f t="shared" si="397"/>
        <v>1.23</v>
      </c>
    </row>
    <row r="150" spans="2:78">
      <c r="B150" s="20" t="s">
        <v>761</v>
      </c>
      <c r="C150" s="3">
        <v>3.02</v>
      </c>
      <c r="D150" s="3">
        <f t="shared" si="366"/>
        <v>3.02</v>
      </c>
      <c r="E150" s="4">
        <f t="shared" si="367"/>
        <v>3.02</v>
      </c>
      <c r="F150" s="3">
        <v>4.41</v>
      </c>
      <c r="G150" s="3">
        <f t="shared" si="368"/>
        <v>4.41</v>
      </c>
      <c r="H150" s="4">
        <f t="shared" si="369"/>
        <v>4.41</v>
      </c>
      <c r="I150" s="3">
        <v>5.28</v>
      </c>
      <c r="J150" s="3">
        <f t="shared" si="370"/>
        <v>5.28</v>
      </c>
      <c r="K150" s="4">
        <f t="shared" si="371"/>
        <v>5.28</v>
      </c>
      <c r="L150" s="3">
        <v>5.61</v>
      </c>
      <c r="M150" s="3">
        <f t="shared" si="372"/>
        <v>5.61</v>
      </c>
      <c r="N150" s="4">
        <f t="shared" si="373"/>
        <v>5.61</v>
      </c>
      <c r="O150" s="3">
        <v>4.32</v>
      </c>
      <c r="P150" s="3">
        <f t="shared" si="374"/>
        <v>4.32</v>
      </c>
      <c r="Q150" s="4">
        <f t="shared" si="375"/>
        <v>4.32</v>
      </c>
      <c r="R150" s="3">
        <v>4.8</v>
      </c>
      <c r="S150" s="3">
        <f t="shared" si="376"/>
        <v>4.8</v>
      </c>
      <c r="T150" s="4">
        <f t="shared" si="377"/>
        <v>4.8</v>
      </c>
      <c r="U150" s="3">
        <v>1.74</v>
      </c>
      <c r="V150" s="3">
        <f t="shared" si="378"/>
        <v>1.74</v>
      </c>
      <c r="W150" s="4">
        <f t="shared" si="379"/>
        <v>1.74</v>
      </c>
      <c r="X150" s="3">
        <v>2.23</v>
      </c>
      <c r="Y150" s="3">
        <f t="shared" si="380"/>
        <v>2.23</v>
      </c>
      <c r="Z150" s="21">
        <f t="shared" si="381"/>
        <v>2.23</v>
      </c>
      <c r="BB150" s="20" t="s">
        <v>762</v>
      </c>
      <c r="BC150" s="3">
        <v>3.9</v>
      </c>
      <c r="BD150" s="3">
        <f t="shared" si="382"/>
        <v>3.9</v>
      </c>
      <c r="BE150" s="4">
        <f t="shared" si="383"/>
        <v>3.9</v>
      </c>
      <c r="BF150" s="3">
        <v>1.82</v>
      </c>
      <c r="BG150" s="3">
        <f t="shared" si="384"/>
        <v>1.82</v>
      </c>
      <c r="BH150" s="4" t="str">
        <f t="shared" si="385"/>
        <v/>
      </c>
      <c r="BI150" s="3">
        <v>4.17</v>
      </c>
      <c r="BJ150" s="3">
        <f t="shared" si="386"/>
        <v>4.17</v>
      </c>
      <c r="BK150" s="4">
        <f t="shared" si="387"/>
        <v>4.17</v>
      </c>
      <c r="BL150" s="3">
        <v>4.29</v>
      </c>
      <c r="BM150" s="3">
        <f t="shared" si="388"/>
        <v>4.29</v>
      </c>
      <c r="BN150" s="4">
        <f t="shared" si="389"/>
        <v>4.29</v>
      </c>
      <c r="BO150" s="3">
        <v>3.6</v>
      </c>
      <c r="BP150" s="3">
        <f t="shared" si="390"/>
        <v>3.6</v>
      </c>
      <c r="BQ150" s="4">
        <f t="shared" si="391"/>
        <v>3.6</v>
      </c>
      <c r="BR150" s="3">
        <v>3.11</v>
      </c>
      <c r="BS150" s="3">
        <f t="shared" si="392"/>
        <v>3.11</v>
      </c>
      <c r="BT150" s="4">
        <f t="shared" si="393"/>
        <v>3.11</v>
      </c>
      <c r="BU150" s="3">
        <v>1.62</v>
      </c>
      <c r="BV150" s="3">
        <f t="shared" si="394"/>
        <v>1.62</v>
      </c>
      <c r="BW150" s="4">
        <f t="shared" si="395"/>
        <v>1.62</v>
      </c>
      <c r="BX150" s="3">
        <v>1.25</v>
      </c>
      <c r="BY150" s="3">
        <f t="shared" si="396"/>
        <v>1.25</v>
      </c>
      <c r="BZ150" s="21">
        <f t="shared" si="397"/>
        <v>1.25</v>
      </c>
    </row>
    <row r="151" spans="2:78">
      <c r="B151" s="20" t="s">
        <v>763</v>
      </c>
      <c r="C151" s="3">
        <v>3.02</v>
      </c>
      <c r="D151" s="3">
        <f t="shared" si="366"/>
        <v>3.02</v>
      </c>
      <c r="E151" s="4">
        <f t="shared" si="367"/>
        <v>3.02</v>
      </c>
      <c r="F151" s="3">
        <v>4.41</v>
      </c>
      <c r="G151" s="3">
        <f t="shared" si="368"/>
        <v>4.41</v>
      </c>
      <c r="H151" s="4">
        <f t="shared" si="369"/>
        <v>4.41</v>
      </c>
      <c r="I151" s="3">
        <v>3.62</v>
      </c>
      <c r="J151" s="3">
        <f t="shared" si="370"/>
        <v>3.62</v>
      </c>
      <c r="K151" s="4" t="str">
        <f t="shared" si="371"/>
        <v/>
      </c>
      <c r="L151" s="3">
        <v>5.61</v>
      </c>
      <c r="M151" s="3">
        <f t="shared" si="372"/>
        <v>5.61</v>
      </c>
      <c r="N151" s="4">
        <f t="shared" si="373"/>
        <v>5.61</v>
      </c>
      <c r="O151" s="3">
        <v>4.32</v>
      </c>
      <c r="P151" s="3">
        <f t="shared" si="374"/>
        <v>4.32</v>
      </c>
      <c r="Q151" s="4">
        <f t="shared" si="375"/>
        <v>4.32</v>
      </c>
      <c r="R151" s="3">
        <v>4.8499999999999996</v>
      </c>
      <c r="S151" s="3">
        <f t="shared" si="376"/>
        <v>4.8499999999999996</v>
      </c>
      <c r="T151" s="4">
        <f t="shared" si="377"/>
        <v>4.8499999999999996</v>
      </c>
      <c r="U151" s="3">
        <v>1.73</v>
      </c>
      <c r="V151" s="3">
        <f t="shared" si="378"/>
        <v>1.73</v>
      </c>
      <c r="W151" s="4">
        <f t="shared" si="379"/>
        <v>1.73</v>
      </c>
      <c r="X151" s="3">
        <v>2.2599999999999998</v>
      </c>
      <c r="Y151" s="3">
        <f t="shared" si="380"/>
        <v>2.2599999999999998</v>
      </c>
      <c r="Z151" s="21">
        <f t="shared" si="381"/>
        <v>2.2599999999999998</v>
      </c>
      <c r="BB151" s="20" t="s">
        <v>764</v>
      </c>
      <c r="BC151" s="3">
        <v>3.91</v>
      </c>
      <c r="BD151" s="3">
        <f t="shared" si="382"/>
        <v>3.91</v>
      </c>
      <c r="BE151" s="4">
        <f t="shared" si="383"/>
        <v>3.91</v>
      </c>
      <c r="BF151" s="3">
        <v>4.2699999999999996</v>
      </c>
      <c r="BG151" s="3">
        <f t="shared" si="384"/>
        <v>4.2699999999999996</v>
      </c>
      <c r="BH151" s="4">
        <f t="shared" si="385"/>
        <v>4.2699999999999996</v>
      </c>
      <c r="BI151" s="3">
        <v>4.17</v>
      </c>
      <c r="BJ151" s="3">
        <f t="shared" si="386"/>
        <v>4.17</v>
      </c>
      <c r="BK151" s="4">
        <f t="shared" si="387"/>
        <v>4.17</v>
      </c>
      <c r="BL151" s="3">
        <v>4.29</v>
      </c>
      <c r="BM151" s="3">
        <f t="shared" si="388"/>
        <v>4.29</v>
      </c>
      <c r="BN151" s="4">
        <f t="shared" si="389"/>
        <v>4.29</v>
      </c>
      <c r="BO151" s="3">
        <v>3.59</v>
      </c>
      <c r="BP151" s="3">
        <f t="shared" si="390"/>
        <v>3.59</v>
      </c>
      <c r="BQ151" s="4">
        <f t="shared" si="391"/>
        <v>3.59</v>
      </c>
      <c r="BR151" s="3">
        <v>3.12</v>
      </c>
      <c r="BS151" s="3">
        <f t="shared" si="392"/>
        <v>3.12</v>
      </c>
      <c r="BT151" s="4">
        <f t="shared" si="393"/>
        <v>3.12</v>
      </c>
      <c r="BU151" s="3">
        <v>1.62</v>
      </c>
      <c r="BV151" s="3">
        <f t="shared" si="394"/>
        <v>1.62</v>
      </c>
      <c r="BW151" s="4">
        <f t="shared" si="395"/>
        <v>1.62</v>
      </c>
      <c r="BX151" s="3">
        <v>1.17</v>
      </c>
      <c r="BY151" s="3">
        <f t="shared" si="396"/>
        <v>1.17</v>
      </c>
      <c r="BZ151" s="21">
        <f t="shared" si="397"/>
        <v>1.17</v>
      </c>
    </row>
    <row r="152" spans="2:78">
      <c r="B152" s="20" t="s">
        <v>765</v>
      </c>
      <c r="C152" s="3">
        <v>3</v>
      </c>
      <c r="D152" s="3">
        <f t="shared" si="366"/>
        <v>3</v>
      </c>
      <c r="E152" s="4">
        <f t="shared" si="367"/>
        <v>3</v>
      </c>
      <c r="F152" s="3">
        <v>4.3899999999999997</v>
      </c>
      <c r="G152" s="3">
        <f t="shared" si="368"/>
        <v>4.3899999999999997</v>
      </c>
      <c r="H152" s="4">
        <f t="shared" si="369"/>
        <v>4.3899999999999997</v>
      </c>
      <c r="I152" s="3">
        <v>5.29</v>
      </c>
      <c r="J152" s="3">
        <f t="shared" si="370"/>
        <v>5.29</v>
      </c>
      <c r="K152" s="4">
        <f t="shared" si="371"/>
        <v>5.29</v>
      </c>
      <c r="L152" s="3">
        <v>5.63</v>
      </c>
      <c r="M152" s="3">
        <f t="shared" si="372"/>
        <v>5.63</v>
      </c>
      <c r="N152" s="4">
        <f t="shared" si="373"/>
        <v>5.63</v>
      </c>
      <c r="O152" s="3">
        <v>4.32</v>
      </c>
      <c r="P152" s="3">
        <f t="shared" si="374"/>
        <v>4.32</v>
      </c>
      <c r="Q152" s="4">
        <f t="shared" si="375"/>
        <v>4.32</v>
      </c>
      <c r="R152" s="3">
        <v>4.7699999999999996</v>
      </c>
      <c r="S152" s="3">
        <f t="shared" si="376"/>
        <v>4.7699999999999996</v>
      </c>
      <c r="T152" s="4">
        <f t="shared" si="377"/>
        <v>4.7699999999999996</v>
      </c>
      <c r="U152" s="3">
        <v>1.74</v>
      </c>
      <c r="V152" s="3">
        <f t="shared" si="378"/>
        <v>1.74</v>
      </c>
      <c r="W152" s="4">
        <f t="shared" si="379"/>
        <v>1.74</v>
      </c>
      <c r="X152" s="3">
        <v>2.2000000000000002</v>
      </c>
      <c r="Y152" s="3">
        <f t="shared" si="380"/>
        <v>2.2000000000000002</v>
      </c>
      <c r="Z152" s="21">
        <f t="shared" si="381"/>
        <v>2.2000000000000002</v>
      </c>
      <c r="BB152" s="20" t="s">
        <v>766</v>
      </c>
      <c r="BC152" s="3">
        <v>0.84</v>
      </c>
      <c r="BD152" s="3">
        <f t="shared" si="382"/>
        <v>0.84</v>
      </c>
      <c r="BE152" s="4" t="str">
        <f t="shared" si="383"/>
        <v/>
      </c>
      <c r="BF152" s="3">
        <v>4.26</v>
      </c>
      <c r="BG152" s="3">
        <f t="shared" si="384"/>
        <v>4.26</v>
      </c>
      <c r="BH152" s="4">
        <f t="shared" si="385"/>
        <v>4.26</v>
      </c>
      <c r="BI152" s="3">
        <v>4.16</v>
      </c>
      <c r="BJ152" s="3">
        <f t="shared" si="386"/>
        <v>4.16</v>
      </c>
      <c r="BK152" s="4">
        <f t="shared" si="387"/>
        <v>4.16</v>
      </c>
      <c r="BL152" s="3">
        <v>4.29</v>
      </c>
      <c r="BM152" s="3">
        <f t="shared" si="388"/>
        <v>4.29</v>
      </c>
      <c r="BN152" s="4">
        <f t="shared" si="389"/>
        <v>4.29</v>
      </c>
      <c r="BO152" s="3">
        <v>3.57</v>
      </c>
      <c r="BP152" s="3">
        <f t="shared" si="390"/>
        <v>3.57</v>
      </c>
      <c r="BQ152" s="4">
        <f t="shared" si="391"/>
        <v>3.57</v>
      </c>
      <c r="BR152" s="3">
        <v>3.12</v>
      </c>
      <c r="BS152" s="3">
        <f t="shared" si="392"/>
        <v>3.12</v>
      </c>
      <c r="BT152" s="4">
        <f t="shared" si="393"/>
        <v>3.12</v>
      </c>
      <c r="BU152" s="3">
        <v>1.63</v>
      </c>
      <c r="BV152" s="3">
        <f t="shared" si="394"/>
        <v>1.63</v>
      </c>
      <c r="BW152" s="4">
        <f t="shared" si="395"/>
        <v>1.63</v>
      </c>
      <c r="BX152" s="3">
        <v>1.25</v>
      </c>
      <c r="BY152" s="3">
        <f t="shared" si="396"/>
        <v>1.25</v>
      </c>
      <c r="BZ152" s="21">
        <f t="shared" si="397"/>
        <v>1.25</v>
      </c>
    </row>
    <row r="153" spans="2:78">
      <c r="B153" s="20" t="s">
        <v>767</v>
      </c>
      <c r="C153" s="3">
        <v>2.99</v>
      </c>
      <c r="D153" s="3">
        <f t="shared" si="366"/>
        <v>2.99</v>
      </c>
      <c r="E153" s="4">
        <f t="shared" si="367"/>
        <v>2.99</v>
      </c>
      <c r="F153" s="3">
        <v>4.41</v>
      </c>
      <c r="G153" s="3">
        <f t="shared" si="368"/>
        <v>4.41</v>
      </c>
      <c r="H153" s="4">
        <f t="shared" si="369"/>
        <v>4.41</v>
      </c>
      <c r="I153" s="3">
        <v>5.32</v>
      </c>
      <c r="J153" s="3">
        <f t="shared" si="370"/>
        <v>5.32</v>
      </c>
      <c r="K153" s="4">
        <f t="shared" si="371"/>
        <v>5.32</v>
      </c>
      <c r="L153" s="3">
        <v>4.6100000000000003</v>
      </c>
      <c r="M153" s="3">
        <f t="shared" si="372"/>
        <v>4.6100000000000003</v>
      </c>
      <c r="N153" s="4">
        <f t="shared" si="373"/>
        <v>4.6100000000000003</v>
      </c>
      <c r="O153" s="3">
        <v>4.37</v>
      </c>
      <c r="P153" s="3">
        <f t="shared" si="374"/>
        <v>4.37</v>
      </c>
      <c r="Q153" s="4">
        <f t="shared" si="375"/>
        <v>4.37</v>
      </c>
      <c r="R153" s="3">
        <v>4.83</v>
      </c>
      <c r="S153" s="3">
        <f t="shared" si="376"/>
        <v>4.83</v>
      </c>
      <c r="T153" s="4">
        <f t="shared" si="377"/>
        <v>4.83</v>
      </c>
      <c r="U153" s="3">
        <v>1.74</v>
      </c>
      <c r="V153" s="3">
        <f t="shared" si="378"/>
        <v>1.74</v>
      </c>
      <c r="W153" s="4">
        <f t="shared" si="379"/>
        <v>1.74</v>
      </c>
      <c r="X153" s="3">
        <v>2.2400000000000002</v>
      </c>
      <c r="Y153" s="3">
        <f t="shared" si="380"/>
        <v>2.2400000000000002</v>
      </c>
      <c r="Z153" s="21">
        <f t="shared" si="381"/>
        <v>2.2400000000000002</v>
      </c>
      <c r="BB153" s="20" t="s">
        <v>768</v>
      </c>
      <c r="BC153" s="3">
        <v>3.92</v>
      </c>
      <c r="BD153" s="3">
        <f t="shared" si="382"/>
        <v>3.92</v>
      </c>
      <c r="BE153" s="4">
        <f t="shared" si="383"/>
        <v>3.92</v>
      </c>
      <c r="BF153" s="3">
        <v>4.28</v>
      </c>
      <c r="BG153" s="3">
        <f t="shared" si="384"/>
        <v>4.28</v>
      </c>
      <c r="BH153" s="4">
        <f t="shared" si="385"/>
        <v>4.28</v>
      </c>
      <c r="BI153" s="3">
        <v>4.17</v>
      </c>
      <c r="BJ153" s="3">
        <f t="shared" si="386"/>
        <v>4.17</v>
      </c>
      <c r="BK153" s="4">
        <f t="shared" si="387"/>
        <v>4.17</v>
      </c>
      <c r="BL153" s="3">
        <v>4.3099999999999996</v>
      </c>
      <c r="BM153" s="3">
        <f t="shared" si="388"/>
        <v>4.3099999999999996</v>
      </c>
      <c r="BN153" s="4">
        <f t="shared" si="389"/>
        <v>4.3099999999999996</v>
      </c>
      <c r="BO153" s="3">
        <v>0.91</v>
      </c>
      <c r="BP153" s="3">
        <f t="shared" si="390"/>
        <v>0.91</v>
      </c>
      <c r="BQ153" s="4" t="str">
        <f t="shared" si="391"/>
        <v/>
      </c>
      <c r="BR153" s="3">
        <v>1.75</v>
      </c>
      <c r="BS153" s="3">
        <f t="shared" si="392"/>
        <v>1.75</v>
      </c>
      <c r="BT153" s="4" t="str">
        <f t="shared" si="393"/>
        <v/>
      </c>
      <c r="BU153" s="3">
        <v>1.63</v>
      </c>
      <c r="BV153" s="3">
        <f t="shared" si="394"/>
        <v>1.63</v>
      </c>
      <c r="BW153" s="4">
        <f t="shared" si="395"/>
        <v>1.63</v>
      </c>
      <c r="BX153" s="3">
        <v>1.24</v>
      </c>
      <c r="BY153" s="3">
        <f t="shared" si="396"/>
        <v>1.24</v>
      </c>
      <c r="BZ153" s="21">
        <f t="shared" si="397"/>
        <v>1.24</v>
      </c>
    </row>
    <row r="154" spans="2:78">
      <c r="B154" s="20" t="s">
        <v>769</v>
      </c>
      <c r="C154" s="3">
        <v>2.99</v>
      </c>
      <c r="D154" s="3">
        <f t="shared" si="366"/>
        <v>2.99</v>
      </c>
      <c r="E154" s="4">
        <f t="shared" si="367"/>
        <v>2.99</v>
      </c>
      <c r="F154" s="3">
        <v>4.3600000000000003</v>
      </c>
      <c r="G154" s="3">
        <f t="shared" si="368"/>
        <v>4.3600000000000003</v>
      </c>
      <c r="H154" s="4">
        <f t="shared" si="369"/>
        <v>4.3600000000000003</v>
      </c>
      <c r="I154" s="3">
        <v>5.3</v>
      </c>
      <c r="J154" s="3">
        <f t="shared" si="370"/>
        <v>5.3</v>
      </c>
      <c r="K154" s="4">
        <f t="shared" si="371"/>
        <v>5.3</v>
      </c>
      <c r="L154" s="3">
        <v>5.64</v>
      </c>
      <c r="M154" s="3">
        <f t="shared" si="372"/>
        <v>5.64</v>
      </c>
      <c r="N154" s="4">
        <f t="shared" si="373"/>
        <v>5.64</v>
      </c>
      <c r="O154" s="3">
        <v>4.34</v>
      </c>
      <c r="P154" s="3">
        <f t="shared" si="374"/>
        <v>4.34</v>
      </c>
      <c r="Q154" s="4">
        <f t="shared" si="375"/>
        <v>4.34</v>
      </c>
      <c r="R154" s="3">
        <v>4.8600000000000003</v>
      </c>
      <c r="S154" s="3">
        <f t="shared" si="376"/>
        <v>4.8600000000000003</v>
      </c>
      <c r="T154" s="4">
        <f t="shared" si="377"/>
        <v>4.8600000000000003</v>
      </c>
      <c r="U154" s="3">
        <v>1.76</v>
      </c>
      <c r="V154" s="3">
        <f t="shared" si="378"/>
        <v>1.76</v>
      </c>
      <c r="W154" s="4">
        <f t="shared" si="379"/>
        <v>1.76</v>
      </c>
      <c r="X154" s="3">
        <v>2.2599999999999998</v>
      </c>
      <c r="Y154" s="3">
        <f t="shared" si="380"/>
        <v>2.2599999999999998</v>
      </c>
      <c r="Z154" s="21">
        <f t="shared" si="381"/>
        <v>2.2599999999999998</v>
      </c>
      <c r="BB154" s="20" t="s">
        <v>770</v>
      </c>
      <c r="BC154" s="3">
        <v>3.92</v>
      </c>
      <c r="BD154" s="3">
        <f t="shared" si="382"/>
        <v>3.92</v>
      </c>
      <c r="BE154" s="4">
        <f t="shared" si="383"/>
        <v>3.92</v>
      </c>
      <c r="BF154" s="3">
        <v>4.2699999999999996</v>
      </c>
      <c r="BG154" s="3">
        <f t="shared" si="384"/>
        <v>4.2699999999999996</v>
      </c>
      <c r="BH154" s="4">
        <f t="shared" si="385"/>
        <v>4.2699999999999996</v>
      </c>
      <c r="BI154" s="3">
        <v>4.18</v>
      </c>
      <c r="BJ154" s="3">
        <f t="shared" si="386"/>
        <v>4.18</v>
      </c>
      <c r="BK154" s="4">
        <f t="shared" si="387"/>
        <v>4.18</v>
      </c>
      <c r="BL154" s="3">
        <v>4.3099999999999996</v>
      </c>
      <c r="BM154" s="3">
        <f t="shared" si="388"/>
        <v>4.3099999999999996</v>
      </c>
      <c r="BN154" s="4">
        <f t="shared" si="389"/>
        <v>4.3099999999999996</v>
      </c>
      <c r="BO154" s="3">
        <v>3.6</v>
      </c>
      <c r="BP154" s="3">
        <f t="shared" si="390"/>
        <v>3.6</v>
      </c>
      <c r="BQ154" s="4">
        <f t="shared" si="391"/>
        <v>3.6</v>
      </c>
      <c r="BR154" s="3">
        <v>3.99</v>
      </c>
      <c r="BS154" s="3">
        <f t="shared" si="392"/>
        <v>3.99</v>
      </c>
      <c r="BT154" s="4" t="str">
        <f t="shared" si="393"/>
        <v/>
      </c>
      <c r="BU154" s="3">
        <v>1.63</v>
      </c>
      <c r="BV154" s="3">
        <f t="shared" si="394"/>
        <v>1.63</v>
      </c>
      <c r="BW154" s="4">
        <f t="shared" si="395"/>
        <v>1.63</v>
      </c>
      <c r="BX154" s="3">
        <v>1.25</v>
      </c>
      <c r="BY154" s="3">
        <f t="shared" si="396"/>
        <v>1.25</v>
      </c>
      <c r="BZ154" s="21">
        <f t="shared" si="397"/>
        <v>1.25</v>
      </c>
    </row>
    <row r="155" spans="2:78">
      <c r="B155" s="20" t="s">
        <v>771</v>
      </c>
      <c r="C155" s="3">
        <v>3.01</v>
      </c>
      <c r="D155" s="3">
        <f t="shared" si="366"/>
        <v>3.01</v>
      </c>
      <c r="E155" s="4">
        <f t="shared" si="367"/>
        <v>3.01</v>
      </c>
      <c r="F155" s="3">
        <v>4.3899999999999997</v>
      </c>
      <c r="G155" s="3">
        <f t="shared" si="368"/>
        <v>4.3899999999999997</v>
      </c>
      <c r="H155" s="4">
        <f t="shared" si="369"/>
        <v>4.3899999999999997</v>
      </c>
      <c r="I155" s="3">
        <v>5.28</v>
      </c>
      <c r="J155" s="3">
        <f t="shared" si="370"/>
        <v>5.28</v>
      </c>
      <c r="K155" s="4">
        <f t="shared" si="371"/>
        <v>5.28</v>
      </c>
      <c r="L155" s="3">
        <v>5.61</v>
      </c>
      <c r="M155" s="3">
        <f t="shared" si="372"/>
        <v>5.61</v>
      </c>
      <c r="N155" s="4">
        <f t="shared" si="373"/>
        <v>5.61</v>
      </c>
      <c r="O155" s="3">
        <v>4.3499999999999996</v>
      </c>
      <c r="P155" s="3">
        <f t="shared" si="374"/>
        <v>4.3499999999999996</v>
      </c>
      <c r="Q155" s="4">
        <f t="shared" si="375"/>
        <v>4.3499999999999996</v>
      </c>
      <c r="R155" s="3">
        <v>4.84</v>
      </c>
      <c r="S155" s="3">
        <f t="shared" si="376"/>
        <v>4.84</v>
      </c>
      <c r="T155" s="4">
        <f t="shared" si="377"/>
        <v>4.84</v>
      </c>
      <c r="U155" s="3">
        <v>1.79</v>
      </c>
      <c r="V155" s="3">
        <f t="shared" si="378"/>
        <v>1.79</v>
      </c>
      <c r="W155" s="4">
        <f t="shared" si="379"/>
        <v>1.79</v>
      </c>
      <c r="X155" s="3">
        <v>2.29</v>
      </c>
      <c r="Y155" s="3">
        <f t="shared" si="380"/>
        <v>2.29</v>
      </c>
      <c r="Z155" s="21">
        <f t="shared" si="381"/>
        <v>2.29</v>
      </c>
      <c r="BB155" s="20" t="s">
        <v>772</v>
      </c>
      <c r="BC155" s="3">
        <v>3.92</v>
      </c>
      <c r="BD155" s="3">
        <f t="shared" si="382"/>
        <v>3.92</v>
      </c>
      <c r="BE155" s="4">
        <f t="shared" si="383"/>
        <v>3.92</v>
      </c>
      <c r="BF155" s="3">
        <v>4.2699999999999996</v>
      </c>
      <c r="BG155" s="3">
        <f t="shared" si="384"/>
        <v>4.2699999999999996</v>
      </c>
      <c r="BH155" s="4">
        <f t="shared" si="385"/>
        <v>4.2699999999999996</v>
      </c>
      <c r="BI155" s="3">
        <v>4.16</v>
      </c>
      <c r="BJ155" s="3">
        <f t="shared" si="386"/>
        <v>4.16</v>
      </c>
      <c r="BK155" s="4">
        <f t="shared" si="387"/>
        <v>4.16</v>
      </c>
      <c r="BL155" s="3">
        <v>4.3</v>
      </c>
      <c r="BM155" s="3">
        <f t="shared" si="388"/>
        <v>4.3</v>
      </c>
      <c r="BN155" s="4">
        <f t="shared" si="389"/>
        <v>4.3</v>
      </c>
      <c r="BO155" s="3">
        <v>3.59</v>
      </c>
      <c r="BP155" s="3">
        <f t="shared" si="390"/>
        <v>3.59</v>
      </c>
      <c r="BQ155" s="4">
        <f t="shared" si="391"/>
        <v>3.59</v>
      </c>
      <c r="BR155" s="3">
        <v>3.14</v>
      </c>
      <c r="BS155" s="3">
        <f t="shared" si="392"/>
        <v>3.14</v>
      </c>
      <c r="BT155" s="4">
        <f t="shared" si="393"/>
        <v>3.14</v>
      </c>
      <c r="BU155" s="3">
        <v>1.63</v>
      </c>
      <c r="BV155" s="3">
        <f t="shared" si="394"/>
        <v>1.63</v>
      </c>
      <c r="BW155" s="4">
        <f t="shared" si="395"/>
        <v>1.63</v>
      </c>
      <c r="BX155" s="3">
        <v>1.25</v>
      </c>
      <c r="BY155" s="3">
        <f t="shared" si="396"/>
        <v>1.25</v>
      </c>
      <c r="BZ155" s="21">
        <f t="shared" si="397"/>
        <v>1.25</v>
      </c>
    </row>
    <row r="156" spans="2:78">
      <c r="B156" s="20" t="s">
        <v>773</v>
      </c>
      <c r="C156" s="3">
        <v>3.03</v>
      </c>
      <c r="D156" s="3">
        <f t="shared" si="366"/>
        <v>3.03</v>
      </c>
      <c r="E156" s="4">
        <f t="shared" si="367"/>
        <v>3.03</v>
      </c>
      <c r="F156" s="3">
        <v>4.4000000000000004</v>
      </c>
      <c r="G156" s="3">
        <f t="shared" si="368"/>
        <v>4.4000000000000004</v>
      </c>
      <c r="H156" s="4">
        <f t="shared" si="369"/>
        <v>4.4000000000000004</v>
      </c>
      <c r="I156" s="3">
        <v>5.3</v>
      </c>
      <c r="J156" s="3">
        <f t="shared" si="370"/>
        <v>5.3</v>
      </c>
      <c r="K156" s="4">
        <f t="shared" si="371"/>
        <v>5.3</v>
      </c>
      <c r="L156" s="3">
        <v>3.93</v>
      </c>
      <c r="M156" s="3">
        <f t="shared" si="372"/>
        <v>3.93</v>
      </c>
      <c r="N156" s="4">
        <f t="shared" si="373"/>
        <v>3.93</v>
      </c>
      <c r="O156" s="3">
        <v>4.34</v>
      </c>
      <c r="P156" s="3">
        <f t="shared" si="374"/>
        <v>4.34</v>
      </c>
      <c r="Q156" s="4">
        <f t="shared" si="375"/>
        <v>4.34</v>
      </c>
      <c r="R156" s="3">
        <v>4.8</v>
      </c>
      <c r="S156" s="3">
        <f t="shared" si="376"/>
        <v>4.8</v>
      </c>
      <c r="T156" s="4">
        <f t="shared" si="377"/>
        <v>4.8</v>
      </c>
      <c r="U156" s="3">
        <v>1.76</v>
      </c>
      <c r="V156" s="3">
        <f t="shared" si="378"/>
        <v>1.76</v>
      </c>
      <c r="W156" s="4">
        <f t="shared" si="379"/>
        <v>1.76</v>
      </c>
      <c r="X156" s="3">
        <v>2.23</v>
      </c>
      <c r="Y156" s="3">
        <f t="shared" si="380"/>
        <v>2.23</v>
      </c>
      <c r="Z156" s="21">
        <f t="shared" si="381"/>
        <v>2.23</v>
      </c>
      <c r="BB156" s="20" t="s">
        <v>774</v>
      </c>
      <c r="BC156" s="3">
        <v>3.91</v>
      </c>
      <c r="BD156" s="3">
        <f t="shared" si="382"/>
        <v>3.91</v>
      </c>
      <c r="BE156" s="4">
        <f t="shared" si="383"/>
        <v>3.91</v>
      </c>
      <c r="BF156" s="3">
        <v>4.28</v>
      </c>
      <c r="BG156" s="3">
        <f t="shared" si="384"/>
        <v>4.28</v>
      </c>
      <c r="BH156" s="4">
        <f t="shared" si="385"/>
        <v>4.28</v>
      </c>
      <c r="BI156" s="3">
        <v>4.1500000000000004</v>
      </c>
      <c r="BJ156" s="3">
        <f t="shared" si="386"/>
        <v>4.1500000000000004</v>
      </c>
      <c r="BK156" s="4">
        <f t="shared" si="387"/>
        <v>4.1500000000000004</v>
      </c>
      <c r="BL156" s="3">
        <v>4.29</v>
      </c>
      <c r="BM156" s="3">
        <f t="shared" si="388"/>
        <v>4.29</v>
      </c>
      <c r="BN156" s="4">
        <f t="shared" si="389"/>
        <v>4.29</v>
      </c>
      <c r="BO156" s="3">
        <v>3.6</v>
      </c>
      <c r="BP156" s="3">
        <f t="shared" si="390"/>
        <v>3.6</v>
      </c>
      <c r="BQ156" s="4">
        <f t="shared" si="391"/>
        <v>3.6</v>
      </c>
      <c r="BR156" s="3">
        <v>3.12</v>
      </c>
      <c r="BS156" s="3">
        <f t="shared" si="392"/>
        <v>3.12</v>
      </c>
      <c r="BT156" s="4">
        <f t="shared" si="393"/>
        <v>3.12</v>
      </c>
      <c r="BU156" s="3">
        <v>1.66</v>
      </c>
      <c r="BV156" s="3">
        <f t="shared" si="394"/>
        <v>1.66</v>
      </c>
      <c r="BW156" s="4">
        <f t="shared" si="395"/>
        <v>1.66</v>
      </c>
      <c r="BX156" s="3">
        <v>1.3</v>
      </c>
      <c r="BY156" s="3">
        <f t="shared" si="396"/>
        <v>1.3</v>
      </c>
      <c r="BZ156" s="21">
        <f t="shared" si="397"/>
        <v>1.3</v>
      </c>
    </row>
    <row r="157" spans="2:78">
      <c r="B157" s="20" t="s">
        <v>775</v>
      </c>
      <c r="C157" s="3">
        <v>1.9</v>
      </c>
      <c r="D157" s="3">
        <f t="shared" si="366"/>
        <v>1.9</v>
      </c>
      <c r="E157" s="4" t="str">
        <f t="shared" si="367"/>
        <v/>
      </c>
      <c r="F157" s="3">
        <v>1.08</v>
      </c>
      <c r="G157" s="3">
        <f t="shared" si="368"/>
        <v>1.08</v>
      </c>
      <c r="H157" s="4" t="str">
        <f t="shared" si="369"/>
        <v/>
      </c>
      <c r="I157" s="3">
        <v>5.32</v>
      </c>
      <c r="J157" s="3">
        <f t="shared" si="370"/>
        <v>5.32</v>
      </c>
      <c r="K157" s="4">
        <f t="shared" si="371"/>
        <v>5.32</v>
      </c>
      <c r="L157" s="3">
        <v>5.64</v>
      </c>
      <c r="M157" s="3">
        <f t="shared" si="372"/>
        <v>5.64</v>
      </c>
      <c r="N157" s="4">
        <f t="shared" si="373"/>
        <v>5.64</v>
      </c>
      <c r="O157" s="3">
        <v>2.8</v>
      </c>
      <c r="P157" s="3">
        <f t="shared" si="374"/>
        <v>2.8</v>
      </c>
      <c r="Q157" s="4" t="str">
        <f t="shared" si="375"/>
        <v/>
      </c>
      <c r="R157" s="3">
        <v>2.04</v>
      </c>
      <c r="S157" s="3">
        <f t="shared" si="376"/>
        <v>2.04</v>
      </c>
      <c r="T157" s="4" t="str">
        <f t="shared" si="377"/>
        <v/>
      </c>
      <c r="U157" s="3">
        <v>1.77</v>
      </c>
      <c r="V157" s="3">
        <f t="shared" si="378"/>
        <v>1.77</v>
      </c>
      <c r="W157" s="4">
        <f t="shared" si="379"/>
        <v>1.77</v>
      </c>
      <c r="X157" s="3">
        <v>2.23</v>
      </c>
      <c r="Y157" s="3">
        <f t="shared" si="380"/>
        <v>2.23</v>
      </c>
      <c r="Z157" s="21">
        <f t="shared" si="381"/>
        <v>2.23</v>
      </c>
      <c r="BB157" s="20" t="s">
        <v>776</v>
      </c>
      <c r="BC157" s="3">
        <v>3.9</v>
      </c>
      <c r="BD157" s="3">
        <f t="shared" si="382"/>
        <v>3.9</v>
      </c>
      <c r="BE157" s="4">
        <f t="shared" si="383"/>
        <v>3.9</v>
      </c>
      <c r="BF157" s="3">
        <v>4.26</v>
      </c>
      <c r="BG157" s="3">
        <f t="shared" si="384"/>
        <v>4.26</v>
      </c>
      <c r="BH157" s="4">
        <f t="shared" si="385"/>
        <v>4.26</v>
      </c>
      <c r="BI157" s="3">
        <v>4.21</v>
      </c>
      <c r="BJ157" s="3">
        <f t="shared" si="386"/>
        <v>4.21</v>
      </c>
      <c r="BK157" s="4">
        <f t="shared" si="387"/>
        <v>4.21</v>
      </c>
      <c r="BL157" s="3">
        <v>1.96</v>
      </c>
      <c r="BM157" s="3">
        <f t="shared" si="388"/>
        <v>1.96</v>
      </c>
      <c r="BN157" s="4" t="str">
        <f t="shared" si="389"/>
        <v/>
      </c>
      <c r="BO157" s="3">
        <v>3.61</v>
      </c>
      <c r="BP157" s="3">
        <f t="shared" si="390"/>
        <v>3.61</v>
      </c>
      <c r="BQ157" s="4">
        <f t="shared" si="391"/>
        <v>3.61</v>
      </c>
      <c r="BR157" s="3">
        <v>3.14</v>
      </c>
      <c r="BS157" s="3">
        <f t="shared" si="392"/>
        <v>3.14</v>
      </c>
      <c r="BT157" s="4">
        <f t="shared" si="393"/>
        <v>3.14</v>
      </c>
      <c r="BU157" s="3">
        <v>1.63</v>
      </c>
      <c r="BV157" s="3">
        <f t="shared" si="394"/>
        <v>1.63</v>
      </c>
      <c r="BW157" s="4">
        <f t="shared" si="395"/>
        <v>1.63</v>
      </c>
      <c r="BX157" s="3">
        <v>1.23</v>
      </c>
      <c r="BY157" s="3">
        <f t="shared" si="396"/>
        <v>1.23</v>
      </c>
      <c r="BZ157" s="21">
        <f t="shared" si="397"/>
        <v>1.23</v>
      </c>
    </row>
    <row r="158" spans="2:78">
      <c r="B158" s="20" t="s">
        <v>777</v>
      </c>
      <c r="C158" s="3">
        <v>3</v>
      </c>
      <c r="D158" s="3">
        <f t="shared" si="366"/>
        <v>3</v>
      </c>
      <c r="E158" s="4">
        <f t="shared" si="367"/>
        <v>3</v>
      </c>
      <c r="F158" s="3">
        <v>4.38</v>
      </c>
      <c r="G158" s="3">
        <f t="shared" si="368"/>
        <v>4.38</v>
      </c>
      <c r="H158" s="4">
        <f t="shared" si="369"/>
        <v>4.38</v>
      </c>
      <c r="I158" s="3">
        <v>5.28</v>
      </c>
      <c r="J158" s="3">
        <f t="shared" si="370"/>
        <v>5.28</v>
      </c>
      <c r="K158" s="4">
        <f t="shared" si="371"/>
        <v>5.28</v>
      </c>
      <c r="L158" s="3">
        <v>5.64</v>
      </c>
      <c r="M158" s="3">
        <f t="shared" si="372"/>
        <v>5.64</v>
      </c>
      <c r="N158" s="4">
        <f t="shared" si="373"/>
        <v>5.64</v>
      </c>
      <c r="O158" s="3">
        <v>1.46</v>
      </c>
      <c r="P158" s="3">
        <f t="shared" si="374"/>
        <v>1.46</v>
      </c>
      <c r="Q158" s="4" t="str">
        <f t="shared" si="375"/>
        <v/>
      </c>
      <c r="R158" s="3">
        <v>4.8899999999999997</v>
      </c>
      <c r="S158" s="3">
        <f t="shared" si="376"/>
        <v>4.8899999999999997</v>
      </c>
      <c r="T158" s="4">
        <f t="shared" si="377"/>
        <v>4.8899999999999997</v>
      </c>
      <c r="U158" s="3">
        <v>1.76</v>
      </c>
      <c r="V158" s="3">
        <f t="shared" si="378"/>
        <v>1.76</v>
      </c>
      <c r="W158" s="4">
        <f t="shared" si="379"/>
        <v>1.76</v>
      </c>
      <c r="X158" s="3">
        <v>2.27</v>
      </c>
      <c r="Y158" s="3">
        <f t="shared" si="380"/>
        <v>2.27</v>
      </c>
      <c r="Z158" s="21">
        <f t="shared" si="381"/>
        <v>2.27</v>
      </c>
      <c r="BB158" s="20" t="s">
        <v>778</v>
      </c>
      <c r="BC158" s="3">
        <v>3.94</v>
      </c>
      <c r="BD158" s="3">
        <f t="shared" si="382"/>
        <v>3.94</v>
      </c>
      <c r="BE158" s="4">
        <f t="shared" si="383"/>
        <v>3.94</v>
      </c>
      <c r="BF158" s="3">
        <v>4.28</v>
      </c>
      <c r="BG158" s="3">
        <f t="shared" si="384"/>
        <v>4.28</v>
      </c>
      <c r="BH158" s="4">
        <f t="shared" si="385"/>
        <v>4.28</v>
      </c>
      <c r="BI158" s="3">
        <v>4.16</v>
      </c>
      <c r="BJ158" s="3">
        <f t="shared" si="386"/>
        <v>4.16</v>
      </c>
      <c r="BK158" s="4">
        <f t="shared" si="387"/>
        <v>4.16</v>
      </c>
      <c r="BL158" s="3">
        <v>4.3</v>
      </c>
      <c r="BM158" s="3">
        <f t="shared" si="388"/>
        <v>4.3</v>
      </c>
      <c r="BN158" s="4">
        <f t="shared" si="389"/>
        <v>4.3</v>
      </c>
      <c r="BO158" s="3">
        <v>3.56</v>
      </c>
      <c r="BP158" s="3">
        <f t="shared" si="390"/>
        <v>3.56</v>
      </c>
      <c r="BQ158" s="4">
        <f t="shared" si="391"/>
        <v>3.56</v>
      </c>
      <c r="BR158" s="3">
        <v>3.12</v>
      </c>
      <c r="BS158" s="3">
        <f t="shared" si="392"/>
        <v>3.12</v>
      </c>
      <c r="BT158" s="4">
        <f t="shared" si="393"/>
        <v>3.12</v>
      </c>
      <c r="BU158" s="3">
        <v>1.6</v>
      </c>
      <c r="BV158" s="3">
        <f t="shared" si="394"/>
        <v>1.6</v>
      </c>
      <c r="BW158" s="4">
        <f t="shared" si="395"/>
        <v>1.6</v>
      </c>
      <c r="BX158" s="3">
        <v>1.24</v>
      </c>
      <c r="BY158" s="3">
        <f t="shared" si="396"/>
        <v>1.24</v>
      </c>
      <c r="BZ158" s="21">
        <f t="shared" si="397"/>
        <v>1.24</v>
      </c>
    </row>
    <row r="159" spans="2:78">
      <c r="B159" s="20" t="s">
        <v>779</v>
      </c>
      <c r="C159" s="3">
        <v>3</v>
      </c>
      <c r="D159" s="3">
        <f t="shared" si="366"/>
        <v>3</v>
      </c>
      <c r="E159" s="4">
        <f t="shared" si="367"/>
        <v>3</v>
      </c>
      <c r="F159" s="3">
        <v>4.37</v>
      </c>
      <c r="G159" s="3">
        <f t="shared" si="368"/>
        <v>4.37</v>
      </c>
      <c r="H159" s="4">
        <f t="shared" si="369"/>
        <v>4.37</v>
      </c>
      <c r="I159" s="3">
        <v>5.32</v>
      </c>
      <c r="J159" s="3">
        <f t="shared" si="370"/>
        <v>5.32</v>
      </c>
      <c r="K159" s="4">
        <f t="shared" si="371"/>
        <v>5.32</v>
      </c>
      <c r="L159" s="3">
        <v>5.62</v>
      </c>
      <c r="M159" s="3">
        <f t="shared" si="372"/>
        <v>5.62</v>
      </c>
      <c r="N159" s="4">
        <f t="shared" si="373"/>
        <v>5.62</v>
      </c>
      <c r="O159" s="3">
        <v>4.32</v>
      </c>
      <c r="P159" s="3">
        <f t="shared" si="374"/>
        <v>4.32</v>
      </c>
      <c r="Q159" s="4">
        <f t="shared" si="375"/>
        <v>4.32</v>
      </c>
      <c r="R159" s="3">
        <v>4.82</v>
      </c>
      <c r="S159" s="3">
        <f t="shared" si="376"/>
        <v>4.82</v>
      </c>
      <c r="T159" s="4">
        <f t="shared" si="377"/>
        <v>4.82</v>
      </c>
      <c r="U159" s="3">
        <v>1.75</v>
      </c>
      <c r="V159" s="3">
        <f t="shared" si="378"/>
        <v>1.75</v>
      </c>
      <c r="W159" s="4">
        <f t="shared" si="379"/>
        <v>1.75</v>
      </c>
      <c r="X159" s="3">
        <v>2.2799999999999998</v>
      </c>
      <c r="Y159" s="3">
        <f t="shared" si="380"/>
        <v>2.2799999999999998</v>
      </c>
      <c r="Z159" s="21">
        <f t="shared" si="381"/>
        <v>2.2799999999999998</v>
      </c>
      <c r="BB159" s="20" t="s">
        <v>780</v>
      </c>
      <c r="BC159" s="3">
        <v>0.9</v>
      </c>
      <c r="BD159" s="3">
        <f t="shared" si="382"/>
        <v>0.9</v>
      </c>
      <c r="BE159" s="4" t="str">
        <f t="shared" si="383"/>
        <v/>
      </c>
      <c r="BF159" s="3">
        <v>4.3099999999999996</v>
      </c>
      <c r="BG159" s="3">
        <f t="shared" si="384"/>
        <v>4.3099999999999996</v>
      </c>
      <c r="BH159" s="4">
        <f t="shared" si="385"/>
        <v>4.3099999999999996</v>
      </c>
      <c r="BI159" s="3">
        <v>4.13</v>
      </c>
      <c r="BJ159" s="3">
        <f t="shared" si="386"/>
        <v>4.13</v>
      </c>
      <c r="BK159" s="4">
        <f t="shared" si="387"/>
        <v>4.13</v>
      </c>
      <c r="BL159" s="3">
        <v>4.3</v>
      </c>
      <c r="BM159" s="3">
        <f t="shared" si="388"/>
        <v>4.3</v>
      </c>
      <c r="BN159" s="4">
        <f t="shared" si="389"/>
        <v>4.3</v>
      </c>
      <c r="BO159" s="3">
        <v>3.61</v>
      </c>
      <c r="BP159" s="3">
        <f t="shared" si="390"/>
        <v>3.61</v>
      </c>
      <c r="BQ159" s="4">
        <f t="shared" si="391"/>
        <v>3.61</v>
      </c>
      <c r="BR159" s="3">
        <v>3.13</v>
      </c>
      <c r="BS159" s="3">
        <f t="shared" si="392"/>
        <v>3.13</v>
      </c>
      <c r="BT159" s="4">
        <f t="shared" si="393"/>
        <v>3.13</v>
      </c>
      <c r="BU159" s="3">
        <v>1.61</v>
      </c>
      <c r="BV159" s="3">
        <f t="shared" si="394"/>
        <v>1.61</v>
      </c>
      <c r="BW159" s="4">
        <f t="shared" si="395"/>
        <v>1.61</v>
      </c>
      <c r="BX159" s="3">
        <v>1.2</v>
      </c>
      <c r="BY159" s="3">
        <f t="shared" si="396"/>
        <v>1.2</v>
      </c>
      <c r="BZ159" s="21">
        <f t="shared" si="397"/>
        <v>1.2</v>
      </c>
    </row>
    <row r="160" spans="2:78">
      <c r="B160" s="20" t="s">
        <v>781</v>
      </c>
      <c r="C160" s="3">
        <v>3.01</v>
      </c>
      <c r="D160" s="3">
        <f t="shared" si="366"/>
        <v>3.01</v>
      </c>
      <c r="E160" s="4">
        <f t="shared" si="367"/>
        <v>3.01</v>
      </c>
      <c r="F160" s="3">
        <v>4.38</v>
      </c>
      <c r="G160" s="3">
        <f t="shared" si="368"/>
        <v>4.38</v>
      </c>
      <c r="H160" s="4">
        <f t="shared" si="369"/>
        <v>4.38</v>
      </c>
      <c r="I160" s="3">
        <v>5.3</v>
      </c>
      <c r="J160" s="3">
        <f t="shared" si="370"/>
        <v>5.3</v>
      </c>
      <c r="K160" s="4">
        <f t="shared" si="371"/>
        <v>5.3</v>
      </c>
      <c r="L160" s="3">
        <v>5.62</v>
      </c>
      <c r="M160" s="3">
        <f t="shared" si="372"/>
        <v>5.62</v>
      </c>
      <c r="N160" s="4">
        <f t="shared" si="373"/>
        <v>5.62</v>
      </c>
      <c r="O160" s="3">
        <v>4.34</v>
      </c>
      <c r="P160" s="3">
        <f t="shared" si="374"/>
        <v>4.34</v>
      </c>
      <c r="Q160" s="4">
        <f t="shared" si="375"/>
        <v>4.34</v>
      </c>
      <c r="R160" s="3">
        <v>4.8600000000000003</v>
      </c>
      <c r="S160" s="3">
        <f t="shared" si="376"/>
        <v>4.8600000000000003</v>
      </c>
      <c r="T160" s="4">
        <f t="shared" si="377"/>
        <v>4.8600000000000003</v>
      </c>
      <c r="U160" s="3">
        <v>1.81</v>
      </c>
      <c r="V160" s="3">
        <f t="shared" si="378"/>
        <v>1.81</v>
      </c>
      <c r="W160" s="4">
        <f t="shared" si="379"/>
        <v>1.81</v>
      </c>
      <c r="X160" s="3">
        <v>2.2599999999999998</v>
      </c>
      <c r="Y160" s="3">
        <f t="shared" si="380"/>
        <v>2.2599999999999998</v>
      </c>
      <c r="Z160" s="21">
        <f t="shared" si="381"/>
        <v>2.2599999999999998</v>
      </c>
      <c r="BB160" s="20" t="s">
        <v>782</v>
      </c>
      <c r="BC160" s="3">
        <v>3.9</v>
      </c>
      <c r="BD160" s="3">
        <f t="shared" si="382"/>
        <v>3.9</v>
      </c>
      <c r="BE160" s="4">
        <f t="shared" si="383"/>
        <v>3.9</v>
      </c>
      <c r="BF160" s="3">
        <v>4.2699999999999996</v>
      </c>
      <c r="BG160" s="3">
        <f t="shared" si="384"/>
        <v>4.2699999999999996</v>
      </c>
      <c r="BH160" s="4">
        <f t="shared" si="385"/>
        <v>4.2699999999999996</v>
      </c>
      <c r="BI160" s="3">
        <v>4.1900000000000004</v>
      </c>
      <c r="BJ160" s="3">
        <f t="shared" si="386"/>
        <v>4.1900000000000004</v>
      </c>
      <c r="BK160" s="4">
        <f t="shared" si="387"/>
        <v>4.1900000000000004</v>
      </c>
      <c r="BL160" s="3">
        <v>4.29</v>
      </c>
      <c r="BM160" s="3">
        <f t="shared" si="388"/>
        <v>4.29</v>
      </c>
      <c r="BN160" s="4">
        <f t="shared" si="389"/>
        <v>4.29</v>
      </c>
      <c r="BO160" s="3">
        <v>3.63</v>
      </c>
      <c r="BP160" s="3">
        <f t="shared" si="390"/>
        <v>3.63</v>
      </c>
      <c r="BQ160" s="4">
        <f t="shared" si="391"/>
        <v>3.63</v>
      </c>
      <c r="BR160" s="3">
        <v>3.15</v>
      </c>
      <c r="BS160" s="3">
        <f t="shared" si="392"/>
        <v>3.15</v>
      </c>
      <c r="BT160" s="4">
        <f t="shared" si="393"/>
        <v>3.15</v>
      </c>
      <c r="BU160" s="3">
        <v>1.63</v>
      </c>
      <c r="BV160" s="3">
        <f t="shared" si="394"/>
        <v>1.63</v>
      </c>
      <c r="BW160" s="4">
        <f t="shared" si="395"/>
        <v>1.63</v>
      </c>
      <c r="BX160" s="3">
        <v>1.22</v>
      </c>
      <c r="BY160" s="3">
        <f t="shared" si="396"/>
        <v>1.22</v>
      </c>
      <c r="BZ160" s="21">
        <f t="shared" si="397"/>
        <v>1.22</v>
      </c>
    </row>
    <row r="161" spans="2:78">
      <c r="B161" s="20" t="s">
        <v>783</v>
      </c>
      <c r="C161" s="3">
        <v>2.99</v>
      </c>
      <c r="D161" s="3">
        <f t="shared" si="366"/>
        <v>2.99</v>
      </c>
      <c r="E161" s="4">
        <f t="shared" si="367"/>
        <v>2.99</v>
      </c>
      <c r="F161" s="3">
        <v>1.55</v>
      </c>
      <c r="G161" s="3">
        <f t="shared" si="368"/>
        <v>1.55</v>
      </c>
      <c r="H161" s="4" t="str">
        <f t="shared" si="369"/>
        <v/>
      </c>
      <c r="I161" s="3">
        <v>2.56</v>
      </c>
      <c r="J161" s="3">
        <f t="shared" si="370"/>
        <v>2.56</v>
      </c>
      <c r="K161" s="4" t="str">
        <f t="shared" si="371"/>
        <v/>
      </c>
      <c r="L161" s="3">
        <v>5.62</v>
      </c>
      <c r="M161" s="3">
        <f t="shared" si="372"/>
        <v>5.62</v>
      </c>
      <c r="N161" s="4">
        <f t="shared" si="373"/>
        <v>5.62</v>
      </c>
      <c r="O161" s="3">
        <v>4.34</v>
      </c>
      <c r="P161" s="3">
        <f t="shared" si="374"/>
        <v>4.34</v>
      </c>
      <c r="Q161" s="4">
        <f t="shared" si="375"/>
        <v>4.34</v>
      </c>
      <c r="R161" s="3">
        <v>4.8600000000000003</v>
      </c>
      <c r="S161" s="3">
        <f t="shared" si="376"/>
        <v>4.8600000000000003</v>
      </c>
      <c r="T161" s="4">
        <f t="shared" si="377"/>
        <v>4.8600000000000003</v>
      </c>
      <c r="U161" s="3">
        <v>1.77</v>
      </c>
      <c r="V161" s="3">
        <f t="shared" si="378"/>
        <v>1.77</v>
      </c>
      <c r="W161" s="4">
        <f t="shared" si="379"/>
        <v>1.77</v>
      </c>
      <c r="X161" s="3">
        <v>2.2400000000000002</v>
      </c>
      <c r="Y161" s="3">
        <f t="shared" si="380"/>
        <v>2.2400000000000002</v>
      </c>
      <c r="Z161" s="21">
        <f t="shared" si="381"/>
        <v>2.2400000000000002</v>
      </c>
      <c r="BB161" s="20" t="s">
        <v>784</v>
      </c>
      <c r="BC161" s="3">
        <v>3.91</v>
      </c>
      <c r="BD161" s="3">
        <f t="shared" si="382"/>
        <v>3.91</v>
      </c>
      <c r="BE161" s="4">
        <f t="shared" si="383"/>
        <v>3.91</v>
      </c>
      <c r="BF161" s="3">
        <v>4.26</v>
      </c>
      <c r="BG161" s="3">
        <f t="shared" si="384"/>
        <v>4.26</v>
      </c>
      <c r="BH161" s="4">
        <f t="shared" si="385"/>
        <v>4.26</v>
      </c>
      <c r="BI161" s="3">
        <v>4.1500000000000004</v>
      </c>
      <c r="BJ161" s="3">
        <f t="shared" si="386"/>
        <v>4.1500000000000004</v>
      </c>
      <c r="BK161" s="4">
        <f t="shared" si="387"/>
        <v>4.1500000000000004</v>
      </c>
      <c r="BL161" s="3">
        <v>4.2699999999999996</v>
      </c>
      <c r="BM161" s="3">
        <f t="shared" si="388"/>
        <v>4.2699999999999996</v>
      </c>
      <c r="BN161" s="4">
        <f t="shared" si="389"/>
        <v>4.2699999999999996</v>
      </c>
      <c r="BO161" s="3">
        <v>3.68</v>
      </c>
      <c r="BP161" s="3">
        <f t="shared" si="390"/>
        <v>3.68</v>
      </c>
      <c r="BQ161" s="4">
        <f t="shared" si="391"/>
        <v>3.68</v>
      </c>
      <c r="BR161" s="3">
        <v>3.13</v>
      </c>
      <c r="BS161" s="3">
        <f t="shared" si="392"/>
        <v>3.13</v>
      </c>
      <c r="BT161" s="4">
        <f t="shared" si="393"/>
        <v>3.13</v>
      </c>
      <c r="BU161" s="3">
        <v>1.63</v>
      </c>
      <c r="BV161" s="3">
        <f t="shared" si="394"/>
        <v>1.63</v>
      </c>
      <c r="BW161" s="4">
        <f t="shared" si="395"/>
        <v>1.63</v>
      </c>
      <c r="BX161" s="3">
        <v>1.26</v>
      </c>
      <c r="BY161" s="3">
        <f t="shared" si="396"/>
        <v>1.26</v>
      </c>
      <c r="BZ161" s="21">
        <f t="shared" si="397"/>
        <v>1.26</v>
      </c>
    </row>
    <row r="162" spans="2:78">
      <c r="B162" s="20" t="s">
        <v>785</v>
      </c>
      <c r="C162" s="3">
        <v>3.02</v>
      </c>
      <c r="D162" s="3">
        <f t="shared" si="366"/>
        <v>3.02</v>
      </c>
      <c r="E162" s="4">
        <f t="shared" si="367"/>
        <v>3.02</v>
      </c>
      <c r="F162" s="3">
        <v>4.37</v>
      </c>
      <c r="G162" s="3">
        <f t="shared" si="368"/>
        <v>4.37</v>
      </c>
      <c r="H162" s="4">
        <f t="shared" si="369"/>
        <v>4.37</v>
      </c>
      <c r="I162" s="3">
        <v>1.86</v>
      </c>
      <c r="J162" s="3">
        <f t="shared" si="370"/>
        <v>1.86</v>
      </c>
      <c r="K162" s="4" t="str">
        <f t="shared" si="371"/>
        <v/>
      </c>
      <c r="L162" s="3">
        <v>5.64</v>
      </c>
      <c r="M162" s="3">
        <f t="shared" si="372"/>
        <v>5.64</v>
      </c>
      <c r="N162" s="4">
        <f t="shared" si="373"/>
        <v>5.64</v>
      </c>
      <c r="O162" s="3">
        <v>4.3099999999999996</v>
      </c>
      <c r="P162" s="3">
        <f t="shared" si="374"/>
        <v>4.3099999999999996</v>
      </c>
      <c r="Q162" s="4">
        <f t="shared" si="375"/>
        <v>4.3099999999999996</v>
      </c>
      <c r="R162" s="3">
        <v>0.39</v>
      </c>
      <c r="S162" s="3">
        <f t="shared" si="376"/>
        <v>0.39</v>
      </c>
      <c r="T162" s="4" t="str">
        <f t="shared" si="377"/>
        <v/>
      </c>
      <c r="U162" s="3">
        <v>1.77</v>
      </c>
      <c r="V162" s="3">
        <f t="shared" si="378"/>
        <v>1.77</v>
      </c>
      <c r="W162" s="4">
        <f t="shared" si="379"/>
        <v>1.77</v>
      </c>
      <c r="X162" s="3">
        <v>2.2400000000000002</v>
      </c>
      <c r="Y162" s="3">
        <f t="shared" si="380"/>
        <v>2.2400000000000002</v>
      </c>
      <c r="Z162" s="21">
        <f t="shared" si="381"/>
        <v>2.2400000000000002</v>
      </c>
      <c r="BB162" s="20" t="s">
        <v>786</v>
      </c>
      <c r="BC162" s="3">
        <v>3.93</v>
      </c>
      <c r="BD162" s="3">
        <f t="shared" si="382"/>
        <v>3.93</v>
      </c>
      <c r="BE162" s="4">
        <f t="shared" si="383"/>
        <v>3.93</v>
      </c>
      <c r="BF162" s="3">
        <v>4.25</v>
      </c>
      <c r="BG162" s="3">
        <f t="shared" si="384"/>
        <v>4.25</v>
      </c>
      <c r="BH162" s="4">
        <f t="shared" si="385"/>
        <v>4.25</v>
      </c>
      <c r="BI162" s="3">
        <v>4.16</v>
      </c>
      <c r="BJ162" s="3">
        <f t="shared" si="386"/>
        <v>4.16</v>
      </c>
      <c r="BK162" s="4">
        <f t="shared" si="387"/>
        <v>4.16</v>
      </c>
      <c r="BL162" s="3">
        <v>4.3499999999999996</v>
      </c>
      <c r="BM162" s="3">
        <f t="shared" si="388"/>
        <v>4.3499999999999996</v>
      </c>
      <c r="BN162" s="4">
        <f t="shared" si="389"/>
        <v>4.3499999999999996</v>
      </c>
      <c r="BO162" s="3">
        <v>3.62</v>
      </c>
      <c r="BP162" s="3">
        <f t="shared" si="390"/>
        <v>3.62</v>
      </c>
      <c r="BQ162" s="4">
        <f t="shared" si="391"/>
        <v>3.62</v>
      </c>
      <c r="BR162" s="3">
        <v>3.11</v>
      </c>
      <c r="BS162" s="3">
        <f t="shared" si="392"/>
        <v>3.11</v>
      </c>
      <c r="BT162" s="4">
        <f t="shared" si="393"/>
        <v>3.11</v>
      </c>
      <c r="BU162" s="3">
        <v>1.62</v>
      </c>
      <c r="BV162" s="3">
        <f t="shared" si="394"/>
        <v>1.62</v>
      </c>
      <c r="BW162" s="4">
        <f t="shared" si="395"/>
        <v>1.62</v>
      </c>
      <c r="BX162" s="3">
        <v>1.23</v>
      </c>
      <c r="BY162" s="3">
        <f t="shared" si="396"/>
        <v>1.23</v>
      </c>
      <c r="BZ162" s="21">
        <f t="shared" si="397"/>
        <v>1.23</v>
      </c>
    </row>
    <row r="163" spans="2:78">
      <c r="B163" s="20" t="s">
        <v>787</v>
      </c>
      <c r="C163" s="3">
        <v>3.03</v>
      </c>
      <c r="D163" s="3">
        <f t="shared" si="366"/>
        <v>3.03</v>
      </c>
      <c r="E163" s="4">
        <f t="shared" si="367"/>
        <v>3.03</v>
      </c>
      <c r="F163" s="3">
        <v>4.37</v>
      </c>
      <c r="G163" s="3">
        <f t="shared" si="368"/>
        <v>4.37</v>
      </c>
      <c r="H163" s="4">
        <f t="shared" si="369"/>
        <v>4.37</v>
      </c>
      <c r="I163" s="3">
        <v>5.28</v>
      </c>
      <c r="J163" s="3">
        <f t="shared" si="370"/>
        <v>5.28</v>
      </c>
      <c r="K163" s="4">
        <f t="shared" si="371"/>
        <v>5.28</v>
      </c>
      <c r="L163" s="3">
        <v>0.08</v>
      </c>
      <c r="M163" s="3">
        <f t="shared" si="372"/>
        <v>0.08</v>
      </c>
      <c r="N163" s="4" t="str">
        <f t="shared" si="373"/>
        <v/>
      </c>
      <c r="O163" s="3">
        <v>4.32</v>
      </c>
      <c r="P163" s="3">
        <f t="shared" si="374"/>
        <v>4.32</v>
      </c>
      <c r="Q163" s="4">
        <f t="shared" si="375"/>
        <v>4.32</v>
      </c>
      <c r="R163" s="3">
        <v>4.8499999999999996</v>
      </c>
      <c r="S163" s="3">
        <f t="shared" si="376"/>
        <v>4.8499999999999996</v>
      </c>
      <c r="T163" s="4">
        <f t="shared" si="377"/>
        <v>4.8499999999999996</v>
      </c>
      <c r="U163" s="3">
        <v>1.75</v>
      </c>
      <c r="V163" s="3">
        <f t="shared" si="378"/>
        <v>1.75</v>
      </c>
      <c r="W163" s="4">
        <f t="shared" si="379"/>
        <v>1.75</v>
      </c>
      <c r="X163" s="3">
        <v>0.34</v>
      </c>
      <c r="Y163" s="3">
        <f t="shared" si="380"/>
        <v>0.34</v>
      </c>
      <c r="Z163" s="21" t="str">
        <f t="shared" si="381"/>
        <v/>
      </c>
      <c r="BB163" s="20" t="s">
        <v>788</v>
      </c>
      <c r="BC163" s="3">
        <v>3.42</v>
      </c>
      <c r="BD163" s="3">
        <f t="shared" si="382"/>
        <v>3.42</v>
      </c>
      <c r="BE163" s="4">
        <f t="shared" si="383"/>
        <v>3.42</v>
      </c>
      <c r="BF163" s="3">
        <v>4.28</v>
      </c>
      <c r="BG163" s="3">
        <f t="shared" si="384"/>
        <v>4.28</v>
      </c>
      <c r="BH163" s="4">
        <f t="shared" si="385"/>
        <v>4.28</v>
      </c>
      <c r="BI163" s="3">
        <v>4.18</v>
      </c>
      <c r="BJ163" s="3">
        <f t="shared" si="386"/>
        <v>4.18</v>
      </c>
      <c r="BK163" s="4">
        <f t="shared" si="387"/>
        <v>4.18</v>
      </c>
      <c r="BL163" s="3">
        <v>4.3099999999999996</v>
      </c>
      <c r="BM163" s="3">
        <f t="shared" si="388"/>
        <v>4.3099999999999996</v>
      </c>
      <c r="BN163" s="4">
        <f t="shared" si="389"/>
        <v>4.3099999999999996</v>
      </c>
      <c r="BO163" s="3">
        <v>3.57</v>
      </c>
      <c r="BP163" s="3">
        <f t="shared" si="390"/>
        <v>3.57</v>
      </c>
      <c r="BQ163" s="4">
        <f t="shared" si="391"/>
        <v>3.57</v>
      </c>
      <c r="BR163" s="3">
        <v>3.14</v>
      </c>
      <c r="BS163" s="3">
        <f t="shared" si="392"/>
        <v>3.14</v>
      </c>
      <c r="BT163" s="4">
        <f t="shared" si="393"/>
        <v>3.14</v>
      </c>
      <c r="BU163" s="3">
        <v>1.63</v>
      </c>
      <c r="BV163" s="3">
        <f t="shared" si="394"/>
        <v>1.63</v>
      </c>
      <c r="BW163" s="4">
        <f t="shared" si="395"/>
        <v>1.63</v>
      </c>
      <c r="BX163" s="3">
        <v>1.18</v>
      </c>
      <c r="BY163" s="3">
        <f t="shared" si="396"/>
        <v>1.18</v>
      </c>
      <c r="BZ163" s="21">
        <f t="shared" si="397"/>
        <v>1.18</v>
      </c>
    </row>
    <row r="164" spans="2:78">
      <c r="B164" s="20" t="s">
        <v>789</v>
      </c>
      <c r="C164" s="3">
        <v>3.02</v>
      </c>
      <c r="D164" s="3">
        <f t="shared" si="366"/>
        <v>3.02</v>
      </c>
      <c r="E164" s="4">
        <f t="shared" si="367"/>
        <v>3.02</v>
      </c>
      <c r="F164" s="3">
        <v>0</v>
      </c>
      <c r="G164" s="3" t="str">
        <f t="shared" si="368"/>
        <v/>
      </c>
      <c r="H164" s="4" t="str">
        <f t="shared" si="369"/>
        <v/>
      </c>
      <c r="I164" s="3">
        <v>2.37</v>
      </c>
      <c r="J164" s="3">
        <f t="shared" si="370"/>
        <v>2.37</v>
      </c>
      <c r="K164" s="4" t="str">
        <f t="shared" si="371"/>
        <v/>
      </c>
      <c r="L164" s="3">
        <v>4.32</v>
      </c>
      <c r="M164" s="3">
        <f t="shared" si="372"/>
        <v>4.32</v>
      </c>
      <c r="N164" s="4">
        <f t="shared" si="373"/>
        <v>4.32</v>
      </c>
      <c r="O164" s="3">
        <v>4.3</v>
      </c>
      <c r="P164" s="3">
        <f t="shared" si="374"/>
        <v>4.3</v>
      </c>
      <c r="Q164" s="4">
        <f t="shared" si="375"/>
        <v>4.3</v>
      </c>
      <c r="R164" s="3">
        <v>4.88</v>
      </c>
      <c r="S164" s="3">
        <f t="shared" si="376"/>
        <v>4.88</v>
      </c>
      <c r="T164" s="4">
        <f t="shared" si="377"/>
        <v>4.88</v>
      </c>
      <c r="U164" s="3">
        <v>0</v>
      </c>
      <c r="V164" s="3" t="str">
        <f t="shared" si="378"/>
        <v/>
      </c>
      <c r="W164" s="4" t="str">
        <f t="shared" si="379"/>
        <v/>
      </c>
      <c r="X164" s="3">
        <v>2.23</v>
      </c>
      <c r="Y164" s="3">
        <f t="shared" si="380"/>
        <v>2.23</v>
      </c>
      <c r="Z164" s="21">
        <f t="shared" si="381"/>
        <v>2.23</v>
      </c>
      <c r="BB164" s="20" t="s">
        <v>790</v>
      </c>
      <c r="BC164" s="3">
        <v>3.92</v>
      </c>
      <c r="BD164" s="3">
        <f t="shared" si="382"/>
        <v>3.92</v>
      </c>
      <c r="BE164" s="4">
        <f t="shared" si="383"/>
        <v>3.92</v>
      </c>
      <c r="BF164" s="3">
        <v>4.29</v>
      </c>
      <c r="BG164" s="3">
        <f t="shared" si="384"/>
        <v>4.29</v>
      </c>
      <c r="BH164" s="4">
        <f t="shared" si="385"/>
        <v>4.29</v>
      </c>
      <c r="BI164" s="3">
        <v>4.1900000000000004</v>
      </c>
      <c r="BJ164" s="3">
        <f t="shared" si="386"/>
        <v>4.1900000000000004</v>
      </c>
      <c r="BK164" s="4">
        <f t="shared" si="387"/>
        <v>4.1900000000000004</v>
      </c>
      <c r="BL164" s="3">
        <v>4.3099999999999996</v>
      </c>
      <c r="BM164" s="3">
        <f t="shared" si="388"/>
        <v>4.3099999999999996</v>
      </c>
      <c r="BN164" s="4">
        <f t="shared" si="389"/>
        <v>4.3099999999999996</v>
      </c>
      <c r="BO164" s="3">
        <v>3.61</v>
      </c>
      <c r="BP164" s="3">
        <f t="shared" si="390"/>
        <v>3.61</v>
      </c>
      <c r="BQ164" s="4">
        <f t="shared" si="391"/>
        <v>3.61</v>
      </c>
      <c r="BR164" s="3">
        <v>0.28000000000000003</v>
      </c>
      <c r="BS164" s="3">
        <f t="shared" si="392"/>
        <v>0.28000000000000003</v>
      </c>
      <c r="BT164" s="4" t="str">
        <f t="shared" si="393"/>
        <v/>
      </c>
      <c r="BU164" s="3">
        <v>1.63</v>
      </c>
      <c r="BV164" s="3">
        <f t="shared" si="394"/>
        <v>1.63</v>
      </c>
      <c r="BW164" s="4">
        <f t="shared" si="395"/>
        <v>1.63</v>
      </c>
      <c r="BX164" s="3">
        <v>1.25</v>
      </c>
      <c r="BY164" s="3">
        <f t="shared" si="396"/>
        <v>1.25</v>
      </c>
      <c r="BZ164" s="21">
        <f t="shared" si="397"/>
        <v>1.25</v>
      </c>
    </row>
    <row r="165" spans="2:78">
      <c r="B165" s="20" t="s">
        <v>791</v>
      </c>
      <c r="C165" s="3">
        <v>2.99</v>
      </c>
      <c r="D165" s="3">
        <f t="shared" si="366"/>
        <v>2.99</v>
      </c>
      <c r="E165" s="4">
        <f t="shared" si="367"/>
        <v>2.99</v>
      </c>
      <c r="F165" s="3">
        <v>4.4000000000000004</v>
      </c>
      <c r="G165" s="3">
        <f t="shared" si="368"/>
        <v>4.4000000000000004</v>
      </c>
      <c r="H165" s="4">
        <f t="shared" si="369"/>
        <v>4.4000000000000004</v>
      </c>
      <c r="I165" s="3">
        <v>3.66</v>
      </c>
      <c r="J165" s="3">
        <f t="shared" si="370"/>
        <v>3.66</v>
      </c>
      <c r="K165" s="4" t="str">
        <f t="shared" si="371"/>
        <v/>
      </c>
      <c r="L165" s="3">
        <v>5.6</v>
      </c>
      <c r="M165" s="3">
        <f t="shared" si="372"/>
        <v>5.6</v>
      </c>
      <c r="N165" s="4">
        <f t="shared" si="373"/>
        <v>5.6</v>
      </c>
      <c r="O165" s="3">
        <v>4.3</v>
      </c>
      <c r="P165" s="3">
        <f t="shared" si="374"/>
        <v>4.3</v>
      </c>
      <c r="Q165" s="4">
        <f t="shared" si="375"/>
        <v>4.3</v>
      </c>
      <c r="R165" s="3">
        <v>3.51</v>
      </c>
      <c r="S165" s="3">
        <f t="shared" si="376"/>
        <v>3.51</v>
      </c>
      <c r="T165" s="4" t="str">
        <f t="shared" si="377"/>
        <v/>
      </c>
      <c r="U165" s="3">
        <v>1.75</v>
      </c>
      <c r="V165" s="3">
        <f t="shared" si="378"/>
        <v>1.75</v>
      </c>
      <c r="W165" s="4">
        <f t="shared" si="379"/>
        <v>1.75</v>
      </c>
      <c r="X165" s="3">
        <v>2.2400000000000002</v>
      </c>
      <c r="Y165" s="3">
        <f t="shared" si="380"/>
        <v>2.2400000000000002</v>
      </c>
      <c r="Z165" s="21">
        <f t="shared" si="381"/>
        <v>2.2400000000000002</v>
      </c>
      <c r="BB165" s="20" t="s">
        <v>792</v>
      </c>
      <c r="BC165" s="3">
        <v>3.92</v>
      </c>
      <c r="BD165" s="3">
        <f t="shared" si="382"/>
        <v>3.92</v>
      </c>
      <c r="BE165" s="4">
        <f t="shared" si="383"/>
        <v>3.92</v>
      </c>
      <c r="BF165" s="3">
        <v>4.2699999999999996</v>
      </c>
      <c r="BG165" s="3">
        <f t="shared" si="384"/>
        <v>4.2699999999999996</v>
      </c>
      <c r="BH165" s="4">
        <f t="shared" si="385"/>
        <v>4.2699999999999996</v>
      </c>
      <c r="BI165" s="3">
        <v>4.16</v>
      </c>
      <c r="BJ165" s="3">
        <f t="shared" si="386"/>
        <v>4.16</v>
      </c>
      <c r="BK165" s="4">
        <f t="shared" si="387"/>
        <v>4.16</v>
      </c>
      <c r="BL165" s="3">
        <v>4.3099999999999996</v>
      </c>
      <c r="BM165" s="3">
        <f t="shared" si="388"/>
        <v>4.3099999999999996</v>
      </c>
      <c r="BN165" s="4">
        <f t="shared" si="389"/>
        <v>4.3099999999999996</v>
      </c>
      <c r="BO165" s="3">
        <v>3.58</v>
      </c>
      <c r="BP165" s="3">
        <f t="shared" si="390"/>
        <v>3.58</v>
      </c>
      <c r="BQ165" s="4">
        <f t="shared" si="391"/>
        <v>3.58</v>
      </c>
      <c r="BR165" s="3">
        <v>3.11</v>
      </c>
      <c r="BS165" s="3">
        <f t="shared" si="392"/>
        <v>3.11</v>
      </c>
      <c r="BT165" s="4">
        <f t="shared" si="393"/>
        <v>3.11</v>
      </c>
      <c r="BU165" s="3">
        <v>1.64</v>
      </c>
      <c r="BV165" s="3">
        <f t="shared" si="394"/>
        <v>1.64</v>
      </c>
      <c r="BW165" s="4">
        <f t="shared" si="395"/>
        <v>1.64</v>
      </c>
      <c r="BX165" s="3">
        <v>1.22</v>
      </c>
      <c r="BY165" s="3">
        <f t="shared" si="396"/>
        <v>1.22</v>
      </c>
      <c r="BZ165" s="21">
        <f t="shared" si="397"/>
        <v>1.22</v>
      </c>
    </row>
    <row r="166" spans="2:78">
      <c r="B166" s="20" t="s">
        <v>793</v>
      </c>
      <c r="C166" s="3">
        <v>3.03</v>
      </c>
      <c r="D166" s="3">
        <f t="shared" si="366"/>
        <v>3.03</v>
      </c>
      <c r="E166" s="4">
        <f t="shared" si="367"/>
        <v>3.03</v>
      </c>
      <c r="F166" s="3">
        <v>4.38</v>
      </c>
      <c r="G166" s="3">
        <f t="shared" si="368"/>
        <v>4.38</v>
      </c>
      <c r="H166" s="4">
        <f t="shared" si="369"/>
        <v>4.38</v>
      </c>
      <c r="I166" s="3">
        <v>5.32</v>
      </c>
      <c r="J166" s="3">
        <f t="shared" si="370"/>
        <v>5.32</v>
      </c>
      <c r="K166" s="4">
        <f t="shared" si="371"/>
        <v>5.32</v>
      </c>
      <c r="L166" s="3">
        <v>5.62</v>
      </c>
      <c r="M166" s="3">
        <f t="shared" si="372"/>
        <v>5.62</v>
      </c>
      <c r="N166" s="4">
        <f t="shared" si="373"/>
        <v>5.62</v>
      </c>
      <c r="O166" s="3">
        <v>4.3099999999999996</v>
      </c>
      <c r="P166" s="3">
        <f t="shared" si="374"/>
        <v>4.3099999999999996</v>
      </c>
      <c r="Q166" s="4">
        <f t="shared" si="375"/>
        <v>4.3099999999999996</v>
      </c>
      <c r="R166" s="3">
        <v>4.8600000000000003</v>
      </c>
      <c r="S166" s="3">
        <f t="shared" si="376"/>
        <v>4.8600000000000003</v>
      </c>
      <c r="T166" s="4">
        <f t="shared" si="377"/>
        <v>4.8600000000000003</v>
      </c>
      <c r="U166" s="3">
        <v>1.78</v>
      </c>
      <c r="V166" s="3">
        <f t="shared" si="378"/>
        <v>1.78</v>
      </c>
      <c r="W166" s="4">
        <f t="shared" si="379"/>
        <v>1.78</v>
      </c>
      <c r="X166" s="3">
        <v>2.23</v>
      </c>
      <c r="Y166" s="3">
        <f t="shared" si="380"/>
        <v>2.23</v>
      </c>
      <c r="Z166" s="21">
        <f t="shared" si="381"/>
        <v>2.23</v>
      </c>
      <c r="BB166" s="20" t="s">
        <v>794</v>
      </c>
      <c r="BC166" s="3">
        <v>3.91</v>
      </c>
      <c r="BD166" s="3">
        <f t="shared" si="382"/>
        <v>3.91</v>
      </c>
      <c r="BE166" s="4">
        <f t="shared" si="383"/>
        <v>3.91</v>
      </c>
      <c r="BF166" s="3">
        <v>4.2699999999999996</v>
      </c>
      <c r="BG166" s="3">
        <f t="shared" si="384"/>
        <v>4.2699999999999996</v>
      </c>
      <c r="BH166" s="4">
        <f t="shared" si="385"/>
        <v>4.2699999999999996</v>
      </c>
      <c r="BI166" s="3">
        <v>4.16</v>
      </c>
      <c r="BJ166" s="3">
        <f t="shared" si="386"/>
        <v>4.16</v>
      </c>
      <c r="BK166" s="4">
        <f t="shared" si="387"/>
        <v>4.16</v>
      </c>
      <c r="BL166" s="3">
        <v>4.28</v>
      </c>
      <c r="BM166" s="3">
        <f t="shared" si="388"/>
        <v>4.28</v>
      </c>
      <c r="BN166" s="4">
        <f t="shared" si="389"/>
        <v>4.28</v>
      </c>
      <c r="BO166" s="3">
        <v>3.61</v>
      </c>
      <c r="BP166" s="3">
        <f t="shared" si="390"/>
        <v>3.61</v>
      </c>
      <c r="BQ166" s="4">
        <f t="shared" si="391"/>
        <v>3.61</v>
      </c>
      <c r="BR166" s="3">
        <v>3.13</v>
      </c>
      <c r="BS166" s="3">
        <f t="shared" si="392"/>
        <v>3.13</v>
      </c>
      <c r="BT166" s="4">
        <f t="shared" si="393"/>
        <v>3.13</v>
      </c>
      <c r="BU166" s="3">
        <v>1.63</v>
      </c>
      <c r="BV166" s="3">
        <f t="shared" si="394"/>
        <v>1.63</v>
      </c>
      <c r="BW166" s="4">
        <f t="shared" si="395"/>
        <v>1.63</v>
      </c>
      <c r="BX166" s="3">
        <v>1.33</v>
      </c>
      <c r="BY166" s="3">
        <f t="shared" si="396"/>
        <v>1.33</v>
      </c>
      <c r="BZ166" s="21">
        <f t="shared" si="397"/>
        <v>1.33</v>
      </c>
    </row>
    <row r="167" spans="2:78">
      <c r="B167" s="20" t="s">
        <v>795</v>
      </c>
      <c r="C167" s="3">
        <v>3</v>
      </c>
      <c r="D167" s="3">
        <f t="shared" si="366"/>
        <v>3</v>
      </c>
      <c r="E167" s="4">
        <f t="shared" si="367"/>
        <v>3</v>
      </c>
      <c r="F167" s="3">
        <v>4.3899999999999997</v>
      </c>
      <c r="G167" s="3">
        <f t="shared" si="368"/>
        <v>4.3899999999999997</v>
      </c>
      <c r="H167" s="4">
        <f t="shared" si="369"/>
        <v>4.3899999999999997</v>
      </c>
      <c r="I167" s="3">
        <v>5.33</v>
      </c>
      <c r="J167" s="3">
        <f t="shared" si="370"/>
        <v>5.33</v>
      </c>
      <c r="K167" s="4">
        <f t="shared" si="371"/>
        <v>5.33</v>
      </c>
      <c r="L167" s="3">
        <v>5.64</v>
      </c>
      <c r="M167" s="3">
        <f t="shared" si="372"/>
        <v>5.64</v>
      </c>
      <c r="N167" s="4">
        <f t="shared" si="373"/>
        <v>5.64</v>
      </c>
      <c r="O167" s="3">
        <v>0.84</v>
      </c>
      <c r="P167" s="3">
        <f t="shared" si="374"/>
        <v>0.84</v>
      </c>
      <c r="Q167" s="4" t="str">
        <f t="shared" si="375"/>
        <v/>
      </c>
      <c r="R167" s="3">
        <v>4.82</v>
      </c>
      <c r="S167" s="3">
        <f t="shared" si="376"/>
        <v>4.82</v>
      </c>
      <c r="T167" s="4">
        <f t="shared" si="377"/>
        <v>4.82</v>
      </c>
      <c r="U167" s="3">
        <v>1.76</v>
      </c>
      <c r="V167" s="3">
        <f t="shared" si="378"/>
        <v>1.76</v>
      </c>
      <c r="W167" s="4">
        <f t="shared" si="379"/>
        <v>1.76</v>
      </c>
      <c r="X167" s="3">
        <v>2.25</v>
      </c>
      <c r="Y167" s="3">
        <f t="shared" si="380"/>
        <v>2.25</v>
      </c>
      <c r="Z167" s="21">
        <f t="shared" si="381"/>
        <v>2.25</v>
      </c>
      <c r="BB167" s="20" t="s">
        <v>796</v>
      </c>
      <c r="BC167" s="3">
        <v>3.91</v>
      </c>
      <c r="BD167" s="3">
        <f t="shared" si="382"/>
        <v>3.91</v>
      </c>
      <c r="BE167" s="4">
        <f t="shared" si="383"/>
        <v>3.91</v>
      </c>
      <c r="BF167" s="3">
        <v>4.26</v>
      </c>
      <c r="BG167" s="3">
        <f t="shared" si="384"/>
        <v>4.26</v>
      </c>
      <c r="BH167" s="4">
        <f t="shared" si="385"/>
        <v>4.26</v>
      </c>
      <c r="BI167" s="3">
        <v>4.16</v>
      </c>
      <c r="BJ167" s="3">
        <f t="shared" si="386"/>
        <v>4.16</v>
      </c>
      <c r="BK167" s="4">
        <f t="shared" si="387"/>
        <v>4.16</v>
      </c>
      <c r="BL167" s="3">
        <v>4.28</v>
      </c>
      <c r="BM167" s="3">
        <f t="shared" si="388"/>
        <v>4.28</v>
      </c>
      <c r="BN167" s="4">
        <f t="shared" si="389"/>
        <v>4.28</v>
      </c>
      <c r="BO167" s="3">
        <v>3.61</v>
      </c>
      <c r="BP167" s="3">
        <f t="shared" si="390"/>
        <v>3.61</v>
      </c>
      <c r="BQ167" s="4">
        <f t="shared" si="391"/>
        <v>3.61</v>
      </c>
      <c r="BR167" s="3">
        <v>3.13</v>
      </c>
      <c r="BS167" s="3">
        <f t="shared" si="392"/>
        <v>3.13</v>
      </c>
      <c r="BT167" s="4">
        <f t="shared" si="393"/>
        <v>3.13</v>
      </c>
      <c r="BU167" s="3">
        <v>1.65</v>
      </c>
      <c r="BV167" s="3">
        <f t="shared" si="394"/>
        <v>1.65</v>
      </c>
      <c r="BW167" s="4">
        <f t="shared" si="395"/>
        <v>1.65</v>
      </c>
      <c r="BX167" s="3">
        <v>0.05</v>
      </c>
      <c r="BY167" s="3">
        <f t="shared" si="396"/>
        <v>0.05</v>
      </c>
      <c r="BZ167" s="21" t="str">
        <f t="shared" si="397"/>
        <v/>
      </c>
    </row>
    <row r="168" spans="2:78">
      <c r="B168" s="20" t="s">
        <v>797</v>
      </c>
      <c r="C168" s="3">
        <v>0.11</v>
      </c>
      <c r="D168" s="3">
        <f t="shared" si="366"/>
        <v>0.11</v>
      </c>
      <c r="E168" s="4" t="str">
        <f t="shared" si="367"/>
        <v/>
      </c>
      <c r="F168" s="3">
        <v>4.3899999999999997</v>
      </c>
      <c r="G168" s="3">
        <f t="shared" si="368"/>
        <v>4.3899999999999997</v>
      </c>
      <c r="H168" s="4">
        <f t="shared" si="369"/>
        <v>4.3899999999999997</v>
      </c>
      <c r="I168" s="3">
        <v>5.31</v>
      </c>
      <c r="J168" s="3">
        <f t="shared" si="370"/>
        <v>5.31</v>
      </c>
      <c r="K168" s="4">
        <f t="shared" si="371"/>
        <v>5.31</v>
      </c>
      <c r="L168" s="3">
        <v>5.6</v>
      </c>
      <c r="M168" s="3">
        <f t="shared" si="372"/>
        <v>5.6</v>
      </c>
      <c r="N168" s="4">
        <f t="shared" si="373"/>
        <v>5.6</v>
      </c>
      <c r="O168" s="3">
        <v>0.18</v>
      </c>
      <c r="P168" s="3">
        <f t="shared" si="374"/>
        <v>0.18</v>
      </c>
      <c r="Q168" s="4" t="str">
        <f t="shared" si="375"/>
        <v/>
      </c>
      <c r="R168" s="3">
        <v>2.73</v>
      </c>
      <c r="S168" s="3">
        <f t="shared" si="376"/>
        <v>2.73</v>
      </c>
      <c r="T168" s="4" t="str">
        <f t="shared" si="377"/>
        <v/>
      </c>
      <c r="U168" s="3">
        <v>1.7</v>
      </c>
      <c r="V168" s="3">
        <f t="shared" si="378"/>
        <v>1.7</v>
      </c>
      <c r="W168" s="4">
        <f t="shared" si="379"/>
        <v>1.7</v>
      </c>
      <c r="X168" s="3">
        <v>2.25</v>
      </c>
      <c r="Y168" s="3">
        <f t="shared" si="380"/>
        <v>2.25</v>
      </c>
      <c r="Z168" s="21">
        <f t="shared" si="381"/>
        <v>2.25</v>
      </c>
      <c r="BB168" s="20" t="s">
        <v>798</v>
      </c>
      <c r="BC168" s="3">
        <v>3.93</v>
      </c>
      <c r="BD168" s="3">
        <f t="shared" si="382"/>
        <v>3.93</v>
      </c>
      <c r="BE168" s="4">
        <f t="shared" si="383"/>
        <v>3.93</v>
      </c>
      <c r="BF168" s="3">
        <v>4.3</v>
      </c>
      <c r="BG168" s="3">
        <f t="shared" si="384"/>
        <v>4.3</v>
      </c>
      <c r="BH168" s="4">
        <f t="shared" si="385"/>
        <v>4.3</v>
      </c>
      <c r="BI168" s="3">
        <v>4.18</v>
      </c>
      <c r="BJ168" s="3">
        <f t="shared" si="386"/>
        <v>4.18</v>
      </c>
      <c r="BK168" s="4">
        <f t="shared" si="387"/>
        <v>4.18</v>
      </c>
      <c r="BL168" s="3">
        <v>4.29</v>
      </c>
      <c r="BM168" s="3">
        <f t="shared" si="388"/>
        <v>4.29</v>
      </c>
      <c r="BN168" s="4">
        <f t="shared" si="389"/>
        <v>4.29</v>
      </c>
      <c r="BO168" s="3">
        <v>3.57</v>
      </c>
      <c r="BP168" s="3">
        <f t="shared" si="390"/>
        <v>3.57</v>
      </c>
      <c r="BQ168" s="4">
        <f t="shared" si="391"/>
        <v>3.57</v>
      </c>
      <c r="BR168" s="3">
        <v>3.13</v>
      </c>
      <c r="BS168" s="3">
        <f t="shared" si="392"/>
        <v>3.13</v>
      </c>
      <c r="BT168" s="4">
        <f t="shared" si="393"/>
        <v>3.13</v>
      </c>
      <c r="BU168" s="3">
        <v>1.61</v>
      </c>
      <c r="BV168" s="3">
        <f t="shared" si="394"/>
        <v>1.61</v>
      </c>
      <c r="BW168" s="4">
        <f t="shared" si="395"/>
        <v>1.61</v>
      </c>
      <c r="BX168" s="3">
        <v>1.33</v>
      </c>
      <c r="BY168" s="3">
        <f t="shared" si="396"/>
        <v>1.33</v>
      </c>
      <c r="BZ168" s="21">
        <f t="shared" si="397"/>
        <v>1.33</v>
      </c>
    </row>
    <row r="169" spans="2:78">
      <c r="B169" s="20" t="s">
        <v>799</v>
      </c>
      <c r="C169" s="3">
        <v>3.01</v>
      </c>
      <c r="D169" s="3">
        <f t="shared" si="366"/>
        <v>3.01</v>
      </c>
      <c r="E169" s="4">
        <f t="shared" si="367"/>
        <v>3.01</v>
      </c>
      <c r="F169" s="3">
        <v>4.37</v>
      </c>
      <c r="G169" s="3">
        <f t="shared" si="368"/>
        <v>4.37</v>
      </c>
      <c r="H169" s="4">
        <f t="shared" si="369"/>
        <v>4.37</v>
      </c>
      <c r="I169" s="3">
        <v>5.34</v>
      </c>
      <c r="J169" s="3">
        <f t="shared" si="370"/>
        <v>5.34</v>
      </c>
      <c r="K169" s="4">
        <f t="shared" si="371"/>
        <v>5.34</v>
      </c>
      <c r="L169" s="3">
        <v>0.82</v>
      </c>
      <c r="M169" s="3">
        <f t="shared" si="372"/>
        <v>0.82</v>
      </c>
      <c r="N169" s="4" t="str">
        <f t="shared" si="373"/>
        <v/>
      </c>
      <c r="O169" s="3">
        <v>4.3600000000000003</v>
      </c>
      <c r="P169" s="3">
        <f t="shared" si="374"/>
        <v>4.3600000000000003</v>
      </c>
      <c r="Q169" s="4">
        <f t="shared" si="375"/>
        <v>4.3600000000000003</v>
      </c>
      <c r="R169" s="3">
        <v>4.83</v>
      </c>
      <c r="S169" s="3">
        <f t="shared" si="376"/>
        <v>4.83</v>
      </c>
      <c r="T169" s="4">
        <f t="shared" si="377"/>
        <v>4.83</v>
      </c>
      <c r="U169" s="3">
        <v>1.74</v>
      </c>
      <c r="V169" s="3">
        <f t="shared" si="378"/>
        <v>1.74</v>
      </c>
      <c r="W169" s="4">
        <f t="shared" si="379"/>
        <v>1.74</v>
      </c>
      <c r="X169" s="3">
        <v>1.74</v>
      </c>
      <c r="Y169" s="3">
        <f t="shared" si="380"/>
        <v>1.74</v>
      </c>
      <c r="Z169" s="21" t="str">
        <f t="shared" si="381"/>
        <v/>
      </c>
      <c r="BB169" s="20" t="s">
        <v>800</v>
      </c>
      <c r="BC169" s="3">
        <v>3.92</v>
      </c>
      <c r="BD169" s="3">
        <f t="shared" si="382"/>
        <v>3.92</v>
      </c>
      <c r="BE169" s="4">
        <f t="shared" si="383"/>
        <v>3.92</v>
      </c>
      <c r="BF169" s="3">
        <v>4.24</v>
      </c>
      <c r="BG169" s="3">
        <f t="shared" si="384"/>
        <v>4.24</v>
      </c>
      <c r="BH169" s="4">
        <f t="shared" si="385"/>
        <v>4.24</v>
      </c>
      <c r="BI169" s="3">
        <v>4.16</v>
      </c>
      <c r="BJ169" s="3">
        <f t="shared" si="386"/>
        <v>4.16</v>
      </c>
      <c r="BK169" s="4">
        <f t="shared" si="387"/>
        <v>4.16</v>
      </c>
      <c r="BL169" s="3">
        <v>0</v>
      </c>
      <c r="BM169" s="3" t="str">
        <f t="shared" si="388"/>
        <v/>
      </c>
      <c r="BN169" s="4" t="str">
        <f t="shared" si="389"/>
        <v/>
      </c>
      <c r="BO169" s="3">
        <v>3.61</v>
      </c>
      <c r="BP169" s="3">
        <f t="shared" si="390"/>
        <v>3.61</v>
      </c>
      <c r="BQ169" s="4">
        <f t="shared" si="391"/>
        <v>3.61</v>
      </c>
      <c r="BR169" s="3">
        <v>3.12</v>
      </c>
      <c r="BS169" s="3">
        <f t="shared" si="392"/>
        <v>3.12</v>
      </c>
      <c r="BT169" s="4">
        <f t="shared" si="393"/>
        <v>3.12</v>
      </c>
      <c r="BU169" s="3">
        <v>1.61</v>
      </c>
      <c r="BV169" s="3">
        <f t="shared" si="394"/>
        <v>1.61</v>
      </c>
      <c r="BW169" s="4">
        <f t="shared" si="395"/>
        <v>1.61</v>
      </c>
      <c r="BX169" s="3">
        <v>1.31</v>
      </c>
      <c r="BY169" s="3">
        <f t="shared" si="396"/>
        <v>1.31</v>
      </c>
      <c r="BZ169" s="21">
        <f t="shared" si="397"/>
        <v>1.31</v>
      </c>
    </row>
    <row r="170" spans="2:78">
      <c r="B170" s="20" t="s">
        <v>801</v>
      </c>
      <c r="C170" s="3">
        <v>3.01</v>
      </c>
      <c r="D170" s="3">
        <f t="shared" si="366"/>
        <v>3.01</v>
      </c>
      <c r="E170" s="4">
        <f t="shared" si="367"/>
        <v>3.01</v>
      </c>
      <c r="F170" s="3">
        <v>4.3899999999999997</v>
      </c>
      <c r="G170" s="3">
        <f t="shared" si="368"/>
        <v>4.3899999999999997</v>
      </c>
      <c r="H170" s="4">
        <f t="shared" si="369"/>
        <v>4.3899999999999997</v>
      </c>
      <c r="I170" s="3">
        <v>5.28</v>
      </c>
      <c r="J170" s="3">
        <f t="shared" si="370"/>
        <v>5.28</v>
      </c>
      <c r="K170" s="4">
        <f t="shared" si="371"/>
        <v>5.28</v>
      </c>
      <c r="L170" s="3">
        <v>1.87</v>
      </c>
      <c r="M170" s="3">
        <f t="shared" si="372"/>
        <v>1.87</v>
      </c>
      <c r="N170" s="4" t="str">
        <f t="shared" si="373"/>
        <v/>
      </c>
      <c r="O170" s="3">
        <v>4.37</v>
      </c>
      <c r="P170" s="3">
        <f t="shared" si="374"/>
        <v>4.37</v>
      </c>
      <c r="Q170" s="4">
        <f t="shared" si="375"/>
        <v>4.37</v>
      </c>
      <c r="R170" s="3">
        <v>4.79</v>
      </c>
      <c r="S170" s="3">
        <f t="shared" si="376"/>
        <v>4.79</v>
      </c>
      <c r="T170" s="4">
        <f t="shared" si="377"/>
        <v>4.79</v>
      </c>
      <c r="U170" s="3">
        <v>1.75</v>
      </c>
      <c r="V170" s="3">
        <f t="shared" si="378"/>
        <v>1.75</v>
      </c>
      <c r="W170" s="4">
        <f t="shared" si="379"/>
        <v>1.75</v>
      </c>
      <c r="X170" s="3">
        <v>1.28</v>
      </c>
      <c r="Y170" s="3">
        <f t="shared" si="380"/>
        <v>1.28</v>
      </c>
      <c r="Z170" s="21" t="str">
        <f t="shared" si="381"/>
        <v/>
      </c>
      <c r="BB170" s="20" t="s">
        <v>802</v>
      </c>
      <c r="BC170" s="3">
        <v>0.66</v>
      </c>
      <c r="BD170" s="3">
        <f t="shared" si="382"/>
        <v>0.66</v>
      </c>
      <c r="BE170" s="4" t="str">
        <f t="shared" si="383"/>
        <v/>
      </c>
      <c r="BF170" s="3">
        <v>4.28</v>
      </c>
      <c r="BG170" s="3">
        <f t="shared" si="384"/>
        <v>4.28</v>
      </c>
      <c r="BH170" s="4">
        <f t="shared" si="385"/>
        <v>4.28</v>
      </c>
      <c r="BI170" s="3">
        <v>4.16</v>
      </c>
      <c r="BJ170" s="3">
        <f t="shared" si="386"/>
        <v>4.16</v>
      </c>
      <c r="BK170" s="4">
        <f t="shared" si="387"/>
        <v>4.16</v>
      </c>
      <c r="BL170" s="3">
        <v>4.3600000000000003</v>
      </c>
      <c r="BM170" s="3">
        <f t="shared" si="388"/>
        <v>4.3600000000000003</v>
      </c>
      <c r="BN170" s="4">
        <f t="shared" si="389"/>
        <v>4.3600000000000003</v>
      </c>
      <c r="BO170" s="3">
        <v>3.61</v>
      </c>
      <c r="BP170" s="3">
        <f t="shared" si="390"/>
        <v>3.61</v>
      </c>
      <c r="BQ170" s="4">
        <f t="shared" si="391"/>
        <v>3.61</v>
      </c>
      <c r="BR170" s="3">
        <v>3.11</v>
      </c>
      <c r="BS170" s="3">
        <f t="shared" si="392"/>
        <v>3.11</v>
      </c>
      <c r="BT170" s="4">
        <f t="shared" si="393"/>
        <v>3.11</v>
      </c>
      <c r="BU170" s="3">
        <v>1.64</v>
      </c>
      <c r="BV170" s="3">
        <f t="shared" si="394"/>
        <v>1.64</v>
      </c>
      <c r="BW170" s="4">
        <f t="shared" si="395"/>
        <v>1.64</v>
      </c>
      <c r="BX170" s="3">
        <v>1.24</v>
      </c>
      <c r="BY170" s="3">
        <f t="shared" si="396"/>
        <v>1.24</v>
      </c>
      <c r="BZ170" s="21">
        <f t="shared" si="397"/>
        <v>1.24</v>
      </c>
    </row>
    <row r="171" spans="2:78">
      <c r="B171" s="20" t="s">
        <v>803</v>
      </c>
      <c r="C171" s="3">
        <v>3.02</v>
      </c>
      <c r="D171" s="3">
        <f t="shared" si="366"/>
        <v>3.02</v>
      </c>
      <c r="E171" s="4">
        <f t="shared" si="367"/>
        <v>3.02</v>
      </c>
      <c r="F171" s="3">
        <v>4.3899999999999997</v>
      </c>
      <c r="G171" s="3">
        <f t="shared" si="368"/>
        <v>4.3899999999999997</v>
      </c>
      <c r="H171" s="4">
        <f t="shared" si="369"/>
        <v>4.3899999999999997</v>
      </c>
      <c r="I171" s="3">
        <v>5.32</v>
      </c>
      <c r="J171" s="3">
        <f t="shared" si="370"/>
        <v>5.32</v>
      </c>
      <c r="K171" s="4">
        <f t="shared" si="371"/>
        <v>5.32</v>
      </c>
      <c r="L171" s="3">
        <v>5.63</v>
      </c>
      <c r="M171" s="3">
        <f t="shared" si="372"/>
        <v>5.63</v>
      </c>
      <c r="N171" s="4">
        <f t="shared" si="373"/>
        <v>5.63</v>
      </c>
      <c r="O171" s="3">
        <v>4.34</v>
      </c>
      <c r="P171" s="3">
        <f t="shared" si="374"/>
        <v>4.34</v>
      </c>
      <c r="Q171" s="4">
        <f t="shared" si="375"/>
        <v>4.34</v>
      </c>
      <c r="R171" s="3">
        <v>4.9000000000000004</v>
      </c>
      <c r="S171" s="3">
        <f t="shared" si="376"/>
        <v>4.9000000000000004</v>
      </c>
      <c r="T171" s="4">
        <f t="shared" si="377"/>
        <v>4.9000000000000004</v>
      </c>
      <c r="U171" s="3">
        <v>1.76</v>
      </c>
      <c r="V171" s="3">
        <f t="shared" si="378"/>
        <v>1.76</v>
      </c>
      <c r="W171" s="4">
        <f t="shared" si="379"/>
        <v>1.76</v>
      </c>
      <c r="X171" s="3">
        <v>2.2799999999999998</v>
      </c>
      <c r="Y171" s="3">
        <f t="shared" si="380"/>
        <v>2.2799999999999998</v>
      </c>
      <c r="Z171" s="21">
        <f t="shared" si="381"/>
        <v>2.2799999999999998</v>
      </c>
      <c r="BB171" s="20" t="s">
        <v>804</v>
      </c>
      <c r="BC171" s="3">
        <v>3.92</v>
      </c>
      <c r="BD171" s="3">
        <f t="shared" si="382"/>
        <v>3.92</v>
      </c>
      <c r="BE171" s="4">
        <f t="shared" si="383"/>
        <v>3.92</v>
      </c>
      <c r="BF171" s="3">
        <v>4.3</v>
      </c>
      <c r="BG171" s="3">
        <f t="shared" si="384"/>
        <v>4.3</v>
      </c>
      <c r="BH171" s="4">
        <f t="shared" si="385"/>
        <v>4.3</v>
      </c>
      <c r="BI171" s="3">
        <v>4.22</v>
      </c>
      <c r="BJ171" s="3">
        <f t="shared" si="386"/>
        <v>4.22</v>
      </c>
      <c r="BK171" s="4">
        <f t="shared" si="387"/>
        <v>4.22</v>
      </c>
      <c r="BL171" s="3">
        <v>1.1000000000000001</v>
      </c>
      <c r="BM171" s="3">
        <f t="shared" si="388"/>
        <v>1.1000000000000001</v>
      </c>
      <c r="BN171" s="4" t="str">
        <f t="shared" si="389"/>
        <v/>
      </c>
      <c r="BO171" s="3">
        <v>3.63</v>
      </c>
      <c r="BP171" s="3">
        <f t="shared" si="390"/>
        <v>3.63</v>
      </c>
      <c r="BQ171" s="4">
        <f t="shared" si="391"/>
        <v>3.63</v>
      </c>
      <c r="BR171" s="3">
        <v>3.11</v>
      </c>
      <c r="BS171" s="3">
        <f t="shared" si="392"/>
        <v>3.11</v>
      </c>
      <c r="BT171" s="4">
        <f t="shared" si="393"/>
        <v>3.11</v>
      </c>
      <c r="BU171" s="3">
        <v>1.63</v>
      </c>
      <c r="BV171" s="3">
        <f t="shared" si="394"/>
        <v>1.63</v>
      </c>
      <c r="BW171" s="4">
        <f t="shared" si="395"/>
        <v>1.63</v>
      </c>
      <c r="BX171" s="3">
        <v>1.1399999999999999</v>
      </c>
      <c r="BY171" s="3">
        <f t="shared" si="396"/>
        <v>1.1399999999999999</v>
      </c>
      <c r="BZ171" s="21">
        <f t="shared" si="397"/>
        <v>1.1399999999999999</v>
      </c>
    </row>
    <row r="172" spans="2:78">
      <c r="B172" s="20" t="s">
        <v>805</v>
      </c>
      <c r="C172" s="3">
        <v>2.99</v>
      </c>
      <c r="D172" s="3">
        <f t="shared" si="366"/>
        <v>2.99</v>
      </c>
      <c r="E172" s="4">
        <f t="shared" si="367"/>
        <v>2.99</v>
      </c>
      <c r="F172" s="3">
        <v>4.42</v>
      </c>
      <c r="G172" s="3">
        <f t="shared" si="368"/>
        <v>4.42</v>
      </c>
      <c r="H172" s="4">
        <f t="shared" si="369"/>
        <v>4.42</v>
      </c>
      <c r="I172" s="3">
        <v>5.31</v>
      </c>
      <c r="J172" s="3">
        <f t="shared" si="370"/>
        <v>5.31</v>
      </c>
      <c r="K172" s="4">
        <f t="shared" si="371"/>
        <v>5.31</v>
      </c>
      <c r="L172" s="3">
        <v>5.61</v>
      </c>
      <c r="M172" s="3">
        <f t="shared" si="372"/>
        <v>5.61</v>
      </c>
      <c r="N172" s="4">
        <f t="shared" si="373"/>
        <v>5.61</v>
      </c>
      <c r="O172" s="3">
        <v>4.3099999999999996</v>
      </c>
      <c r="P172" s="3">
        <f t="shared" si="374"/>
        <v>4.3099999999999996</v>
      </c>
      <c r="Q172" s="4">
        <f t="shared" si="375"/>
        <v>4.3099999999999996</v>
      </c>
      <c r="R172" s="3">
        <v>4.88</v>
      </c>
      <c r="S172" s="3">
        <f t="shared" si="376"/>
        <v>4.88</v>
      </c>
      <c r="T172" s="4">
        <f t="shared" si="377"/>
        <v>4.88</v>
      </c>
      <c r="U172" s="3">
        <v>1.77</v>
      </c>
      <c r="V172" s="3">
        <f t="shared" si="378"/>
        <v>1.77</v>
      </c>
      <c r="W172" s="4">
        <f t="shared" si="379"/>
        <v>1.77</v>
      </c>
      <c r="X172" s="3">
        <v>2.2599999999999998</v>
      </c>
      <c r="Y172" s="3">
        <f t="shared" si="380"/>
        <v>2.2599999999999998</v>
      </c>
      <c r="Z172" s="21">
        <f t="shared" si="381"/>
        <v>2.2599999999999998</v>
      </c>
      <c r="BB172" s="20" t="s">
        <v>806</v>
      </c>
      <c r="BC172" s="3">
        <v>3.91</v>
      </c>
      <c r="BD172" s="3">
        <f t="shared" si="382"/>
        <v>3.91</v>
      </c>
      <c r="BE172" s="4">
        <f t="shared" si="383"/>
        <v>3.91</v>
      </c>
      <c r="BF172" s="3">
        <v>4.26</v>
      </c>
      <c r="BG172" s="3">
        <f t="shared" si="384"/>
        <v>4.26</v>
      </c>
      <c r="BH172" s="4">
        <f t="shared" si="385"/>
        <v>4.26</v>
      </c>
      <c r="BI172" s="3">
        <v>4.13</v>
      </c>
      <c r="BJ172" s="3">
        <f t="shared" si="386"/>
        <v>4.13</v>
      </c>
      <c r="BK172" s="4">
        <f t="shared" si="387"/>
        <v>4.13</v>
      </c>
      <c r="BL172" s="3">
        <v>4.29</v>
      </c>
      <c r="BM172" s="3">
        <f t="shared" si="388"/>
        <v>4.29</v>
      </c>
      <c r="BN172" s="4">
        <f t="shared" si="389"/>
        <v>4.29</v>
      </c>
      <c r="BO172" s="3">
        <v>3.59</v>
      </c>
      <c r="BP172" s="3">
        <f t="shared" si="390"/>
        <v>3.59</v>
      </c>
      <c r="BQ172" s="4">
        <f t="shared" si="391"/>
        <v>3.59</v>
      </c>
      <c r="BR172" s="3">
        <v>3.12</v>
      </c>
      <c r="BS172" s="3">
        <f t="shared" si="392"/>
        <v>3.12</v>
      </c>
      <c r="BT172" s="4">
        <f t="shared" si="393"/>
        <v>3.12</v>
      </c>
      <c r="BU172" s="3">
        <v>1.63</v>
      </c>
      <c r="BV172" s="3">
        <f t="shared" si="394"/>
        <v>1.63</v>
      </c>
      <c r="BW172" s="4">
        <f t="shared" si="395"/>
        <v>1.63</v>
      </c>
      <c r="BX172" s="3">
        <v>1.34</v>
      </c>
      <c r="BY172" s="3">
        <f t="shared" si="396"/>
        <v>1.34</v>
      </c>
      <c r="BZ172" s="21">
        <f t="shared" si="397"/>
        <v>1.34</v>
      </c>
    </row>
    <row r="173" spans="2:78">
      <c r="B173" s="20" t="s">
        <v>807</v>
      </c>
      <c r="C173" s="3">
        <v>3.02</v>
      </c>
      <c r="D173" s="3">
        <f t="shared" si="366"/>
        <v>3.02</v>
      </c>
      <c r="E173" s="4">
        <f t="shared" si="367"/>
        <v>3.02</v>
      </c>
      <c r="F173" s="3">
        <v>4.4000000000000004</v>
      </c>
      <c r="G173" s="3">
        <f t="shared" si="368"/>
        <v>4.4000000000000004</v>
      </c>
      <c r="H173" s="4">
        <f t="shared" si="369"/>
        <v>4.4000000000000004</v>
      </c>
      <c r="I173" s="3">
        <v>5.29</v>
      </c>
      <c r="J173" s="3">
        <f t="shared" si="370"/>
        <v>5.29</v>
      </c>
      <c r="K173" s="4">
        <f t="shared" si="371"/>
        <v>5.29</v>
      </c>
      <c r="L173" s="3">
        <v>5.62</v>
      </c>
      <c r="M173" s="3">
        <f t="shared" si="372"/>
        <v>5.62</v>
      </c>
      <c r="N173" s="4">
        <f t="shared" si="373"/>
        <v>5.62</v>
      </c>
      <c r="O173" s="3">
        <v>4.33</v>
      </c>
      <c r="P173" s="3">
        <f t="shared" si="374"/>
        <v>4.33</v>
      </c>
      <c r="Q173" s="4">
        <f t="shared" si="375"/>
        <v>4.33</v>
      </c>
      <c r="R173" s="3">
        <v>4.82</v>
      </c>
      <c r="S173" s="3">
        <f t="shared" si="376"/>
        <v>4.82</v>
      </c>
      <c r="T173" s="4">
        <f t="shared" si="377"/>
        <v>4.82</v>
      </c>
      <c r="U173" s="3">
        <v>1.72</v>
      </c>
      <c r="V173" s="3">
        <f t="shared" si="378"/>
        <v>1.72</v>
      </c>
      <c r="W173" s="4">
        <f t="shared" si="379"/>
        <v>1.72</v>
      </c>
      <c r="X173" s="3">
        <v>2.29</v>
      </c>
      <c r="Y173" s="3">
        <f t="shared" si="380"/>
        <v>2.29</v>
      </c>
      <c r="Z173" s="21">
        <f t="shared" si="381"/>
        <v>2.29</v>
      </c>
      <c r="BB173" s="20" t="s">
        <v>808</v>
      </c>
      <c r="BC173" s="3">
        <v>3.91</v>
      </c>
      <c r="BD173" s="3">
        <f t="shared" si="382"/>
        <v>3.91</v>
      </c>
      <c r="BE173" s="4">
        <f t="shared" si="383"/>
        <v>3.91</v>
      </c>
      <c r="BF173" s="3">
        <v>4.2699999999999996</v>
      </c>
      <c r="BG173" s="3">
        <f t="shared" si="384"/>
        <v>4.2699999999999996</v>
      </c>
      <c r="BH173" s="4">
        <f t="shared" si="385"/>
        <v>4.2699999999999996</v>
      </c>
      <c r="BI173" s="3">
        <v>4.18</v>
      </c>
      <c r="BJ173" s="3">
        <f t="shared" si="386"/>
        <v>4.18</v>
      </c>
      <c r="BK173" s="4">
        <f t="shared" si="387"/>
        <v>4.18</v>
      </c>
      <c r="BL173" s="3">
        <v>4.3</v>
      </c>
      <c r="BM173" s="3">
        <f t="shared" si="388"/>
        <v>4.3</v>
      </c>
      <c r="BN173" s="4">
        <f t="shared" si="389"/>
        <v>4.3</v>
      </c>
      <c r="BO173" s="3">
        <v>3.63</v>
      </c>
      <c r="BP173" s="3">
        <f t="shared" si="390"/>
        <v>3.63</v>
      </c>
      <c r="BQ173" s="4">
        <f t="shared" si="391"/>
        <v>3.63</v>
      </c>
      <c r="BR173" s="3">
        <v>3.13</v>
      </c>
      <c r="BS173" s="3">
        <f t="shared" si="392"/>
        <v>3.13</v>
      </c>
      <c r="BT173" s="4">
        <f t="shared" si="393"/>
        <v>3.13</v>
      </c>
      <c r="BU173" s="3">
        <v>1.64</v>
      </c>
      <c r="BV173" s="3">
        <f t="shared" si="394"/>
        <v>1.64</v>
      </c>
      <c r="BW173" s="4">
        <f t="shared" si="395"/>
        <v>1.64</v>
      </c>
      <c r="BX173" s="3">
        <v>1.26</v>
      </c>
      <c r="BY173" s="3">
        <f t="shared" si="396"/>
        <v>1.26</v>
      </c>
      <c r="BZ173" s="21">
        <f t="shared" si="397"/>
        <v>1.26</v>
      </c>
    </row>
    <row r="174" spans="2:78">
      <c r="B174" s="20" t="s">
        <v>809</v>
      </c>
      <c r="C174" s="3">
        <v>3.01</v>
      </c>
      <c r="D174" s="3">
        <f t="shared" si="366"/>
        <v>3.01</v>
      </c>
      <c r="E174" s="4">
        <f t="shared" si="367"/>
        <v>3.01</v>
      </c>
      <c r="F174" s="3">
        <v>4.37</v>
      </c>
      <c r="G174" s="3">
        <f t="shared" si="368"/>
        <v>4.37</v>
      </c>
      <c r="H174" s="4">
        <f t="shared" si="369"/>
        <v>4.37</v>
      </c>
      <c r="I174" s="3">
        <v>5.31</v>
      </c>
      <c r="J174" s="3">
        <f t="shared" si="370"/>
        <v>5.31</v>
      </c>
      <c r="K174" s="4">
        <f t="shared" si="371"/>
        <v>5.31</v>
      </c>
      <c r="L174" s="3">
        <v>5.64</v>
      </c>
      <c r="M174" s="3">
        <f t="shared" si="372"/>
        <v>5.64</v>
      </c>
      <c r="N174" s="4">
        <f t="shared" si="373"/>
        <v>5.64</v>
      </c>
      <c r="O174" s="3">
        <v>4.34</v>
      </c>
      <c r="P174" s="3">
        <f t="shared" si="374"/>
        <v>4.34</v>
      </c>
      <c r="Q174" s="4">
        <f t="shared" si="375"/>
        <v>4.34</v>
      </c>
      <c r="R174" s="3">
        <v>4.83</v>
      </c>
      <c r="S174" s="3">
        <f t="shared" si="376"/>
        <v>4.83</v>
      </c>
      <c r="T174" s="4">
        <f t="shared" si="377"/>
        <v>4.83</v>
      </c>
      <c r="U174" s="3">
        <v>1.76</v>
      </c>
      <c r="V174" s="3">
        <f t="shared" si="378"/>
        <v>1.76</v>
      </c>
      <c r="W174" s="4">
        <f t="shared" si="379"/>
        <v>1.76</v>
      </c>
      <c r="X174" s="3">
        <v>2.2799999999999998</v>
      </c>
      <c r="Y174" s="3">
        <f t="shared" si="380"/>
        <v>2.2799999999999998</v>
      </c>
      <c r="Z174" s="21">
        <f t="shared" si="381"/>
        <v>2.2799999999999998</v>
      </c>
      <c r="BB174" s="20" t="s">
        <v>810</v>
      </c>
      <c r="BC174" s="3">
        <v>3.93</v>
      </c>
      <c r="BD174" s="3">
        <f t="shared" si="382"/>
        <v>3.93</v>
      </c>
      <c r="BE174" s="4">
        <f t="shared" si="383"/>
        <v>3.93</v>
      </c>
      <c r="BF174" s="3">
        <v>4.25</v>
      </c>
      <c r="BG174" s="3">
        <f t="shared" si="384"/>
        <v>4.25</v>
      </c>
      <c r="BH174" s="4">
        <f t="shared" si="385"/>
        <v>4.25</v>
      </c>
      <c r="BI174" s="3">
        <v>4.1399999999999997</v>
      </c>
      <c r="BJ174" s="3">
        <f t="shared" si="386"/>
        <v>4.1399999999999997</v>
      </c>
      <c r="BK174" s="4">
        <f t="shared" si="387"/>
        <v>4.1399999999999997</v>
      </c>
      <c r="BL174" s="3">
        <v>4.29</v>
      </c>
      <c r="BM174" s="3">
        <f t="shared" si="388"/>
        <v>4.29</v>
      </c>
      <c r="BN174" s="4">
        <f t="shared" si="389"/>
        <v>4.29</v>
      </c>
      <c r="BO174" s="3">
        <v>3.58</v>
      </c>
      <c r="BP174" s="3">
        <f t="shared" si="390"/>
        <v>3.58</v>
      </c>
      <c r="BQ174" s="4">
        <f t="shared" si="391"/>
        <v>3.58</v>
      </c>
      <c r="BR174" s="3">
        <v>3.1</v>
      </c>
      <c r="BS174" s="3">
        <f t="shared" si="392"/>
        <v>3.1</v>
      </c>
      <c r="BT174" s="4">
        <f t="shared" si="393"/>
        <v>3.1</v>
      </c>
      <c r="BU174" s="3">
        <v>1.69</v>
      </c>
      <c r="BV174" s="3">
        <f t="shared" si="394"/>
        <v>1.69</v>
      </c>
      <c r="BW174" s="4">
        <f t="shared" si="395"/>
        <v>1.69</v>
      </c>
      <c r="BX174" s="3">
        <v>1.2</v>
      </c>
      <c r="BY174" s="3">
        <f t="shared" si="396"/>
        <v>1.2</v>
      </c>
      <c r="BZ174" s="21">
        <f t="shared" si="397"/>
        <v>1.2</v>
      </c>
    </row>
    <row r="175" spans="2:78">
      <c r="B175" s="20" t="s">
        <v>811</v>
      </c>
      <c r="C175" s="3">
        <v>2.09</v>
      </c>
      <c r="D175" s="3">
        <f t="shared" si="366"/>
        <v>2.09</v>
      </c>
      <c r="E175" s="4" t="str">
        <f t="shared" si="367"/>
        <v/>
      </c>
      <c r="F175" s="3">
        <v>4.3899999999999997</v>
      </c>
      <c r="G175" s="3">
        <f t="shared" si="368"/>
        <v>4.3899999999999997</v>
      </c>
      <c r="H175" s="4">
        <f t="shared" si="369"/>
        <v>4.3899999999999997</v>
      </c>
      <c r="I175" s="3">
        <v>5.29</v>
      </c>
      <c r="J175" s="3">
        <f t="shared" si="370"/>
        <v>5.29</v>
      </c>
      <c r="K175" s="4">
        <f t="shared" si="371"/>
        <v>5.29</v>
      </c>
      <c r="L175" s="3">
        <v>5.66</v>
      </c>
      <c r="M175" s="3">
        <f t="shared" si="372"/>
        <v>5.66</v>
      </c>
      <c r="N175" s="4">
        <f t="shared" si="373"/>
        <v>5.66</v>
      </c>
      <c r="O175" s="3">
        <v>4.3099999999999996</v>
      </c>
      <c r="P175" s="3">
        <f t="shared" si="374"/>
        <v>4.3099999999999996</v>
      </c>
      <c r="Q175" s="4">
        <f t="shared" si="375"/>
        <v>4.3099999999999996</v>
      </c>
      <c r="R175" s="3">
        <v>4.87</v>
      </c>
      <c r="S175" s="3">
        <f t="shared" si="376"/>
        <v>4.87</v>
      </c>
      <c r="T175" s="4">
        <f t="shared" si="377"/>
        <v>4.87</v>
      </c>
      <c r="U175" s="3">
        <v>1.74</v>
      </c>
      <c r="V175" s="3">
        <f t="shared" si="378"/>
        <v>1.74</v>
      </c>
      <c r="W175" s="4">
        <f t="shared" si="379"/>
        <v>1.74</v>
      </c>
      <c r="X175" s="3">
        <v>2.23</v>
      </c>
      <c r="Y175" s="3">
        <f t="shared" si="380"/>
        <v>2.23</v>
      </c>
      <c r="Z175" s="21">
        <f t="shared" si="381"/>
        <v>2.23</v>
      </c>
      <c r="BB175" s="20" t="s">
        <v>812</v>
      </c>
      <c r="BC175" s="3">
        <v>3.89</v>
      </c>
      <c r="BD175" s="3">
        <f t="shared" si="382"/>
        <v>3.89</v>
      </c>
      <c r="BE175" s="4">
        <f t="shared" si="383"/>
        <v>3.89</v>
      </c>
      <c r="BF175" s="3">
        <v>4.29</v>
      </c>
      <c r="BG175" s="3">
        <f t="shared" si="384"/>
        <v>4.29</v>
      </c>
      <c r="BH175" s="4">
        <f t="shared" si="385"/>
        <v>4.29</v>
      </c>
      <c r="BI175" s="3">
        <v>4.17</v>
      </c>
      <c r="BJ175" s="3">
        <f t="shared" si="386"/>
        <v>4.17</v>
      </c>
      <c r="BK175" s="4">
        <f t="shared" si="387"/>
        <v>4.17</v>
      </c>
      <c r="BL175" s="3">
        <v>0.9</v>
      </c>
      <c r="BM175" s="3">
        <f t="shared" si="388"/>
        <v>0.9</v>
      </c>
      <c r="BN175" s="4" t="str">
        <f t="shared" si="389"/>
        <v/>
      </c>
      <c r="BO175" s="3">
        <v>3.63</v>
      </c>
      <c r="BP175" s="3">
        <f t="shared" si="390"/>
        <v>3.63</v>
      </c>
      <c r="BQ175" s="4">
        <f t="shared" si="391"/>
        <v>3.63</v>
      </c>
      <c r="BR175" s="3">
        <v>3.14</v>
      </c>
      <c r="BS175" s="3">
        <f t="shared" si="392"/>
        <v>3.14</v>
      </c>
      <c r="BT175" s="4">
        <f t="shared" si="393"/>
        <v>3.14</v>
      </c>
      <c r="BU175" s="3">
        <v>1.62</v>
      </c>
      <c r="BV175" s="3">
        <f t="shared" si="394"/>
        <v>1.62</v>
      </c>
      <c r="BW175" s="4">
        <f t="shared" si="395"/>
        <v>1.62</v>
      </c>
      <c r="BX175" s="3">
        <v>1.28</v>
      </c>
      <c r="BY175" s="3">
        <f t="shared" si="396"/>
        <v>1.28</v>
      </c>
      <c r="BZ175" s="21">
        <f t="shared" si="397"/>
        <v>1.28</v>
      </c>
    </row>
    <row r="176" spans="2:78">
      <c r="B176" s="20" t="s">
        <v>813</v>
      </c>
      <c r="C176" s="3">
        <v>2.95</v>
      </c>
      <c r="D176" s="3">
        <f t="shared" si="366"/>
        <v>2.95</v>
      </c>
      <c r="E176" s="4">
        <f t="shared" si="367"/>
        <v>2.95</v>
      </c>
      <c r="F176" s="3">
        <v>4.37</v>
      </c>
      <c r="G176" s="3">
        <f t="shared" si="368"/>
        <v>4.37</v>
      </c>
      <c r="H176" s="4">
        <f t="shared" si="369"/>
        <v>4.37</v>
      </c>
      <c r="I176" s="3">
        <v>5.31</v>
      </c>
      <c r="J176" s="3">
        <f t="shared" si="370"/>
        <v>5.31</v>
      </c>
      <c r="K176" s="4">
        <f t="shared" si="371"/>
        <v>5.31</v>
      </c>
      <c r="L176" s="3">
        <v>2.8</v>
      </c>
      <c r="M176" s="3">
        <f t="shared" si="372"/>
        <v>2.8</v>
      </c>
      <c r="N176" s="4" t="str">
        <f t="shared" si="373"/>
        <v/>
      </c>
      <c r="O176" s="3">
        <v>4.37</v>
      </c>
      <c r="P176" s="3">
        <f t="shared" si="374"/>
        <v>4.37</v>
      </c>
      <c r="Q176" s="4">
        <f t="shared" si="375"/>
        <v>4.37</v>
      </c>
      <c r="R176" s="3">
        <v>3.08</v>
      </c>
      <c r="S176" s="3">
        <f t="shared" si="376"/>
        <v>3.08</v>
      </c>
      <c r="T176" s="4" t="str">
        <f t="shared" si="377"/>
        <v/>
      </c>
      <c r="U176" s="3">
        <v>1.71</v>
      </c>
      <c r="V176" s="3">
        <f t="shared" si="378"/>
        <v>1.71</v>
      </c>
      <c r="W176" s="4">
        <f t="shared" si="379"/>
        <v>1.71</v>
      </c>
      <c r="X176" s="3">
        <v>2.2599999999999998</v>
      </c>
      <c r="Y176" s="3">
        <f t="shared" si="380"/>
        <v>2.2599999999999998</v>
      </c>
      <c r="Z176" s="21">
        <f t="shared" si="381"/>
        <v>2.2599999999999998</v>
      </c>
      <c r="BB176" s="20" t="s">
        <v>814</v>
      </c>
      <c r="BC176" s="3">
        <v>3.95</v>
      </c>
      <c r="BD176" s="3">
        <f t="shared" si="382"/>
        <v>3.95</v>
      </c>
      <c r="BE176" s="4">
        <f t="shared" si="383"/>
        <v>3.95</v>
      </c>
      <c r="BF176" s="3">
        <v>4.29</v>
      </c>
      <c r="BG176" s="3">
        <f t="shared" si="384"/>
        <v>4.29</v>
      </c>
      <c r="BH176" s="4">
        <f t="shared" si="385"/>
        <v>4.29</v>
      </c>
      <c r="BI176" s="3">
        <v>4.2</v>
      </c>
      <c r="BJ176" s="3">
        <f t="shared" si="386"/>
        <v>4.2</v>
      </c>
      <c r="BK176" s="4">
        <f t="shared" si="387"/>
        <v>4.2</v>
      </c>
      <c r="BL176" s="3">
        <v>4.2699999999999996</v>
      </c>
      <c r="BM176" s="3">
        <f t="shared" si="388"/>
        <v>4.2699999999999996</v>
      </c>
      <c r="BN176" s="4">
        <f t="shared" si="389"/>
        <v>4.2699999999999996</v>
      </c>
      <c r="BO176" s="3">
        <v>3.6</v>
      </c>
      <c r="BP176" s="3">
        <f t="shared" si="390"/>
        <v>3.6</v>
      </c>
      <c r="BQ176" s="4">
        <f t="shared" si="391"/>
        <v>3.6</v>
      </c>
      <c r="BR176" s="3">
        <v>3.12</v>
      </c>
      <c r="BS176" s="3">
        <f t="shared" si="392"/>
        <v>3.12</v>
      </c>
      <c r="BT176" s="4">
        <f t="shared" si="393"/>
        <v>3.12</v>
      </c>
      <c r="BU176" s="3">
        <v>1.62</v>
      </c>
      <c r="BV176" s="3">
        <f t="shared" si="394"/>
        <v>1.62</v>
      </c>
      <c r="BW176" s="4">
        <f t="shared" si="395"/>
        <v>1.62</v>
      </c>
      <c r="BX176" s="3">
        <v>1.39</v>
      </c>
      <c r="BY176" s="3">
        <f t="shared" si="396"/>
        <v>1.39</v>
      </c>
      <c r="BZ176" s="21" t="str">
        <f t="shared" si="397"/>
        <v/>
      </c>
    </row>
    <row r="177" spans="2:78">
      <c r="B177" s="20" t="s">
        <v>815</v>
      </c>
      <c r="C177" s="3">
        <v>3</v>
      </c>
      <c r="D177" s="3">
        <f t="shared" si="366"/>
        <v>3</v>
      </c>
      <c r="E177" s="4">
        <f t="shared" si="367"/>
        <v>3</v>
      </c>
      <c r="F177" s="3">
        <v>4.41</v>
      </c>
      <c r="G177" s="3">
        <f t="shared" si="368"/>
        <v>4.41</v>
      </c>
      <c r="H177" s="4">
        <f t="shared" si="369"/>
        <v>4.41</v>
      </c>
      <c r="I177" s="3">
        <v>2.4</v>
      </c>
      <c r="J177" s="3">
        <f t="shared" si="370"/>
        <v>2.4</v>
      </c>
      <c r="K177" s="4" t="str">
        <f t="shared" si="371"/>
        <v/>
      </c>
      <c r="L177" s="3">
        <v>0.18</v>
      </c>
      <c r="M177" s="3">
        <f t="shared" si="372"/>
        <v>0.18</v>
      </c>
      <c r="N177" s="4" t="str">
        <f t="shared" si="373"/>
        <v/>
      </c>
      <c r="O177" s="3">
        <v>4.32</v>
      </c>
      <c r="P177" s="3">
        <f t="shared" si="374"/>
        <v>4.32</v>
      </c>
      <c r="Q177" s="4">
        <f t="shared" si="375"/>
        <v>4.32</v>
      </c>
      <c r="R177" s="3">
        <v>4.87</v>
      </c>
      <c r="S177" s="3">
        <f t="shared" si="376"/>
        <v>4.87</v>
      </c>
      <c r="T177" s="4">
        <f t="shared" si="377"/>
        <v>4.87</v>
      </c>
      <c r="U177" s="3">
        <v>1.75</v>
      </c>
      <c r="V177" s="3">
        <f t="shared" si="378"/>
        <v>1.75</v>
      </c>
      <c r="W177" s="4">
        <f t="shared" si="379"/>
        <v>1.75</v>
      </c>
      <c r="X177" s="3">
        <v>2.23</v>
      </c>
      <c r="Y177" s="3">
        <f t="shared" si="380"/>
        <v>2.23</v>
      </c>
      <c r="Z177" s="21">
        <f t="shared" si="381"/>
        <v>2.23</v>
      </c>
      <c r="BB177" s="20" t="s">
        <v>816</v>
      </c>
      <c r="BC177" s="3">
        <v>3.96</v>
      </c>
      <c r="BD177" s="3">
        <f t="shared" si="382"/>
        <v>3.96</v>
      </c>
      <c r="BE177" s="4">
        <f t="shared" si="383"/>
        <v>3.96</v>
      </c>
      <c r="BF177" s="3">
        <v>4.29</v>
      </c>
      <c r="BG177" s="3">
        <f t="shared" si="384"/>
        <v>4.29</v>
      </c>
      <c r="BH177" s="4">
        <f t="shared" si="385"/>
        <v>4.29</v>
      </c>
      <c r="BI177" s="3">
        <v>4.16</v>
      </c>
      <c r="BJ177" s="3">
        <f t="shared" si="386"/>
        <v>4.16</v>
      </c>
      <c r="BK177" s="4">
        <f t="shared" si="387"/>
        <v>4.16</v>
      </c>
      <c r="BL177" s="3">
        <v>4.26</v>
      </c>
      <c r="BM177" s="3">
        <f t="shared" si="388"/>
        <v>4.26</v>
      </c>
      <c r="BN177" s="4">
        <f t="shared" si="389"/>
        <v>4.26</v>
      </c>
      <c r="BO177" s="3">
        <v>3.58</v>
      </c>
      <c r="BP177" s="3">
        <f t="shared" si="390"/>
        <v>3.58</v>
      </c>
      <c r="BQ177" s="4">
        <f t="shared" si="391"/>
        <v>3.58</v>
      </c>
      <c r="BR177" s="3">
        <v>3.12</v>
      </c>
      <c r="BS177" s="3">
        <f t="shared" si="392"/>
        <v>3.12</v>
      </c>
      <c r="BT177" s="4">
        <f t="shared" si="393"/>
        <v>3.12</v>
      </c>
      <c r="BU177" s="3">
        <v>1.64</v>
      </c>
      <c r="BV177" s="3">
        <f t="shared" si="394"/>
        <v>1.64</v>
      </c>
      <c r="BW177" s="4">
        <f t="shared" si="395"/>
        <v>1.64</v>
      </c>
      <c r="BX177" s="3">
        <v>1.23</v>
      </c>
      <c r="BY177" s="3">
        <f t="shared" si="396"/>
        <v>1.23</v>
      </c>
      <c r="BZ177" s="21">
        <f t="shared" si="397"/>
        <v>1.23</v>
      </c>
    </row>
    <row r="178" spans="2:78">
      <c r="B178" s="20" t="s">
        <v>817</v>
      </c>
      <c r="C178" s="3">
        <v>3.01</v>
      </c>
      <c r="D178" s="3">
        <f t="shared" si="366"/>
        <v>3.01</v>
      </c>
      <c r="E178" s="4">
        <f t="shared" si="367"/>
        <v>3.01</v>
      </c>
      <c r="F178" s="3">
        <v>2.92</v>
      </c>
      <c r="G178" s="3">
        <f t="shared" si="368"/>
        <v>2.92</v>
      </c>
      <c r="H178" s="4" t="str">
        <f t="shared" si="369"/>
        <v/>
      </c>
      <c r="I178" s="3">
        <v>5.31</v>
      </c>
      <c r="J178" s="3">
        <f t="shared" si="370"/>
        <v>5.31</v>
      </c>
      <c r="K178" s="4">
        <f t="shared" si="371"/>
        <v>5.31</v>
      </c>
      <c r="L178" s="3">
        <v>5.62</v>
      </c>
      <c r="M178" s="3">
        <f t="shared" si="372"/>
        <v>5.62</v>
      </c>
      <c r="N178" s="4">
        <f t="shared" si="373"/>
        <v>5.62</v>
      </c>
      <c r="O178" s="3">
        <v>4.34</v>
      </c>
      <c r="P178" s="3">
        <f t="shared" si="374"/>
        <v>4.34</v>
      </c>
      <c r="Q178" s="4">
        <f t="shared" si="375"/>
        <v>4.34</v>
      </c>
      <c r="R178" s="3">
        <v>4.8</v>
      </c>
      <c r="S178" s="3">
        <f t="shared" si="376"/>
        <v>4.8</v>
      </c>
      <c r="T178" s="4">
        <f t="shared" si="377"/>
        <v>4.8</v>
      </c>
      <c r="U178" s="3">
        <v>1.75</v>
      </c>
      <c r="V178" s="3">
        <f t="shared" si="378"/>
        <v>1.75</v>
      </c>
      <c r="W178" s="4">
        <f t="shared" si="379"/>
        <v>1.75</v>
      </c>
      <c r="X178" s="3">
        <v>2.25</v>
      </c>
      <c r="Y178" s="3">
        <f t="shared" si="380"/>
        <v>2.25</v>
      </c>
      <c r="Z178" s="21">
        <f t="shared" si="381"/>
        <v>2.25</v>
      </c>
      <c r="BB178" s="20" t="s">
        <v>818</v>
      </c>
      <c r="BC178" s="3">
        <v>3.93</v>
      </c>
      <c r="BD178" s="3">
        <f t="shared" si="382"/>
        <v>3.93</v>
      </c>
      <c r="BE178" s="4">
        <f t="shared" si="383"/>
        <v>3.93</v>
      </c>
      <c r="BF178" s="3">
        <v>4.2699999999999996</v>
      </c>
      <c r="BG178" s="3">
        <f t="shared" si="384"/>
        <v>4.2699999999999996</v>
      </c>
      <c r="BH178" s="4">
        <f t="shared" si="385"/>
        <v>4.2699999999999996</v>
      </c>
      <c r="BI178" s="3">
        <v>4.13</v>
      </c>
      <c r="BJ178" s="3">
        <f t="shared" si="386"/>
        <v>4.13</v>
      </c>
      <c r="BK178" s="4">
        <f t="shared" si="387"/>
        <v>4.13</v>
      </c>
      <c r="BL178" s="3">
        <v>4.32</v>
      </c>
      <c r="BM178" s="3">
        <f t="shared" si="388"/>
        <v>4.32</v>
      </c>
      <c r="BN178" s="4">
        <f t="shared" si="389"/>
        <v>4.32</v>
      </c>
      <c r="BO178" s="3">
        <v>3.64</v>
      </c>
      <c r="BP178" s="3">
        <f t="shared" si="390"/>
        <v>3.64</v>
      </c>
      <c r="BQ178" s="4">
        <f t="shared" si="391"/>
        <v>3.64</v>
      </c>
      <c r="BR178" s="3">
        <v>3.13</v>
      </c>
      <c r="BS178" s="3">
        <f t="shared" si="392"/>
        <v>3.13</v>
      </c>
      <c r="BT178" s="4">
        <f t="shared" si="393"/>
        <v>3.13</v>
      </c>
      <c r="BU178" s="3">
        <v>1.59</v>
      </c>
      <c r="BV178" s="3">
        <f t="shared" si="394"/>
        <v>1.59</v>
      </c>
      <c r="BW178" s="4">
        <f t="shared" si="395"/>
        <v>1.59</v>
      </c>
      <c r="BX178" s="3">
        <v>1.26</v>
      </c>
      <c r="BY178" s="3">
        <f t="shared" si="396"/>
        <v>1.26</v>
      </c>
      <c r="BZ178" s="21">
        <f t="shared" si="397"/>
        <v>1.26</v>
      </c>
    </row>
    <row r="179" spans="2:78">
      <c r="B179" s="20" t="s">
        <v>819</v>
      </c>
      <c r="C179" s="3">
        <v>3</v>
      </c>
      <c r="D179" s="3">
        <f t="shared" si="366"/>
        <v>3</v>
      </c>
      <c r="E179" s="4">
        <f t="shared" si="367"/>
        <v>3</v>
      </c>
      <c r="F179" s="3">
        <v>4.3899999999999997</v>
      </c>
      <c r="G179" s="3">
        <f t="shared" si="368"/>
        <v>4.3899999999999997</v>
      </c>
      <c r="H179" s="4">
        <f t="shared" si="369"/>
        <v>4.3899999999999997</v>
      </c>
      <c r="I179" s="3">
        <v>5.3</v>
      </c>
      <c r="J179" s="3">
        <f t="shared" si="370"/>
        <v>5.3</v>
      </c>
      <c r="K179" s="4">
        <f t="shared" si="371"/>
        <v>5.3</v>
      </c>
      <c r="L179" s="3">
        <v>5.66</v>
      </c>
      <c r="M179" s="3">
        <f t="shared" si="372"/>
        <v>5.66</v>
      </c>
      <c r="N179" s="4">
        <f t="shared" si="373"/>
        <v>5.66</v>
      </c>
      <c r="O179" s="3">
        <v>4.33</v>
      </c>
      <c r="P179" s="3">
        <f t="shared" si="374"/>
        <v>4.33</v>
      </c>
      <c r="Q179" s="4">
        <f t="shared" si="375"/>
        <v>4.33</v>
      </c>
      <c r="R179" s="3">
        <v>3.53</v>
      </c>
      <c r="S179" s="3">
        <f t="shared" si="376"/>
        <v>3.53</v>
      </c>
      <c r="T179" s="4" t="str">
        <f t="shared" si="377"/>
        <v/>
      </c>
      <c r="U179" s="3">
        <v>1.75</v>
      </c>
      <c r="V179" s="3">
        <f t="shared" si="378"/>
        <v>1.75</v>
      </c>
      <c r="W179" s="4">
        <f t="shared" si="379"/>
        <v>1.75</v>
      </c>
      <c r="X179" s="3">
        <v>2.27</v>
      </c>
      <c r="Y179" s="3">
        <f t="shared" si="380"/>
        <v>2.27</v>
      </c>
      <c r="Z179" s="21">
        <f t="shared" si="381"/>
        <v>2.27</v>
      </c>
      <c r="BB179" s="20" t="s">
        <v>820</v>
      </c>
      <c r="BC179" s="3">
        <v>3.95</v>
      </c>
      <c r="BD179" s="3">
        <f t="shared" si="382"/>
        <v>3.95</v>
      </c>
      <c r="BE179" s="4">
        <f t="shared" si="383"/>
        <v>3.95</v>
      </c>
      <c r="BF179" s="3">
        <v>4.26</v>
      </c>
      <c r="BG179" s="3">
        <f t="shared" si="384"/>
        <v>4.26</v>
      </c>
      <c r="BH179" s="4">
        <f t="shared" si="385"/>
        <v>4.26</v>
      </c>
      <c r="BI179" s="3">
        <v>4.16</v>
      </c>
      <c r="BJ179" s="3">
        <f t="shared" si="386"/>
        <v>4.16</v>
      </c>
      <c r="BK179" s="4">
        <f t="shared" si="387"/>
        <v>4.16</v>
      </c>
      <c r="BL179" s="3">
        <v>4.3</v>
      </c>
      <c r="BM179" s="3">
        <f t="shared" si="388"/>
        <v>4.3</v>
      </c>
      <c r="BN179" s="4">
        <f t="shared" si="389"/>
        <v>4.3</v>
      </c>
      <c r="BO179" s="3">
        <v>0.16</v>
      </c>
      <c r="BP179" s="3">
        <f t="shared" si="390"/>
        <v>0.16</v>
      </c>
      <c r="BQ179" s="4" t="str">
        <f t="shared" si="391"/>
        <v/>
      </c>
      <c r="BR179" s="3">
        <v>3.13</v>
      </c>
      <c r="BS179" s="3">
        <f t="shared" si="392"/>
        <v>3.13</v>
      </c>
      <c r="BT179" s="4">
        <f t="shared" si="393"/>
        <v>3.13</v>
      </c>
      <c r="BU179" s="3">
        <v>1.63</v>
      </c>
      <c r="BV179" s="3">
        <f t="shared" si="394"/>
        <v>1.63</v>
      </c>
      <c r="BW179" s="4">
        <f t="shared" si="395"/>
        <v>1.63</v>
      </c>
      <c r="BX179" s="3">
        <v>1.25</v>
      </c>
      <c r="BY179" s="3">
        <f t="shared" si="396"/>
        <v>1.25</v>
      </c>
      <c r="BZ179" s="21">
        <f t="shared" si="397"/>
        <v>1.25</v>
      </c>
    </row>
    <row r="180" spans="2:78">
      <c r="B180" s="20" t="s">
        <v>821</v>
      </c>
      <c r="C180" s="3">
        <v>2.96</v>
      </c>
      <c r="D180" s="3">
        <f t="shared" si="366"/>
        <v>2.96</v>
      </c>
      <c r="E180" s="4">
        <f t="shared" si="367"/>
        <v>2.96</v>
      </c>
      <c r="F180" s="3">
        <v>0</v>
      </c>
      <c r="G180" s="3" t="str">
        <f t="shared" si="368"/>
        <v/>
      </c>
      <c r="H180" s="4" t="str">
        <f t="shared" si="369"/>
        <v/>
      </c>
      <c r="I180" s="3">
        <v>5.33</v>
      </c>
      <c r="J180" s="3">
        <f t="shared" si="370"/>
        <v>5.33</v>
      </c>
      <c r="K180" s="4">
        <f t="shared" si="371"/>
        <v>5.33</v>
      </c>
      <c r="L180" s="3">
        <v>5.65</v>
      </c>
      <c r="M180" s="3">
        <f t="shared" si="372"/>
        <v>5.65</v>
      </c>
      <c r="N180" s="4">
        <f t="shared" si="373"/>
        <v>5.65</v>
      </c>
      <c r="O180" s="3">
        <v>4.32</v>
      </c>
      <c r="P180" s="3">
        <f t="shared" si="374"/>
        <v>4.32</v>
      </c>
      <c r="Q180" s="4">
        <f t="shared" si="375"/>
        <v>4.32</v>
      </c>
      <c r="R180" s="3">
        <v>4.83</v>
      </c>
      <c r="S180" s="3">
        <f t="shared" si="376"/>
        <v>4.83</v>
      </c>
      <c r="T180" s="4">
        <f t="shared" si="377"/>
        <v>4.83</v>
      </c>
      <c r="U180" s="3">
        <v>1.73</v>
      </c>
      <c r="V180" s="3">
        <f t="shared" si="378"/>
        <v>1.73</v>
      </c>
      <c r="W180" s="4">
        <f t="shared" si="379"/>
        <v>1.73</v>
      </c>
      <c r="X180" s="3">
        <v>2.21</v>
      </c>
      <c r="Y180" s="3">
        <f t="shared" si="380"/>
        <v>2.21</v>
      </c>
      <c r="Z180" s="21">
        <f t="shared" si="381"/>
        <v>2.21</v>
      </c>
      <c r="BB180" s="20" t="s">
        <v>822</v>
      </c>
      <c r="BC180" s="3">
        <v>4.0199999999999996</v>
      </c>
      <c r="BD180" s="3">
        <f t="shared" si="382"/>
        <v>4.0199999999999996</v>
      </c>
      <c r="BE180" s="4">
        <f t="shared" si="383"/>
        <v>4.0199999999999996</v>
      </c>
      <c r="BF180" s="3">
        <v>4.2699999999999996</v>
      </c>
      <c r="BG180" s="3">
        <f t="shared" si="384"/>
        <v>4.2699999999999996</v>
      </c>
      <c r="BH180" s="4">
        <f t="shared" si="385"/>
        <v>4.2699999999999996</v>
      </c>
      <c r="BI180" s="3">
        <v>4.17</v>
      </c>
      <c r="BJ180" s="3">
        <f t="shared" si="386"/>
        <v>4.17</v>
      </c>
      <c r="BK180" s="4">
        <f t="shared" si="387"/>
        <v>4.17</v>
      </c>
      <c r="BL180" s="3">
        <v>4.22</v>
      </c>
      <c r="BM180" s="3">
        <f t="shared" si="388"/>
        <v>4.22</v>
      </c>
      <c r="BN180" s="4">
        <f t="shared" si="389"/>
        <v>4.22</v>
      </c>
      <c r="BO180" s="3">
        <v>3.68</v>
      </c>
      <c r="BP180" s="3">
        <f t="shared" si="390"/>
        <v>3.68</v>
      </c>
      <c r="BQ180" s="4">
        <f t="shared" si="391"/>
        <v>3.68</v>
      </c>
      <c r="BR180" s="3">
        <v>3.14</v>
      </c>
      <c r="BS180" s="3">
        <f t="shared" si="392"/>
        <v>3.14</v>
      </c>
      <c r="BT180" s="4">
        <f t="shared" si="393"/>
        <v>3.14</v>
      </c>
      <c r="BU180" s="3">
        <v>1.67</v>
      </c>
      <c r="BV180" s="3">
        <f t="shared" si="394"/>
        <v>1.67</v>
      </c>
      <c r="BW180" s="4">
        <f t="shared" si="395"/>
        <v>1.67</v>
      </c>
      <c r="BX180" s="3">
        <v>1.25</v>
      </c>
      <c r="BY180" s="3">
        <f t="shared" si="396"/>
        <v>1.25</v>
      </c>
      <c r="BZ180" s="21">
        <f t="shared" si="397"/>
        <v>1.25</v>
      </c>
    </row>
    <row r="181" spans="2:78">
      <c r="B181" s="20" t="s">
        <v>823</v>
      </c>
      <c r="C181" s="3">
        <v>3</v>
      </c>
      <c r="D181" s="3">
        <f t="shared" si="366"/>
        <v>3</v>
      </c>
      <c r="E181" s="4">
        <f t="shared" si="367"/>
        <v>3</v>
      </c>
      <c r="F181" s="3">
        <v>4.3899999999999997</v>
      </c>
      <c r="G181" s="3">
        <f t="shared" si="368"/>
        <v>4.3899999999999997</v>
      </c>
      <c r="H181" s="4">
        <f t="shared" si="369"/>
        <v>4.3899999999999997</v>
      </c>
      <c r="I181" s="3">
        <v>5.3</v>
      </c>
      <c r="J181" s="3">
        <f t="shared" si="370"/>
        <v>5.3</v>
      </c>
      <c r="K181" s="4">
        <f t="shared" si="371"/>
        <v>5.3</v>
      </c>
      <c r="L181" s="3">
        <v>5.68</v>
      </c>
      <c r="M181" s="3">
        <f t="shared" si="372"/>
        <v>5.68</v>
      </c>
      <c r="N181" s="4">
        <f t="shared" si="373"/>
        <v>5.68</v>
      </c>
      <c r="O181" s="3">
        <v>4.32</v>
      </c>
      <c r="P181" s="3">
        <f t="shared" si="374"/>
        <v>4.32</v>
      </c>
      <c r="Q181" s="4">
        <f t="shared" si="375"/>
        <v>4.32</v>
      </c>
      <c r="R181" s="3">
        <v>4.8099999999999996</v>
      </c>
      <c r="S181" s="3">
        <f t="shared" si="376"/>
        <v>4.8099999999999996</v>
      </c>
      <c r="T181" s="4">
        <f t="shared" si="377"/>
        <v>4.8099999999999996</v>
      </c>
      <c r="U181" s="3">
        <v>1.75</v>
      </c>
      <c r="V181" s="3">
        <f t="shared" si="378"/>
        <v>1.75</v>
      </c>
      <c r="W181" s="4">
        <f t="shared" si="379"/>
        <v>1.75</v>
      </c>
      <c r="X181" s="3">
        <v>2.23</v>
      </c>
      <c r="Y181" s="3">
        <f t="shared" si="380"/>
        <v>2.23</v>
      </c>
      <c r="Z181" s="21">
        <f t="shared" si="381"/>
        <v>2.23</v>
      </c>
      <c r="BB181" s="20" t="s">
        <v>824</v>
      </c>
      <c r="BC181" s="3">
        <v>3.91</v>
      </c>
      <c r="BD181" s="3">
        <f t="shared" si="382"/>
        <v>3.91</v>
      </c>
      <c r="BE181" s="4">
        <f t="shared" si="383"/>
        <v>3.91</v>
      </c>
      <c r="BF181" s="3">
        <v>4.28</v>
      </c>
      <c r="BG181" s="3">
        <f t="shared" si="384"/>
        <v>4.28</v>
      </c>
      <c r="BH181" s="4">
        <f t="shared" si="385"/>
        <v>4.28</v>
      </c>
      <c r="BI181" s="3">
        <v>4.17</v>
      </c>
      <c r="BJ181" s="3">
        <f t="shared" si="386"/>
        <v>4.17</v>
      </c>
      <c r="BK181" s="4">
        <f t="shared" si="387"/>
        <v>4.17</v>
      </c>
      <c r="BL181" s="3">
        <v>4.33</v>
      </c>
      <c r="BM181" s="3">
        <f t="shared" si="388"/>
        <v>4.33</v>
      </c>
      <c r="BN181" s="4">
        <f t="shared" si="389"/>
        <v>4.33</v>
      </c>
      <c r="BO181" s="3">
        <v>3.63</v>
      </c>
      <c r="BP181" s="3">
        <f t="shared" si="390"/>
        <v>3.63</v>
      </c>
      <c r="BQ181" s="4">
        <f t="shared" si="391"/>
        <v>3.63</v>
      </c>
      <c r="BR181" s="3">
        <v>3.12</v>
      </c>
      <c r="BS181" s="3">
        <f t="shared" si="392"/>
        <v>3.12</v>
      </c>
      <c r="BT181" s="4">
        <f t="shared" si="393"/>
        <v>3.12</v>
      </c>
      <c r="BU181" s="3">
        <v>1.64</v>
      </c>
      <c r="BV181" s="3">
        <f t="shared" si="394"/>
        <v>1.64</v>
      </c>
      <c r="BW181" s="4">
        <f t="shared" si="395"/>
        <v>1.64</v>
      </c>
      <c r="BX181" s="3">
        <v>1.22</v>
      </c>
      <c r="BY181" s="3">
        <f t="shared" si="396"/>
        <v>1.22</v>
      </c>
      <c r="BZ181" s="21">
        <f t="shared" si="397"/>
        <v>1.22</v>
      </c>
    </row>
    <row r="182" spans="2:78">
      <c r="B182" s="20" t="s">
        <v>825</v>
      </c>
      <c r="C182" s="3">
        <v>2.99</v>
      </c>
      <c r="D182" s="3">
        <f t="shared" si="366"/>
        <v>2.99</v>
      </c>
      <c r="E182" s="4">
        <f t="shared" si="367"/>
        <v>2.99</v>
      </c>
      <c r="F182" s="3">
        <v>4.4000000000000004</v>
      </c>
      <c r="G182" s="3">
        <f t="shared" si="368"/>
        <v>4.4000000000000004</v>
      </c>
      <c r="H182" s="4">
        <f t="shared" si="369"/>
        <v>4.4000000000000004</v>
      </c>
      <c r="I182" s="3">
        <v>5.33</v>
      </c>
      <c r="J182" s="3">
        <f t="shared" si="370"/>
        <v>5.33</v>
      </c>
      <c r="K182" s="4">
        <f t="shared" si="371"/>
        <v>5.33</v>
      </c>
      <c r="L182" s="3">
        <v>5.61</v>
      </c>
      <c r="M182" s="3">
        <f t="shared" si="372"/>
        <v>5.61</v>
      </c>
      <c r="N182" s="4">
        <f t="shared" si="373"/>
        <v>5.61</v>
      </c>
      <c r="O182" s="3">
        <v>4.29</v>
      </c>
      <c r="P182" s="3">
        <f t="shared" si="374"/>
        <v>4.29</v>
      </c>
      <c r="Q182" s="4">
        <f t="shared" si="375"/>
        <v>4.29</v>
      </c>
      <c r="R182" s="3">
        <v>4.8899999999999997</v>
      </c>
      <c r="S182" s="3">
        <f t="shared" si="376"/>
        <v>4.8899999999999997</v>
      </c>
      <c r="T182" s="4">
        <f t="shared" si="377"/>
        <v>4.8899999999999997</v>
      </c>
      <c r="U182" s="3">
        <v>1.74</v>
      </c>
      <c r="V182" s="3">
        <f t="shared" si="378"/>
        <v>1.74</v>
      </c>
      <c r="W182" s="4">
        <f t="shared" si="379"/>
        <v>1.74</v>
      </c>
      <c r="X182" s="3">
        <v>3.27</v>
      </c>
      <c r="Y182" s="3">
        <f t="shared" si="380"/>
        <v>3.27</v>
      </c>
      <c r="Z182" s="21" t="str">
        <f t="shared" si="381"/>
        <v/>
      </c>
      <c r="BB182" s="20" t="s">
        <v>826</v>
      </c>
      <c r="BC182" s="3">
        <v>3.89</v>
      </c>
      <c r="BD182" s="3">
        <f t="shared" si="382"/>
        <v>3.89</v>
      </c>
      <c r="BE182" s="4">
        <f t="shared" si="383"/>
        <v>3.89</v>
      </c>
      <c r="BF182" s="3">
        <v>4.25</v>
      </c>
      <c r="BG182" s="3">
        <f t="shared" si="384"/>
        <v>4.25</v>
      </c>
      <c r="BH182" s="4">
        <f t="shared" si="385"/>
        <v>4.25</v>
      </c>
      <c r="BI182" s="3">
        <v>4.1900000000000004</v>
      </c>
      <c r="BJ182" s="3">
        <f t="shared" si="386"/>
        <v>4.1900000000000004</v>
      </c>
      <c r="BK182" s="4">
        <f t="shared" si="387"/>
        <v>4.1900000000000004</v>
      </c>
      <c r="BL182" s="3">
        <v>4.28</v>
      </c>
      <c r="BM182" s="3">
        <f t="shared" si="388"/>
        <v>4.28</v>
      </c>
      <c r="BN182" s="4">
        <f t="shared" si="389"/>
        <v>4.28</v>
      </c>
      <c r="BO182" s="3">
        <v>3.6</v>
      </c>
      <c r="BP182" s="3">
        <f t="shared" si="390"/>
        <v>3.6</v>
      </c>
      <c r="BQ182" s="4">
        <f t="shared" si="391"/>
        <v>3.6</v>
      </c>
      <c r="BR182" s="3">
        <v>3.13</v>
      </c>
      <c r="BS182" s="3">
        <f t="shared" si="392"/>
        <v>3.13</v>
      </c>
      <c r="BT182" s="4">
        <f t="shared" si="393"/>
        <v>3.13</v>
      </c>
      <c r="BU182" s="3">
        <v>0.33</v>
      </c>
      <c r="BV182" s="3">
        <f t="shared" si="394"/>
        <v>0.33</v>
      </c>
      <c r="BW182" s="4" t="str">
        <f t="shared" si="395"/>
        <v/>
      </c>
      <c r="BX182" s="3">
        <v>1.32</v>
      </c>
      <c r="BY182" s="3">
        <f t="shared" si="396"/>
        <v>1.32</v>
      </c>
      <c r="BZ182" s="21">
        <f t="shared" si="397"/>
        <v>1.32</v>
      </c>
    </row>
    <row r="183" spans="2:78">
      <c r="B183" s="20" t="s">
        <v>827</v>
      </c>
      <c r="C183" s="3">
        <v>2.98</v>
      </c>
      <c r="D183" s="3">
        <f t="shared" si="366"/>
        <v>2.98</v>
      </c>
      <c r="E183" s="4">
        <f t="shared" si="367"/>
        <v>2.98</v>
      </c>
      <c r="F183" s="3">
        <v>4.38</v>
      </c>
      <c r="G183" s="3">
        <f t="shared" si="368"/>
        <v>4.38</v>
      </c>
      <c r="H183" s="4">
        <f t="shared" si="369"/>
        <v>4.38</v>
      </c>
      <c r="I183" s="3">
        <v>2.63</v>
      </c>
      <c r="J183" s="3">
        <f t="shared" si="370"/>
        <v>2.63</v>
      </c>
      <c r="K183" s="4" t="str">
        <f t="shared" si="371"/>
        <v/>
      </c>
      <c r="L183" s="3">
        <v>5.63</v>
      </c>
      <c r="M183" s="3">
        <f t="shared" si="372"/>
        <v>5.63</v>
      </c>
      <c r="N183" s="4">
        <f t="shared" si="373"/>
        <v>5.63</v>
      </c>
      <c r="O183" s="3">
        <v>4.33</v>
      </c>
      <c r="P183" s="3">
        <f t="shared" si="374"/>
        <v>4.33</v>
      </c>
      <c r="Q183" s="4">
        <f t="shared" si="375"/>
        <v>4.33</v>
      </c>
      <c r="R183" s="3">
        <v>4.8</v>
      </c>
      <c r="S183" s="3">
        <f t="shared" si="376"/>
        <v>4.8</v>
      </c>
      <c r="T183" s="4">
        <f t="shared" si="377"/>
        <v>4.8</v>
      </c>
      <c r="U183" s="3">
        <v>1.73</v>
      </c>
      <c r="V183" s="3">
        <f t="shared" si="378"/>
        <v>1.73</v>
      </c>
      <c r="W183" s="4">
        <f t="shared" si="379"/>
        <v>1.73</v>
      </c>
      <c r="X183" s="3">
        <v>2.1800000000000002</v>
      </c>
      <c r="Y183" s="3">
        <f t="shared" si="380"/>
        <v>2.1800000000000002</v>
      </c>
      <c r="Z183" s="21">
        <f t="shared" si="381"/>
        <v>2.1800000000000002</v>
      </c>
      <c r="BB183" s="20" t="s">
        <v>828</v>
      </c>
      <c r="BC183" s="3">
        <v>3.94</v>
      </c>
      <c r="BD183" s="3">
        <f t="shared" si="382"/>
        <v>3.94</v>
      </c>
      <c r="BE183" s="4">
        <f t="shared" si="383"/>
        <v>3.94</v>
      </c>
      <c r="BF183" s="3">
        <v>4.26</v>
      </c>
      <c r="BG183" s="3">
        <f t="shared" si="384"/>
        <v>4.26</v>
      </c>
      <c r="BH183" s="4">
        <f t="shared" si="385"/>
        <v>4.26</v>
      </c>
      <c r="BI183" s="3">
        <v>4.1500000000000004</v>
      </c>
      <c r="BJ183" s="3">
        <f t="shared" si="386"/>
        <v>4.1500000000000004</v>
      </c>
      <c r="BK183" s="4">
        <f t="shared" si="387"/>
        <v>4.1500000000000004</v>
      </c>
      <c r="BL183" s="3">
        <v>4.29</v>
      </c>
      <c r="BM183" s="3">
        <f t="shared" si="388"/>
        <v>4.29</v>
      </c>
      <c r="BN183" s="4">
        <f t="shared" si="389"/>
        <v>4.29</v>
      </c>
      <c r="BO183" s="3">
        <v>3.56</v>
      </c>
      <c r="BP183" s="3">
        <f t="shared" si="390"/>
        <v>3.56</v>
      </c>
      <c r="BQ183" s="4">
        <f t="shared" si="391"/>
        <v>3.56</v>
      </c>
      <c r="BR183" s="3">
        <v>3.14</v>
      </c>
      <c r="BS183" s="3">
        <f t="shared" si="392"/>
        <v>3.14</v>
      </c>
      <c r="BT183" s="4">
        <f t="shared" si="393"/>
        <v>3.14</v>
      </c>
      <c r="BU183" s="3">
        <v>1.64</v>
      </c>
      <c r="BV183" s="3">
        <f t="shared" si="394"/>
        <v>1.64</v>
      </c>
      <c r="BW183" s="4">
        <f t="shared" si="395"/>
        <v>1.64</v>
      </c>
      <c r="BX183" s="3">
        <v>1.27</v>
      </c>
      <c r="BY183" s="3">
        <f t="shared" si="396"/>
        <v>1.27</v>
      </c>
      <c r="BZ183" s="21">
        <f t="shared" si="397"/>
        <v>1.27</v>
      </c>
    </row>
    <row r="184" spans="2:78">
      <c r="B184" s="20" t="s">
        <v>829</v>
      </c>
      <c r="C184" s="3">
        <v>3.02</v>
      </c>
      <c r="D184" s="3">
        <f t="shared" si="366"/>
        <v>3.02</v>
      </c>
      <c r="E184" s="4">
        <f t="shared" si="367"/>
        <v>3.02</v>
      </c>
      <c r="F184" s="3">
        <v>2.0699999999999998</v>
      </c>
      <c r="G184" s="3">
        <f t="shared" si="368"/>
        <v>2.0699999999999998</v>
      </c>
      <c r="H184" s="4" t="str">
        <f t="shared" si="369"/>
        <v/>
      </c>
      <c r="I184" s="3">
        <v>5.32</v>
      </c>
      <c r="J184" s="3">
        <f t="shared" si="370"/>
        <v>5.32</v>
      </c>
      <c r="K184" s="4">
        <f t="shared" si="371"/>
        <v>5.32</v>
      </c>
      <c r="L184" s="3">
        <v>4.4400000000000004</v>
      </c>
      <c r="M184" s="3">
        <f t="shared" si="372"/>
        <v>4.4400000000000004</v>
      </c>
      <c r="N184" s="4">
        <f t="shared" si="373"/>
        <v>4.4400000000000004</v>
      </c>
      <c r="O184" s="3">
        <v>2.54</v>
      </c>
      <c r="P184" s="3">
        <f t="shared" si="374"/>
        <v>2.54</v>
      </c>
      <c r="Q184" s="4" t="str">
        <f t="shared" si="375"/>
        <v/>
      </c>
      <c r="R184" s="3">
        <v>4.82</v>
      </c>
      <c r="S184" s="3">
        <f t="shared" si="376"/>
        <v>4.82</v>
      </c>
      <c r="T184" s="4">
        <f t="shared" si="377"/>
        <v>4.82</v>
      </c>
      <c r="U184" s="3">
        <v>1.77</v>
      </c>
      <c r="V184" s="3">
        <f t="shared" si="378"/>
        <v>1.77</v>
      </c>
      <c r="W184" s="4">
        <f t="shared" si="379"/>
        <v>1.77</v>
      </c>
      <c r="X184" s="3">
        <v>2.27</v>
      </c>
      <c r="Y184" s="3">
        <f t="shared" si="380"/>
        <v>2.27</v>
      </c>
      <c r="Z184" s="21">
        <f t="shared" si="381"/>
        <v>2.27</v>
      </c>
      <c r="BB184" s="20" t="s">
        <v>830</v>
      </c>
      <c r="BC184" s="3">
        <v>3.93</v>
      </c>
      <c r="BD184" s="3">
        <f t="shared" si="382"/>
        <v>3.93</v>
      </c>
      <c r="BE184" s="4">
        <f t="shared" si="383"/>
        <v>3.93</v>
      </c>
      <c r="BF184" s="3">
        <v>4.2699999999999996</v>
      </c>
      <c r="BG184" s="3">
        <f t="shared" si="384"/>
        <v>4.2699999999999996</v>
      </c>
      <c r="BH184" s="4">
        <f t="shared" si="385"/>
        <v>4.2699999999999996</v>
      </c>
      <c r="BI184" s="3">
        <v>4.13</v>
      </c>
      <c r="BJ184" s="3">
        <f t="shared" si="386"/>
        <v>4.13</v>
      </c>
      <c r="BK184" s="4">
        <f t="shared" si="387"/>
        <v>4.13</v>
      </c>
      <c r="BL184" s="3">
        <v>4.29</v>
      </c>
      <c r="BM184" s="3">
        <f t="shared" si="388"/>
        <v>4.29</v>
      </c>
      <c r="BN184" s="4">
        <f t="shared" si="389"/>
        <v>4.29</v>
      </c>
      <c r="BO184" s="3">
        <v>3.63</v>
      </c>
      <c r="BP184" s="3">
        <f t="shared" si="390"/>
        <v>3.63</v>
      </c>
      <c r="BQ184" s="4">
        <f t="shared" si="391"/>
        <v>3.63</v>
      </c>
      <c r="BR184" s="3">
        <v>3.12</v>
      </c>
      <c r="BS184" s="3">
        <f t="shared" si="392"/>
        <v>3.12</v>
      </c>
      <c r="BT184" s="4">
        <f t="shared" si="393"/>
        <v>3.12</v>
      </c>
      <c r="BU184" s="3">
        <v>1.62</v>
      </c>
      <c r="BV184" s="3">
        <f t="shared" si="394"/>
        <v>1.62</v>
      </c>
      <c r="BW184" s="4">
        <f t="shared" si="395"/>
        <v>1.62</v>
      </c>
      <c r="BX184" s="3">
        <v>1.17</v>
      </c>
      <c r="BY184" s="3">
        <f t="shared" si="396"/>
        <v>1.17</v>
      </c>
      <c r="BZ184" s="21">
        <f t="shared" si="397"/>
        <v>1.17</v>
      </c>
    </row>
    <row r="185" spans="2:78">
      <c r="B185" s="20" t="s">
        <v>831</v>
      </c>
      <c r="C185" s="3">
        <v>3.03</v>
      </c>
      <c r="D185" s="3">
        <f t="shared" si="366"/>
        <v>3.03</v>
      </c>
      <c r="E185" s="4">
        <f t="shared" si="367"/>
        <v>3.03</v>
      </c>
      <c r="F185" s="3">
        <v>4.42</v>
      </c>
      <c r="G185" s="3">
        <f t="shared" si="368"/>
        <v>4.42</v>
      </c>
      <c r="H185" s="4">
        <f t="shared" si="369"/>
        <v>4.42</v>
      </c>
      <c r="I185" s="3">
        <v>5.31</v>
      </c>
      <c r="J185" s="3">
        <f t="shared" si="370"/>
        <v>5.31</v>
      </c>
      <c r="K185" s="4">
        <f t="shared" si="371"/>
        <v>5.31</v>
      </c>
      <c r="L185" s="3">
        <v>5.64</v>
      </c>
      <c r="M185" s="3">
        <f t="shared" si="372"/>
        <v>5.64</v>
      </c>
      <c r="N185" s="4">
        <f t="shared" si="373"/>
        <v>5.64</v>
      </c>
      <c r="O185" s="3">
        <v>4.33</v>
      </c>
      <c r="P185" s="3">
        <f t="shared" si="374"/>
        <v>4.33</v>
      </c>
      <c r="Q185" s="4">
        <f t="shared" si="375"/>
        <v>4.33</v>
      </c>
      <c r="R185" s="3">
        <v>4.87</v>
      </c>
      <c r="S185" s="3">
        <f t="shared" si="376"/>
        <v>4.87</v>
      </c>
      <c r="T185" s="4">
        <f t="shared" si="377"/>
        <v>4.87</v>
      </c>
      <c r="U185" s="3">
        <v>1.71</v>
      </c>
      <c r="V185" s="3">
        <f t="shared" si="378"/>
        <v>1.71</v>
      </c>
      <c r="W185" s="4">
        <f t="shared" si="379"/>
        <v>1.71</v>
      </c>
      <c r="X185" s="3">
        <v>2.2799999999999998</v>
      </c>
      <c r="Y185" s="3">
        <f t="shared" si="380"/>
        <v>2.2799999999999998</v>
      </c>
      <c r="Z185" s="21">
        <f t="shared" si="381"/>
        <v>2.2799999999999998</v>
      </c>
      <c r="BB185" s="20" t="s">
        <v>832</v>
      </c>
      <c r="BC185" s="3">
        <v>3.9</v>
      </c>
      <c r="BD185" s="3">
        <f t="shared" si="382"/>
        <v>3.9</v>
      </c>
      <c r="BE185" s="4">
        <f t="shared" si="383"/>
        <v>3.9</v>
      </c>
      <c r="BF185" s="3">
        <v>4.3600000000000003</v>
      </c>
      <c r="BG185" s="3">
        <f t="shared" si="384"/>
        <v>4.3600000000000003</v>
      </c>
      <c r="BH185" s="4">
        <f t="shared" si="385"/>
        <v>4.3600000000000003</v>
      </c>
      <c r="BI185" s="3">
        <v>4.22</v>
      </c>
      <c r="BJ185" s="3">
        <f t="shared" si="386"/>
        <v>4.22</v>
      </c>
      <c r="BK185" s="4">
        <f t="shared" si="387"/>
        <v>4.22</v>
      </c>
      <c r="BL185" s="3">
        <v>4.29</v>
      </c>
      <c r="BM185" s="3">
        <f t="shared" si="388"/>
        <v>4.29</v>
      </c>
      <c r="BN185" s="4">
        <f t="shared" si="389"/>
        <v>4.29</v>
      </c>
      <c r="BO185" s="3">
        <v>2.58</v>
      </c>
      <c r="BP185" s="3">
        <f t="shared" si="390"/>
        <v>2.58</v>
      </c>
      <c r="BQ185" s="4" t="str">
        <f t="shared" si="391"/>
        <v/>
      </c>
      <c r="BR185" s="3">
        <v>3.11</v>
      </c>
      <c r="BS185" s="3">
        <f t="shared" si="392"/>
        <v>3.11</v>
      </c>
      <c r="BT185" s="4">
        <f t="shared" si="393"/>
        <v>3.11</v>
      </c>
      <c r="BU185" s="3">
        <v>1.64</v>
      </c>
      <c r="BV185" s="3">
        <f t="shared" si="394"/>
        <v>1.64</v>
      </c>
      <c r="BW185" s="4">
        <f t="shared" si="395"/>
        <v>1.64</v>
      </c>
      <c r="BX185" s="3">
        <v>1.28</v>
      </c>
      <c r="BY185" s="3">
        <f t="shared" si="396"/>
        <v>1.28</v>
      </c>
      <c r="BZ185" s="21">
        <f t="shared" si="397"/>
        <v>1.28</v>
      </c>
    </row>
    <row r="186" spans="2:78">
      <c r="B186" s="20" t="s">
        <v>833</v>
      </c>
      <c r="C186" s="3">
        <v>3</v>
      </c>
      <c r="D186" s="3">
        <f t="shared" si="366"/>
        <v>3</v>
      </c>
      <c r="E186" s="4">
        <f t="shared" si="367"/>
        <v>3</v>
      </c>
      <c r="F186" s="3">
        <v>4.37</v>
      </c>
      <c r="G186" s="3">
        <f t="shared" si="368"/>
        <v>4.37</v>
      </c>
      <c r="H186" s="4">
        <f t="shared" si="369"/>
        <v>4.37</v>
      </c>
      <c r="I186" s="3">
        <v>5.3</v>
      </c>
      <c r="J186" s="3">
        <f t="shared" si="370"/>
        <v>5.3</v>
      </c>
      <c r="K186" s="4">
        <f t="shared" si="371"/>
        <v>5.3</v>
      </c>
      <c r="L186" s="3">
        <v>5.67</v>
      </c>
      <c r="M186" s="3">
        <f t="shared" si="372"/>
        <v>5.67</v>
      </c>
      <c r="N186" s="4">
        <f t="shared" si="373"/>
        <v>5.67</v>
      </c>
      <c r="O186" s="3">
        <v>4.32</v>
      </c>
      <c r="P186" s="3">
        <f t="shared" si="374"/>
        <v>4.32</v>
      </c>
      <c r="Q186" s="4">
        <f t="shared" si="375"/>
        <v>4.32</v>
      </c>
      <c r="R186" s="3">
        <v>4.87</v>
      </c>
      <c r="S186" s="3">
        <f t="shared" si="376"/>
        <v>4.87</v>
      </c>
      <c r="T186" s="4">
        <f t="shared" si="377"/>
        <v>4.87</v>
      </c>
      <c r="U186" s="3">
        <v>1.74</v>
      </c>
      <c r="V186" s="3">
        <f t="shared" si="378"/>
        <v>1.74</v>
      </c>
      <c r="W186" s="4">
        <f t="shared" si="379"/>
        <v>1.74</v>
      </c>
      <c r="X186" s="3">
        <v>2.25</v>
      </c>
      <c r="Y186" s="3">
        <f t="shared" si="380"/>
        <v>2.25</v>
      </c>
      <c r="Z186" s="21">
        <f t="shared" si="381"/>
        <v>2.25</v>
      </c>
      <c r="BB186" s="20" t="s">
        <v>834</v>
      </c>
      <c r="BC186" s="3">
        <v>3.96</v>
      </c>
      <c r="BD186" s="3">
        <f t="shared" si="382"/>
        <v>3.96</v>
      </c>
      <c r="BE186" s="4">
        <f t="shared" si="383"/>
        <v>3.96</v>
      </c>
      <c r="BF186" s="3">
        <v>4.2300000000000004</v>
      </c>
      <c r="BG186" s="3">
        <f t="shared" si="384"/>
        <v>4.2300000000000004</v>
      </c>
      <c r="BH186" s="4">
        <f t="shared" si="385"/>
        <v>4.2300000000000004</v>
      </c>
      <c r="BI186" s="3">
        <v>4.1399999999999997</v>
      </c>
      <c r="BJ186" s="3">
        <f t="shared" si="386"/>
        <v>4.1399999999999997</v>
      </c>
      <c r="BK186" s="4">
        <f t="shared" si="387"/>
        <v>4.1399999999999997</v>
      </c>
      <c r="BL186" s="3">
        <v>4.3</v>
      </c>
      <c r="BM186" s="3">
        <f t="shared" si="388"/>
        <v>4.3</v>
      </c>
      <c r="BN186" s="4">
        <f t="shared" si="389"/>
        <v>4.3</v>
      </c>
      <c r="BO186" s="3">
        <v>3.59</v>
      </c>
      <c r="BP186" s="3">
        <f t="shared" si="390"/>
        <v>3.59</v>
      </c>
      <c r="BQ186" s="4">
        <f t="shared" si="391"/>
        <v>3.59</v>
      </c>
      <c r="BR186" s="3">
        <v>3.14</v>
      </c>
      <c r="BS186" s="3">
        <f t="shared" si="392"/>
        <v>3.14</v>
      </c>
      <c r="BT186" s="4">
        <f t="shared" si="393"/>
        <v>3.14</v>
      </c>
      <c r="BU186" s="3">
        <v>1.65</v>
      </c>
      <c r="BV186" s="3">
        <f t="shared" si="394"/>
        <v>1.65</v>
      </c>
      <c r="BW186" s="4">
        <f t="shared" si="395"/>
        <v>1.65</v>
      </c>
      <c r="BX186" s="3">
        <v>1.28</v>
      </c>
      <c r="BY186" s="3">
        <f t="shared" si="396"/>
        <v>1.28</v>
      </c>
      <c r="BZ186" s="21">
        <f t="shared" si="397"/>
        <v>1.28</v>
      </c>
    </row>
    <row r="187" spans="2:78">
      <c r="B187" s="20" t="s">
        <v>835</v>
      </c>
      <c r="C187" s="3">
        <v>3.03</v>
      </c>
      <c r="D187" s="3">
        <f t="shared" si="366"/>
        <v>3.03</v>
      </c>
      <c r="E187" s="4">
        <f t="shared" si="367"/>
        <v>3.03</v>
      </c>
      <c r="F187" s="3">
        <v>4.37</v>
      </c>
      <c r="G187" s="3">
        <f t="shared" si="368"/>
        <v>4.37</v>
      </c>
      <c r="H187" s="4">
        <f t="shared" si="369"/>
        <v>4.37</v>
      </c>
      <c r="I187" s="3">
        <v>5.33</v>
      </c>
      <c r="J187" s="3">
        <f t="shared" si="370"/>
        <v>5.33</v>
      </c>
      <c r="K187" s="4">
        <f t="shared" si="371"/>
        <v>5.33</v>
      </c>
      <c r="L187" s="3">
        <v>5.62</v>
      </c>
      <c r="M187" s="3">
        <f t="shared" si="372"/>
        <v>5.62</v>
      </c>
      <c r="N187" s="4">
        <f t="shared" si="373"/>
        <v>5.62</v>
      </c>
      <c r="O187" s="3">
        <v>4.32</v>
      </c>
      <c r="P187" s="3">
        <f t="shared" si="374"/>
        <v>4.32</v>
      </c>
      <c r="Q187" s="4">
        <f t="shared" si="375"/>
        <v>4.32</v>
      </c>
      <c r="R187" s="3">
        <v>4.88</v>
      </c>
      <c r="S187" s="3">
        <f t="shared" si="376"/>
        <v>4.88</v>
      </c>
      <c r="T187" s="4">
        <f t="shared" si="377"/>
        <v>4.88</v>
      </c>
      <c r="U187" s="3">
        <v>1.74</v>
      </c>
      <c r="V187" s="3">
        <f t="shared" si="378"/>
        <v>1.74</v>
      </c>
      <c r="W187" s="4">
        <f t="shared" si="379"/>
        <v>1.74</v>
      </c>
      <c r="X187" s="3">
        <v>2.2799999999999998</v>
      </c>
      <c r="Y187" s="3">
        <f t="shared" si="380"/>
        <v>2.2799999999999998</v>
      </c>
      <c r="Z187" s="21">
        <f t="shared" si="381"/>
        <v>2.2799999999999998</v>
      </c>
      <c r="BB187" s="20" t="s">
        <v>836</v>
      </c>
      <c r="BC187" s="3">
        <v>3.9</v>
      </c>
      <c r="BD187" s="3">
        <f t="shared" si="382"/>
        <v>3.9</v>
      </c>
      <c r="BE187" s="4">
        <f t="shared" si="383"/>
        <v>3.9</v>
      </c>
      <c r="BF187" s="3">
        <v>4.28</v>
      </c>
      <c r="BG187" s="3">
        <f t="shared" si="384"/>
        <v>4.28</v>
      </c>
      <c r="BH187" s="4">
        <f t="shared" si="385"/>
        <v>4.28</v>
      </c>
      <c r="BI187" s="3">
        <v>4.13</v>
      </c>
      <c r="BJ187" s="3">
        <f t="shared" si="386"/>
        <v>4.13</v>
      </c>
      <c r="BK187" s="4">
        <f t="shared" si="387"/>
        <v>4.13</v>
      </c>
      <c r="BL187" s="3">
        <v>4.32</v>
      </c>
      <c r="BM187" s="3">
        <f t="shared" si="388"/>
        <v>4.32</v>
      </c>
      <c r="BN187" s="4">
        <f t="shared" si="389"/>
        <v>4.32</v>
      </c>
      <c r="BO187" s="3">
        <v>3.58</v>
      </c>
      <c r="BP187" s="3">
        <f t="shared" si="390"/>
        <v>3.58</v>
      </c>
      <c r="BQ187" s="4">
        <f t="shared" si="391"/>
        <v>3.58</v>
      </c>
      <c r="BR187" s="3">
        <v>3.11</v>
      </c>
      <c r="BS187" s="3">
        <f t="shared" si="392"/>
        <v>3.11</v>
      </c>
      <c r="BT187" s="4">
        <f t="shared" si="393"/>
        <v>3.11</v>
      </c>
      <c r="BU187" s="3">
        <v>1.62</v>
      </c>
      <c r="BV187" s="3">
        <f t="shared" si="394"/>
        <v>1.62</v>
      </c>
      <c r="BW187" s="4">
        <f t="shared" si="395"/>
        <v>1.62</v>
      </c>
      <c r="BX187" s="3">
        <v>1.26</v>
      </c>
      <c r="BY187" s="3">
        <f t="shared" si="396"/>
        <v>1.26</v>
      </c>
      <c r="BZ187" s="21">
        <f t="shared" si="397"/>
        <v>1.26</v>
      </c>
    </row>
    <row r="188" spans="2:78">
      <c r="B188" s="20" t="s">
        <v>837</v>
      </c>
      <c r="C188" s="3">
        <v>3.01</v>
      </c>
      <c r="D188" s="3">
        <f t="shared" si="366"/>
        <v>3.01</v>
      </c>
      <c r="E188" s="4">
        <f t="shared" si="367"/>
        <v>3.01</v>
      </c>
      <c r="F188" s="3">
        <v>4.3899999999999997</v>
      </c>
      <c r="G188" s="3">
        <f t="shared" si="368"/>
        <v>4.3899999999999997</v>
      </c>
      <c r="H188" s="4">
        <f t="shared" si="369"/>
        <v>4.3899999999999997</v>
      </c>
      <c r="I188" s="3">
        <v>5.3</v>
      </c>
      <c r="J188" s="3">
        <f t="shared" si="370"/>
        <v>5.3</v>
      </c>
      <c r="K188" s="4">
        <f t="shared" si="371"/>
        <v>5.3</v>
      </c>
      <c r="L188" s="3">
        <v>2.79</v>
      </c>
      <c r="M188" s="3">
        <f t="shared" si="372"/>
        <v>2.79</v>
      </c>
      <c r="N188" s="4" t="str">
        <f t="shared" si="373"/>
        <v/>
      </c>
      <c r="O188" s="3">
        <v>4.34</v>
      </c>
      <c r="P188" s="3">
        <f t="shared" si="374"/>
        <v>4.34</v>
      </c>
      <c r="Q188" s="4">
        <f t="shared" si="375"/>
        <v>4.34</v>
      </c>
      <c r="R188" s="3">
        <v>4.8499999999999996</v>
      </c>
      <c r="S188" s="3">
        <f t="shared" si="376"/>
        <v>4.8499999999999996</v>
      </c>
      <c r="T188" s="4">
        <f t="shared" si="377"/>
        <v>4.8499999999999996</v>
      </c>
      <c r="U188" s="3">
        <v>1.77</v>
      </c>
      <c r="V188" s="3">
        <f t="shared" si="378"/>
        <v>1.77</v>
      </c>
      <c r="W188" s="4">
        <f t="shared" si="379"/>
        <v>1.77</v>
      </c>
      <c r="X188" s="3">
        <v>2.2599999999999998</v>
      </c>
      <c r="Y188" s="3">
        <f t="shared" si="380"/>
        <v>2.2599999999999998</v>
      </c>
      <c r="Z188" s="21">
        <f t="shared" si="381"/>
        <v>2.2599999999999998</v>
      </c>
      <c r="BB188" s="20" t="s">
        <v>838</v>
      </c>
      <c r="BC188" s="3">
        <v>3.93</v>
      </c>
      <c r="BD188" s="3">
        <f t="shared" si="382"/>
        <v>3.93</v>
      </c>
      <c r="BE188" s="4">
        <f t="shared" si="383"/>
        <v>3.93</v>
      </c>
      <c r="BF188" s="3">
        <v>1.9</v>
      </c>
      <c r="BG188" s="3">
        <f t="shared" si="384"/>
        <v>1.9</v>
      </c>
      <c r="BH188" s="4" t="str">
        <f t="shared" si="385"/>
        <v/>
      </c>
      <c r="BI188" s="3">
        <v>4.16</v>
      </c>
      <c r="BJ188" s="3">
        <f t="shared" si="386"/>
        <v>4.16</v>
      </c>
      <c r="BK188" s="4">
        <f t="shared" si="387"/>
        <v>4.16</v>
      </c>
      <c r="BL188" s="3">
        <v>4.29</v>
      </c>
      <c r="BM188" s="3">
        <f t="shared" si="388"/>
        <v>4.29</v>
      </c>
      <c r="BN188" s="4">
        <f t="shared" si="389"/>
        <v>4.29</v>
      </c>
      <c r="BO188" s="3">
        <v>3.59</v>
      </c>
      <c r="BP188" s="3">
        <f t="shared" si="390"/>
        <v>3.59</v>
      </c>
      <c r="BQ188" s="4">
        <f t="shared" si="391"/>
        <v>3.59</v>
      </c>
      <c r="BR188" s="3">
        <v>3.15</v>
      </c>
      <c r="BS188" s="3">
        <f t="shared" si="392"/>
        <v>3.15</v>
      </c>
      <c r="BT188" s="4">
        <f t="shared" si="393"/>
        <v>3.15</v>
      </c>
      <c r="BU188" s="3">
        <v>1.62</v>
      </c>
      <c r="BV188" s="3">
        <f t="shared" si="394"/>
        <v>1.62</v>
      </c>
      <c r="BW188" s="4">
        <f t="shared" si="395"/>
        <v>1.62</v>
      </c>
      <c r="BX188" s="3">
        <v>1.29</v>
      </c>
      <c r="BY188" s="3">
        <f t="shared" si="396"/>
        <v>1.29</v>
      </c>
      <c r="BZ188" s="21">
        <f t="shared" si="397"/>
        <v>1.29</v>
      </c>
    </row>
    <row r="189" spans="2:78">
      <c r="B189" s="20" t="s">
        <v>839</v>
      </c>
      <c r="C189" s="3">
        <v>3</v>
      </c>
      <c r="D189" s="3">
        <f t="shared" si="366"/>
        <v>3</v>
      </c>
      <c r="E189" s="4">
        <f t="shared" si="367"/>
        <v>3</v>
      </c>
      <c r="F189" s="3">
        <v>4.4000000000000004</v>
      </c>
      <c r="G189" s="3">
        <f t="shared" si="368"/>
        <v>4.4000000000000004</v>
      </c>
      <c r="H189" s="4">
        <f t="shared" si="369"/>
        <v>4.4000000000000004</v>
      </c>
      <c r="I189" s="3">
        <v>5.3</v>
      </c>
      <c r="J189" s="3">
        <f t="shared" si="370"/>
        <v>5.3</v>
      </c>
      <c r="K189" s="4">
        <f t="shared" si="371"/>
        <v>5.3</v>
      </c>
      <c r="L189" s="3">
        <v>5.61</v>
      </c>
      <c r="M189" s="3">
        <f t="shared" si="372"/>
        <v>5.61</v>
      </c>
      <c r="N189" s="4">
        <f t="shared" si="373"/>
        <v>5.61</v>
      </c>
      <c r="O189" s="3">
        <v>4.33</v>
      </c>
      <c r="P189" s="3">
        <f t="shared" si="374"/>
        <v>4.33</v>
      </c>
      <c r="Q189" s="4">
        <f t="shared" si="375"/>
        <v>4.33</v>
      </c>
      <c r="R189" s="3">
        <v>4.82</v>
      </c>
      <c r="S189" s="3">
        <f t="shared" si="376"/>
        <v>4.82</v>
      </c>
      <c r="T189" s="4">
        <f t="shared" si="377"/>
        <v>4.82</v>
      </c>
      <c r="U189" s="3">
        <v>1.75</v>
      </c>
      <c r="V189" s="3">
        <f t="shared" si="378"/>
        <v>1.75</v>
      </c>
      <c r="W189" s="4">
        <f t="shared" si="379"/>
        <v>1.75</v>
      </c>
      <c r="X189" s="3">
        <v>2.2400000000000002</v>
      </c>
      <c r="Y189" s="3">
        <f t="shared" si="380"/>
        <v>2.2400000000000002</v>
      </c>
      <c r="Z189" s="21">
        <f t="shared" si="381"/>
        <v>2.2400000000000002</v>
      </c>
      <c r="BB189" s="20" t="s">
        <v>840</v>
      </c>
      <c r="BC189" s="3">
        <v>3.91</v>
      </c>
      <c r="BD189" s="3">
        <f t="shared" si="382"/>
        <v>3.91</v>
      </c>
      <c r="BE189" s="4">
        <f t="shared" si="383"/>
        <v>3.91</v>
      </c>
      <c r="BF189" s="3">
        <v>2.17</v>
      </c>
      <c r="BG189" s="3">
        <f t="shared" si="384"/>
        <v>2.17</v>
      </c>
      <c r="BH189" s="4" t="str">
        <f t="shared" si="385"/>
        <v/>
      </c>
      <c r="BI189" s="3">
        <v>4.17</v>
      </c>
      <c r="BJ189" s="3">
        <f t="shared" si="386"/>
        <v>4.17</v>
      </c>
      <c r="BK189" s="4">
        <f t="shared" si="387"/>
        <v>4.17</v>
      </c>
      <c r="BL189" s="3">
        <v>4.29</v>
      </c>
      <c r="BM189" s="3">
        <f t="shared" si="388"/>
        <v>4.29</v>
      </c>
      <c r="BN189" s="4">
        <f t="shared" si="389"/>
        <v>4.29</v>
      </c>
      <c r="BO189" s="3">
        <v>3.58</v>
      </c>
      <c r="BP189" s="3">
        <f t="shared" si="390"/>
        <v>3.58</v>
      </c>
      <c r="BQ189" s="4">
        <f t="shared" si="391"/>
        <v>3.58</v>
      </c>
      <c r="BR189" s="3">
        <v>3.12</v>
      </c>
      <c r="BS189" s="3">
        <f t="shared" si="392"/>
        <v>3.12</v>
      </c>
      <c r="BT189" s="4">
        <f t="shared" si="393"/>
        <v>3.12</v>
      </c>
      <c r="BU189" s="3">
        <v>1.61</v>
      </c>
      <c r="BV189" s="3">
        <f t="shared" si="394"/>
        <v>1.61</v>
      </c>
      <c r="BW189" s="4">
        <f t="shared" si="395"/>
        <v>1.61</v>
      </c>
      <c r="BX189" s="3">
        <v>1.23</v>
      </c>
      <c r="BY189" s="3">
        <f t="shared" si="396"/>
        <v>1.23</v>
      </c>
      <c r="BZ189" s="21">
        <f t="shared" si="397"/>
        <v>1.23</v>
      </c>
    </row>
    <row r="190" spans="2:78">
      <c r="B190" s="20" t="s">
        <v>841</v>
      </c>
      <c r="C190" s="3">
        <v>3</v>
      </c>
      <c r="D190" s="3">
        <f t="shared" si="366"/>
        <v>3</v>
      </c>
      <c r="E190" s="4">
        <f t="shared" si="367"/>
        <v>3</v>
      </c>
      <c r="F190" s="3">
        <v>4.37</v>
      </c>
      <c r="G190" s="3">
        <f t="shared" si="368"/>
        <v>4.37</v>
      </c>
      <c r="H190" s="4">
        <f t="shared" si="369"/>
        <v>4.37</v>
      </c>
      <c r="I190" s="3">
        <v>5.3</v>
      </c>
      <c r="J190" s="3">
        <f t="shared" si="370"/>
        <v>5.3</v>
      </c>
      <c r="K190" s="4">
        <f t="shared" si="371"/>
        <v>5.3</v>
      </c>
      <c r="L190" s="3">
        <v>5.64</v>
      </c>
      <c r="M190" s="3">
        <f t="shared" si="372"/>
        <v>5.64</v>
      </c>
      <c r="N190" s="4">
        <f t="shared" si="373"/>
        <v>5.64</v>
      </c>
      <c r="O190" s="3">
        <v>4.33</v>
      </c>
      <c r="P190" s="3">
        <f t="shared" si="374"/>
        <v>4.33</v>
      </c>
      <c r="Q190" s="4">
        <f t="shared" si="375"/>
        <v>4.33</v>
      </c>
      <c r="R190" s="3">
        <v>4.87</v>
      </c>
      <c r="S190" s="3">
        <f t="shared" si="376"/>
        <v>4.87</v>
      </c>
      <c r="T190" s="4">
        <f t="shared" si="377"/>
        <v>4.87</v>
      </c>
      <c r="U190" s="3">
        <v>1.78</v>
      </c>
      <c r="V190" s="3">
        <f t="shared" si="378"/>
        <v>1.78</v>
      </c>
      <c r="W190" s="4">
        <f t="shared" si="379"/>
        <v>1.78</v>
      </c>
      <c r="X190" s="3">
        <v>2.27</v>
      </c>
      <c r="Y190" s="3">
        <f t="shared" si="380"/>
        <v>2.27</v>
      </c>
      <c r="Z190" s="21">
        <f t="shared" si="381"/>
        <v>2.27</v>
      </c>
      <c r="BB190" s="20" t="s">
        <v>842</v>
      </c>
      <c r="BC190" s="3">
        <v>3.93</v>
      </c>
      <c r="BD190" s="3">
        <f t="shared" si="382"/>
        <v>3.93</v>
      </c>
      <c r="BE190" s="4">
        <f t="shared" si="383"/>
        <v>3.93</v>
      </c>
      <c r="BF190" s="3">
        <v>4.28</v>
      </c>
      <c r="BG190" s="3">
        <f t="shared" si="384"/>
        <v>4.28</v>
      </c>
      <c r="BH190" s="4">
        <f t="shared" si="385"/>
        <v>4.28</v>
      </c>
      <c r="BI190" s="3">
        <v>4.18</v>
      </c>
      <c r="BJ190" s="3">
        <f t="shared" si="386"/>
        <v>4.18</v>
      </c>
      <c r="BK190" s="4">
        <f t="shared" si="387"/>
        <v>4.18</v>
      </c>
      <c r="BL190" s="3">
        <v>4.3</v>
      </c>
      <c r="BM190" s="3">
        <f t="shared" si="388"/>
        <v>4.3</v>
      </c>
      <c r="BN190" s="4">
        <f t="shared" si="389"/>
        <v>4.3</v>
      </c>
      <c r="BO190" s="3">
        <v>3.61</v>
      </c>
      <c r="BP190" s="3">
        <f t="shared" si="390"/>
        <v>3.61</v>
      </c>
      <c r="BQ190" s="4">
        <f t="shared" si="391"/>
        <v>3.61</v>
      </c>
      <c r="BR190" s="3">
        <v>3.11</v>
      </c>
      <c r="BS190" s="3">
        <f t="shared" si="392"/>
        <v>3.11</v>
      </c>
      <c r="BT190" s="4">
        <f t="shared" si="393"/>
        <v>3.11</v>
      </c>
      <c r="BU190" s="3">
        <v>1.62</v>
      </c>
      <c r="BV190" s="3">
        <f t="shared" si="394"/>
        <v>1.62</v>
      </c>
      <c r="BW190" s="4">
        <f t="shared" si="395"/>
        <v>1.62</v>
      </c>
      <c r="BX190" s="3">
        <v>1.29</v>
      </c>
      <c r="BY190" s="3">
        <f t="shared" si="396"/>
        <v>1.29</v>
      </c>
      <c r="BZ190" s="21">
        <f t="shared" si="397"/>
        <v>1.29</v>
      </c>
    </row>
    <row r="191" spans="2:78">
      <c r="B191" s="20" t="s">
        <v>843</v>
      </c>
      <c r="C191" s="3">
        <v>3.01</v>
      </c>
      <c r="D191" s="3">
        <f t="shared" si="366"/>
        <v>3.01</v>
      </c>
      <c r="E191" s="4">
        <f t="shared" si="367"/>
        <v>3.01</v>
      </c>
      <c r="F191" s="3">
        <v>4.4400000000000004</v>
      </c>
      <c r="G191" s="3">
        <f t="shared" si="368"/>
        <v>4.4400000000000004</v>
      </c>
      <c r="H191" s="4">
        <f t="shared" si="369"/>
        <v>4.4400000000000004</v>
      </c>
      <c r="I191" s="3">
        <v>5.29</v>
      </c>
      <c r="J191" s="3">
        <f t="shared" si="370"/>
        <v>5.29</v>
      </c>
      <c r="K191" s="4">
        <f t="shared" si="371"/>
        <v>5.29</v>
      </c>
      <c r="L191" s="3">
        <v>0.93</v>
      </c>
      <c r="M191" s="3">
        <f t="shared" si="372"/>
        <v>0.93</v>
      </c>
      <c r="N191" s="4" t="str">
        <f t="shared" si="373"/>
        <v/>
      </c>
      <c r="O191" s="3">
        <v>4.32</v>
      </c>
      <c r="P191" s="3">
        <f t="shared" si="374"/>
        <v>4.32</v>
      </c>
      <c r="Q191" s="4">
        <f t="shared" si="375"/>
        <v>4.32</v>
      </c>
      <c r="R191" s="3">
        <v>4.8600000000000003</v>
      </c>
      <c r="S191" s="3">
        <f t="shared" si="376"/>
        <v>4.8600000000000003</v>
      </c>
      <c r="T191" s="4">
        <f t="shared" si="377"/>
        <v>4.8600000000000003</v>
      </c>
      <c r="U191" s="3">
        <v>1.77</v>
      </c>
      <c r="V191" s="3">
        <f t="shared" si="378"/>
        <v>1.77</v>
      </c>
      <c r="W191" s="4">
        <f t="shared" si="379"/>
        <v>1.77</v>
      </c>
      <c r="X191" s="3">
        <v>2.2400000000000002</v>
      </c>
      <c r="Y191" s="3">
        <f t="shared" si="380"/>
        <v>2.2400000000000002</v>
      </c>
      <c r="Z191" s="21">
        <f t="shared" si="381"/>
        <v>2.2400000000000002</v>
      </c>
      <c r="BB191" s="20" t="s">
        <v>844</v>
      </c>
      <c r="BC191" s="3">
        <v>3.91</v>
      </c>
      <c r="BD191" s="3">
        <f t="shared" si="382"/>
        <v>3.91</v>
      </c>
      <c r="BE191" s="4">
        <f t="shared" si="383"/>
        <v>3.91</v>
      </c>
      <c r="BF191" s="3">
        <v>4.25</v>
      </c>
      <c r="BG191" s="3">
        <f t="shared" si="384"/>
        <v>4.25</v>
      </c>
      <c r="BH191" s="4">
        <f t="shared" si="385"/>
        <v>4.25</v>
      </c>
      <c r="BI191" s="3">
        <v>4.16</v>
      </c>
      <c r="BJ191" s="3">
        <f t="shared" si="386"/>
        <v>4.16</v>
      </c>
      <c r="BK191" s="4">
        <f t="shared" si="387"/>
        <v>4.16</v>
      </c>
      <c r="BL191" s="3">
        <v>4.32</v>
      </c>
      <c r="BM191" s="3">
        <f t="shared" si="388"/>
        <v>4.32</v>
      </c>
      <c r="BN191" s="4">
        <f t="shared" si="389"/>
        <v>4.32</v>
      </c>
      <c r="BO191" s="3">
        <v>1.29</v>
      </c>
      <c r="BP191" s="3">
        <f t="shared" si="390"/>
        <v>1.29</v>
      </c>
      <c r="BQ191" s="4" t="str">
        <f t="shared" si="391"/>
        <v/>
      </c>
      <c r="BR191" s="3">
        <v>3.12</v>
      </c>
      <c r="BS191" s="3">
        <f t="shared" si="392"/>
        <v>3.12</v>
      </c>
      <c r="BT191" s="4">
        <f t="shared" si="393"/>
        <v>3.12</v>
      </c>
      <c r="BU191" s="3">
        <v>1.62</v>
      </c>
      <c r="BV191" s="3">
        <f t="shared" si="394"/>
        <v>1.62</v>
      </c>
      <c r="BW191" s="4">
        <f t="shared" si="395"/>
        <v>1.62</v>
      </c>
      <c r="BX191" s="3">
        <v>1.27</v>
      </c>
      <c r="BY191" s="3">
        <f t="shared" si="396"/>
        <v>1.27</v>
      </c>
      <c r="BZ191" s="21">
        <f t="shared" si="397"/>
        <v>1.27</v>
      </c>
    </row>
    <row r="192" spans="2:78">
      <c r="B192" s="20" t="s">
        <v>845</v>
      </c>
      <c r="C192" s="3">
        <v>3.02</v>
      </c>
      <c r="D192" s="3">
        <f t="shared" si="366"/>
        <v>3.02</v>
      </c>
      <c r="E192" s="4">
        <f t="shared" si="367"/>
        <v>3.02</v>
      </c>
      <c r="F192" s="3">
        <v>4.3899999999999997</v>
      </c>
      <c r="G192" s="3">
        <f t="shared" si="368"/>
        <v>4.3899999999999997</v>
      </c>
      <c r="H192" s="4">
        <f t="shared" si="369"/>
        <v>4.3899999999999997</v>
      </c>
      <c r="I192" s="3">
        <v>5.28</v>
      </c>
      <c r="J192" s="3">
        <f t="shared" si="370"/>
        <v>5.28</v>
      </c>
      <c r="K192" s="4">
        <f t="shared" si="371"/>
        <v>5.28</v>
      </c>
      <c r="L192" s="3">
        <v>5.62</v>
      </c>
      <c r="M192" s="3">
        <f t="shared" si="372"/>
        <v>5.62</v>
      </c>
      <c r="N192" s="4">
        <f t="shared" si="373"/>
        <v>5.62</v>
      </c>
      <c r="O192" s="3">
        <v>4.32</v>
      </c>
      <c r="P192" s="3">
        <f t="shared" si="374"/>
        <v>4.32</v>
      </c>
      <c r="Q192" s="4">
        <f t="shared" si="375"/>
        <v>4.32</v>
      </c>
      <c r="R192" s="3">
        <v>1.35</v>
      </c>
      <c r="S192" s="3">
        <f t="shared" si="376"/>
        <v>1.35</v>
      </c>
      <c r="T192" s="4" t="str">
        <f t="shared" si="377"/>
        <v/>
      </c>
      <c r="U192" s="3">
        <v>1.73</v>
      </c>
      <c r="V192" s="3">
        <f t="shared" si="378"/>
        <v>1.73</v>
      </c>
      <c r="W192" s="4">
        <f t="shared" si="379"/>
        <v>1.73</v>
      </c>
      <c r="X192" s="3">
        <v>2.29</v>
      </c>
      <c r="Y192" s="3">
        <f t="shared" si="380"/>
        <v>2.29</v>
      </c>
      <c r="Z192" s="21">
        <f t="shared" si="381"/>
        <v>2.29</v>
      </c>
      <c r="BB192" s="20" t="s">
        <v>846</v>
      </c>
      <c r="BC192" s="3">
        <v>1.46</v>
      </c>
      <c r="BD192" s="3">
        <f t="shared" si="382"/>
        <v>1.46</v>
      </c>
      <c r="BE192" s="4" t="str">
        <f t="shared" si="383"/>
        <v/>
      </c>
      <c r="BF192" s="3">
        <v>4.2699999999999996</v>
      </c>
      <c r="BG192" s="3">
        <f t="shared" si="384"/>
        <v>4.2699999999999996</v>
      </c>
      <c r="BH192" s="4">
        <f t="shared" si="385"/>
        <v>4.2699999999999996</v>
      </c>
      <c r="BI192" s="3">
        <v>4.16</v>
      </c>
      <c r="BJ192" s="3">
        <f t="shared" si="386"/>
        <v>4.16</v>
      </c>
      <c r="BK192" s="4">
        <f t="shared" si="387"/>
        <v>4.16</v>
      </c>
      <c r="BL192" s="3">
        <v>4.29</v>
      </c>
      <c r="BM192" s="3">
        <f t="shared" si="388"/>
        <v>4.29</v>
      </c>
      <c r="BN192" s="4">
        <f t="shared" si="389"/>
        <v>4.29</v>
      </c>
      <c r="BO192" s="3">
        <v>3.33</v>
      </c>
      <c r="BP192" s="3">
        <f t="shared" si="390"/>
        <v>3.33</v>
      </c>
      <c r="BQ192" s="4">
        <f t="shared" si="391"/>
        <v>3.33</v>
      </c>
      <c r="BR192" s="3">
        <v>3.13</v>
      </c>
      <c r="BS192" s="3">
        <f t="shared" si="392"/>
        <v>3.13</v>
      </c>
      <c r="BT192" s="4">
        <f t="shared" si="393"/>
        <v>3.13</v>
      </c>
      <c r="BU192" s="3">
        <v>1.05</v>
      </c>
      <c r="BV192" s="3">
        <f t="shared" si="394"/>
        <v>1.05</v>
      </c>
      <c r="BW192" s="4" t="str">
        <f t="shared" si="395"/>
        <v/>
      </c>
      <c r="BX192" s="3">
        <v>1.25</v>
      </c>
      <c r="BY192" s="3">
        <f t="shared" si="396"/>
        <v>1.25</v>
      </c>
      <c r="BZ192" s="21">
        <f t="shared" si="397"/>
        <v>1.25</v>
      </c>
    </row>
    <row r="193" spans="2:78">
      <c r="B193" s="20" t="s">
        <v>847</v>
      </c>
      <c r="C193" s="3">
        <v>2.95</v>
      </c>
      <c r="D193" s="3">
        <f t="shared" si="366"/>
        <v>2.95</v>
      </c>
      <c r="E193" s="4">
        <f t="shared" si="367"/>
        <v>2.95</v>
      </c>
      <c r="F193" s="3">
        <v>4.3899999999999997</v>
      </c>
      <c r="G193" s="3">
        <f t="shared" si="368"/>
        <v>4.3899999999999997</v>
      </c>
      <c r="H193" s="4">
        <f t="shared" si="369"/>
        <v>4.3899999999999997</v>
      </c>
      <c r="I193" s="3">
        <v>5.3</v>
      </c>
      <c r="J193" s="3">
        <f t="shared" si="370"/>
        <v>5.3</v>
      </c>
      <c r="K193" s="4">
        <f t="shared" si="371"/>
        <v>5.3</v>
      </c>
      <c r="L193" s="3">
        <v>5.61</v>
      </c>
      <c r="M193" s="3">
        <f t="shared" si="372"/>
        <v>5.61</v>
      </c>
      <c r="N193" s="4">
        <f t="shared" si="373"/>
        <v>5.61</v>
      </c>
      <c r="O193" s="3">
        <v>4.34</v>
      </c>
      <c r="P193" s="3">
        <f t="shared" si="374"/>
        <v>4.34</v>
      </c>
      <c r="Q193" s="4">
        <f t="shared" si="375"/>
        <v>4.34</v>
      </c>
      <c r="R193" s="3">
        <v>4.8499999999999996</v>
      </c>
      <c r="S193" s="3">
        <f t="shared" si="376"/>
        <v>4.8499999999999996</v>
      </c>
      <c r="T193" s="4">
        <f t="shared" si="377"/>
        <v>4.8499999999999996</v>
      </c>
      <c r="U193" s="3">
        <v>1.77</v>
      </c>
      <c r="V193" s="3">
        <f t="shared" si="378"/>
        <v>1.77</v>
      </c>
      <c r="W193" s="4">
        <f t="shared" si="379"/>
        <v>1.77</v>
      </c>
      <c r="X193" s="3">
        <v>2.2599999999999998</v>
      </c>
      <c r="Y193" s="3">
        <f t="shared" si="380"/>
        <v>2.2599999999999998</v>
      </c>
      <c r="Z193" s="21">
        <f t="shared" si="381"/>
        <v>2.2599999999999998</v>
      </c>
      <c r="BB193" s="20" t="s">
        <v>848</v>
      </c>
      <c r="BC193" s="3">
        <v>3.9</v>
      </c>
      <c r="BD193" s="3">
        <f t="shared" si="382"/>
        <v>3.9</v>
      </c>
      <c r="BE193" s="4">
        <f t="shared" si="383"/>
        <v>3.9</v>
      </c>
      <c r="BF193" s="3">
        <v>4.26</v>
      </c>
      <c r="BG193" s="3">
        <f t="shared" si="384"/>
        <v>4.26</v>
      </c>
      <c r="BH193" s="4">
        <f t="shared" si="385"/>
        <v>4.26</v>
      </c>
      <c r="BI193" s="3">
        <v>4.13</v>
      </c>
      <c r="BJ193" s="3">
        <f t="shared" si="386"/>
        <v>4.13</v>
      </c>
      <c r="BK193" s="4">
        <f t="shared" si="387"/>
        <v>4.13</v>
      </c>
      <c r="BL193" s="3">
        <v>4.28</v>
      </c>
      <c r="BM193" s="3">
        <f t="shared" si="388"/>
        <v>4.28</v>
      </c>
      <c r="BN193" s="4">
        <f t="shared" si="389"/>
        <v>4.28</v>
      </c>
      <c r="BO193" s="3">
        <v>1.65</v>
      </c>
      <c r="BP193" s="3">
        <f t="shared" si="390"/>
        <v>1.65</v>
      </c>
      <c r="BQ193" s="4" t="str">
        <f t="shared" si="391"/>
        <v/>
      </c>
      <c r="BR193" s="3">
        <v>3.11</v>
      </c>
      <c r="BS193" s="3">
        <f t="shared" si="392"/>
        <v>3.11</v>
      </c>
      <c r="BT193" s="4">
        <f t="shared" si="393"/>
        <v>3.11</v>
      </c>
      <c r="BU193" s="3">
        <v>1.64</v>
      </c>
      <c r="BV193" s="3">
        <f t="shared" si="394"/>
        <v>1.64</v>
      </c>
      <c r="BW193" s="4">
        <f t="shared" si="395"/>
        <v>1.64</v>
      </c>
      <c r="BX193" s="3">
        <v>1.27</v>
      </c>
      <c r="BY193" s="3">
        <f t="shared" si="396"/>
        <v>1.27</v>
      </c>
      <c r="BZ193" s="21">
        <f t="shared" si="397"/>
        <v>1.27</v>
      </c>
    </row>
    <row r="194" spans="2:78">
      <c r="B194" s="20" t="s">
        <v>849</v>
      </c>
      <c r="C194" s="3">
        <v>3.02</v>
      </c>
      <c r="D194" s="3">
        <f t="shared" si="366"/>
        <v>3.02</v>
      </c>
      <c r="E194" s="4">
        <f t="shared" si="367"/>
        <v>3.02</v>
      </c>
      <c r="F194" s="3">
        <v>4.3899999999999997</v>
      </c>
      <c r="G194" s="3">
        <f t="shared" si="368"/>
        <v>4.3899999999999997</v>
      </c>
      <c r="H194" s="4">
        <f t="shared" si="369"/>
        <v>4.3899999999999997</v>
      </c>
      <c r="I194" s="3">
        <v>5.33</v>
      </c>
      <c r="J194" s="3">
        <f t="shared" si="370"/>
        <v>5.33</v>
      </c>
      <c r="K194" s="4">
        <f t="shared" si="371"/>
        <v>5.33</v>
      </c>
      <c r="L194" s="3">
        <v>5.61</v>
      </c>
      <c r="M194" s="3">
        <f t="shared" si="372"/>
        <v>5.61</v>
      </c>
      <c r="N194" s="4">
        <f t="shared" si="373"/>
        <v>5.61</v>
      </c>
      <c r="O194" s="3">
        <v>4.32</v>
      </c>
      <c r="P194" s="3">
        <f t="shared" si="374"/>
        <v>4.32</v>
      </c>
      <c r="Q194" s="4">
        <f t="shared" si="375"/>
        <v>4.32</v>
      </c>
      <c r="R194" s="3">
        <v>4.84</v>
      </c>
      <c r="S194" s="3">
        <f t="shared" si="376"/>
        <v>4.84</v>
      </c>
      <c r="T194" s="4">
        <f t="shared" si="377"/>
        <v>4.84</v>
      </c>
      <c r="U194" s="3">
        <v>0.42</v>
      </c>
      <c r="V194" s="3">
        <f t="shared" si="378"/>
        <v>0.42</v>
      </c>
      <c r="W194" s="4" t="str">
        <f t="shared" si="379"/>
        <v/>
      </c>
      <c r="X194" s="3">
        <v>2.2599999999999998</v>
      </c>
      <c r="Y194" s="3">
        <f t="shared" si="380"/>
        <v>2.2599999999999998</v>
      </c>
      <c r="Z194" s="21">
        <f t="shared" si="381"/>
        <v>2.2599999999999998</v>
      </c>
      <c r="BB194" s="20" t="s">
        <v>850</v>
      </c>
      <c r="BC194" s="3">
        <v>3.93</v>
      </c>
      <c r="BD194" s="3">
        <f t="shared" si="382"/>
        <v>3.93</v>
      </c>
      <c r="BE194" s="4">
        <f t="shared" si="383"/>
        <v>3.93</v>
      </c>
      <c r="BF194" s="3">
        <v>4.25</v>
      </c>
      <c r="BG194" s="3">
        <f t="shared" si="384"/>
        <v>4.25</v>
      </c>
      <c r="BH194" s="4">
        <f t="shared" si="385"/>
        <v>4.25</v>
      </c>
      <c r="BI194" s="3">
        <v>4.1500000000000004</v>
      </c>
      <c r="BJ194" s="3">
        <f t="shared" si="386"/>
        <v>4.1500000000000004</v>
      </c>
      <c r="BK194" s="4">
        <f t="shared" si="387"/>
        <v>4.1500000000000004</v>
      </c>
      <c r="BL194" s="3">
        <v>4.29</v>
      </c>
      <c r="BM194" s="3">
        <f t="shared" si="388"/>
        <v>4.29</v>
      </c>
      <c r="BN194" s="4">
        <f t="shared" si="389"/>
        <v>4.29</v>
      </c>
      <c r="BO194" s="3">
        <v>3.57</v>
      </c>
      <c r="BP194" s="3">
        <f t="shared" si="390"/>
        <v>3.57</v>
      </c>
      <c r="BQ194" s="4">
        <f t="shared" si="391"/>
        <v>3.57</v>
      </c>
      <c r="BR194" s="3">
        <v>3.12</v>
      </c>
      <c r="BS194" s="3">
        <f t="shared" si="392"/>
        <v>3.12</v>
      </c>
      <c r="BT194" s="4">
        <f t="shared" si="393"/>
        <v>3.12</v>
      </c>
      <c r="BU194" s="3">
        <v>1.63</v>
      </c>
      <c r="BV194" s="3">
        <f t="shared" si="394"/>
        <v>1.63</v>
      </c>
      <c r="BW194" s="4">
        <f t="shared" si="395"/>
        <v>1.63</v>
      </c>
      <c r="BX194" s="3">
        <v>1.23</v>
      </c>
      <c r="BY194" s="3">
        <f t="shared" si="396"/>
        <v>1.23</v>
      </c>
      <c r="BZ194" s="21">
        <f t="shared" si="397"/>
        <v>1.23</v>
      </c>
    </row>
    <row r="195" spans="2:78">
      <c r="B195" s="20" t="s">
        <v>851</v>
      </c>
      <c r="C195" s="3">
        <v>3.01</v>
      </c>
      <c r="D195" s="3">
        <f t="shared" si="366"/>
        <v>3.01</v>
      </c>
      <c r="E195" s="4">
        <f t="shared" si="367"/>
        <v>3.01</v>
      </c>
      <c r="F195" s="3">
        <v>4.37</v>
      </c>
      <c r="G195" s="3">
        <f t="shared" si="368"/>
        <v>4.37</v>
      </c>
      <c r="H195" s="4">
        <f t="shared" si="369"/>
        <v>4.37</v>
      </c>
      <c r="I195" s="3">
        <v>5.3</v>
      </c>
      <c r="J195" s="3">
        <f t="shared" si="370"/>
        <v>5.3</v>
      </c>
      <c r="K195" s="4">
        <f t="shared" si="371"/>
        <v>5.3</v>
      </c>
      <c r="L195" s="3">
        <v>3.92</v>
      </c>
      <c r="M195" s="3">
        <f t="shared" si="372"/>
        <v>3.92</v>
      </c>
      <c r="N195" s="4">
        <f t="shared" si="373"/>
        <v>3.92</v>
      </c>
      <c r="O195" s="3">
        <v>4.28</v>
      </c>
      <c r="P195" s="3">
        <f t="shared" si="374"/>
        <v>4.28</v>
      </c>
      <c r="Q195" s="4">
        <f t="shared" si="375"/>
        <v>4.28</v>
      </c>
      <c r="R195" s="3">
        <v>4.8499999999999996</v>
      </c>
      <c r="S195" s="3">
        <f t="shared" si="376"/>
        <v>4.8499999999999996</v>
      </c>
      <c r="T195" s="4">
        <f t="shared" si="377"/>
        <v>4.8499999999999996</v>
      </c>
      <c r="U195" s="3">
        <v>1.8</v>
      </c>
      <c r="V195" s="3">
        <f t="shared" si="378"/>
        <v>1.8</v>
      </c>
      <c r="W195" s="4">
        <f t="shared" si="379"/>
        <v>1.8</v>
      </c>
      <c r="X195" s="3">
        <v>2.27</v>
      </c>
      <c r="Y195" s="3">
        <f t="shared" si="380"/>
        <v>2.27</v>
      </c>
      <c r="Z195" s="21">
        <f t="shared" si="381"/>
        <v>2.27</v>
      </c>
      <c r="BB195" s="20" t="s">
        <v>852</v>
      </c>
      <c r="BC195" s="3">
        <v>3.92</v>
      </c>
      <c r="BD195" s="3">
        <f t="shared" si="382"/>
        <v>3.92</v>
      </c>
      <c r="BE195" s="4">
        <f t="shared" si="383"/>
        <v>3.92</v>
      </c>
      <c r="BF195" s="3">
        <v>4.26</v>
      </c>
      <c r="BG195" s="3">
        <f t="shared" si="384"/>
        <v>4.26</v>
      </c>
      <c r="BH195" s="4">
        <f t="shared" si="385"/>
        <v>4.26</v>
      </c>
      <c r="BI195" s="3">
        <v>4.17</v>
      </c>
      <c r="BJ195" s="3">
        <f t="shared" si="386"/>
        <v>4.17</v>
      </c>
      <c r="BK195" s="4">
        <f t="shared" si="387"/>
        <v>4.17</v>
      </c>
      <c r="BL195" s="3">
        <v>4.28</v>
      </c>
      <c r="BM195" s="3">
        <f t="shared" si="388"/>
        <v>4.28</v>
      </c>
      <c r="BN195" s="4">
        <f t="shared" si="389"/>
        <v>4.28</v>
      </c>
      <c r="BO195" s="3">
        <v>3.59</v>
      </c>
      <c r="BP195" s="3">
        <f t="shared" si="390"/>
        <v>3.59</v>
      </c>
      <c r="BQ195" s="4">
        <f t="shared" si="391"/>
        <v>3.59</v>
      </c>
      <c r="BR195" s="3">
        <v>3.14</v>
      </c>
      <c r="BS195" s="3">
        <f t="shared" si="392"/>
        <v>3.14</v>
      </c>
      <c r="BT195" s="4">
        <f t="shared" si="393"/>
        <v>3.14</v>
      </c>
      <c r="BU195" s="3">
        <v>1.64</v>
      </c>
      <c r="BV195" s="3">
        <f t="shared" si="394"/>
        <v>1.64</v>
      </c>
      <c r="BW195" s="4">
        <f t="shared" si="395"/>
        <v>1.64</v>
      </c>
      <c r="BX195" s="3">
        <v>1.26</v>
      </c>
      <c r="BY195" s="3">
        <f t="shared" si="396"/>
        <v>1.26</v>
      </c>
      <c r="BZ195" s="21">
        <f t="shared" si="397"/>
        <v>1.26</v>
      </c>
    </row>
    <row r="196" spans="2:78">
      <c r="B196" s="20" t="s">
        <v>853</v>
      </c>
      <c r="C196" s="3">
        <v>3</v>
      </c>
      <c r="D196" s="3">
        <f t="shared" ref="D196:D210" si="408">IF(AND(C196 &lt; 99.99, C196 &gt; 0), C196, "")</f>
        <v>3</v>
      </c>
      <c r="E196" s="4">
        <f t="shared" ref="E196:E210" si="409">IF(AND(D196 &lt;= $D$214, D196 &gt;= $D$215), D196, "")</f>
        <v>3</v>
      </c>
      <c r="F196" s="3">
        <v>4.41</v>
      </c>
      <c r="G196" s="3">
        <f t="shared" ref="G196:G211" si="410">IF(AND(F196 &lt; 99.99, F196 &gt; 0), F196, "")</f>
        <v>4.41</v>
      </c>
      <c r="H196" s="4">
        <f t="shared" ref="H196:H211" si="411">IF(AND(G196 &lt;= G$214, G196 &gt;= G$215), G196, "")</f>
        <v>4.41</v>
      </c>
      <c r="I196" s="3">
        <v>5.31</v>
      </c>
      <c r="J196" s="3">
        <f t="shared" ref="J196:J211" si="412">IF(AND(I196 &lt; 99.99, I196 &gt; 0), I196, "")</f>
        <v>5.31</v>
      </c>
      <c r="K196" s="4">
        <f t="shared" ref="K196:K211" si="413">IF(AND(J196 &lt;= J$214, J196 &gt;= J$215), J196, "")</f>
        <v>5.31</v>
      </c>
      <c r="L196" s="3">
        <v>5.62</v>
      </c>
      <c r="M196" s="3">
        <f t="shared" ref="M196:M211" si="414">IF(AND(L196 &lt; 99.99, L196 &gt; 0), L196, "")</f>
        <v>5.62</v>
      </c>
      <c r="N196" s="4">
        <f t="shared" ref="N196:N211" si="415">IF(AND(M196 &lt;= M$214, M196 &gt;= M$215), M196, "")</f>
        <v>5.62</v>
      </c>
      <c r="O196" s="3">
        <v>4.3499999999999996</v>
      </c>
      <c r="P196" s="3">
        <f t="shared" ref="P196:P211" si="416">IF(AND(O196 &lt; 99.99, O196 &gt; 0), O196, "")</f>
        <v>4.3499999999999996</v>
      </c>
      <c r="Q196" s="4">
        <f t="shared" ref="Q196:Q211" si="417">IF(AND(P196 &lt;= P$214, P196 &gt;= P$215), P196, "")</f>
        <v>4.3499999999999996</v>
      </c>
      <c r="R196" s="3">
        <v>4.83</v>
      </c>
      <c r="S196" s="3">
        <f t="shared" ref="S196:S211" si="418">IF(AND(R196 &lt; 99.99, R196 &gt; 0), R196, "")</f>
        <v>4.83</v>
      </c>
      <c r="T196" s="4">
        <f t="shared" ref="T196:T211" si="419">IF(AND(S196 &lt;= S$214, S196 &gt;= S$215), S196, "")</f>
        <v>4.83</v>
      </c>
      <c r="U196" s="3">
        <v>1.75</v>
      </c>
      <c r="V196" s="3">
        <f t="shared" ref="V196:V211" si="420">IF(AND(U196 &lt; 99.99, U196 &gt; 0), U196, "")</f>
        <v>1.75</v>
      </c>
      <c r="W196" s="4">
        <f t="shared" ref="W196:W211" si="421">IF(AND(V196 &lt;= V$214, V196 &gt;= V$215), V196, "")</f>
        <v>1.75</v>
      </c>
      <c r="X196" s="3">
        <v>2.2599999999999998</v>
      </c>
      <c r="Y196" s="3">
        <f t="shared" ref="Y196:Y211" si="422">IF(AND(X196 &lt; 99.99, X196 &gt; 0), X196, "")</f>
        <v>2.2599999999999998</v>
      </c>
      <c r="Z196" s="21">
        <f t="shared" ref="Z196:Z211" si="423">IF(AND(Y196 &lt;= Y$214, Y196 &gt;= Y$215), Y196, "")</f>
        <v>2.2599999999999998</v>
      </c>
      <c r="BB196" s="20" t="s">
        <v>854</v>
      </c>
      <c r="BC196" s="3">
        <v>3.92</v>
      </c>
      <c r="BD196" s="3">
        <f t="shared" ref="BD196:BD257" si="424">IF(AND(BC196 &lt; 99.99, BC196 &gt; 0), BC196, "")</f>
        <v>3.92</v>
      </c>
      <c r="BE196" s="4">
        <f t="shared" ref="BE196:BE257" si="425">IF(AND(BD196 &lt;= BD$260, BD196 &gt;= BD$261), BD196, "")</f>
        <v>3.92</v>
      </c>
      <c r="BF196" s="3">
        <v>4.3</v>
      </c>
      <c r="BG196" s="3">
        <f t="shared" ref="BG196:BG257" si="426">IF(AND(BF196 &lt; 99.99, BF196 &gt; 0), BF196, "")</f>
        <v>4.3</v>
      </c>
      <c r="BH196" s="4">
        <f t="shared" ref="BH196:BH257" si="427">IF(AND(BG196 &lt;= BG$260, BG196 &gt;= BG$261), BG196, "")</f>
        <v>4.3</v>
      </c>
      <c r="BI196" s="3">
        <v>4.1399999999999997</v>
      </c>
      <c r="BJ196" s="3">
        <f t="shared" ref="BJ196:BJ257" si="428">IF(AND(BI196 &lt; 99.99, BI196 &gt; 0), BI196, "")</f>
        <v>4.1399999999999997</v>
      </c>
      <c r="BK196" s="4">
        <f t="shared" ref="BK196:BK257" si="429">IF(AND(BJ196 &lt;= BJ$260, BJ196 &gt;= BJ$261), BJ196, "")</f>
        <v>4.1399999999999997</v>
      </c>
      <c r="BL196" s="3">
        <v>4.3</v>
      </c>
      <c r="BM196" s="3">
        <f t="shared" ref="BM196:BM257" si="430">IF(AND(BL196 &lt; 99.99, BL196 &gt; 0), BL196, "")</f>
        <v>4.3</v>
      </c>
      <c r="BN196" s="4">
        <f t="shared" ref="BN196:BN257" si="431">IF(AND(BM196 &lt;= BM$260, BM196 &gt;= BM$261), BM196, "")</f>
        <v>4.3</v>
      </c>
      <c r="BO196" s="3">
        <v>3.59</v>
      </c>
      <c r="BP196" s="3">
        <f t="shared" ref="BP196:BP256" si="432">IF(AND(BO196 &lt; 99.99, BO196 &gt; 0), BO196, "")</f>
        <v>3.59</v>
      </c>
      <c r="BQ196" s="4">
        <f t="shared" ref="BQ196:BQ256" si="433">IF(AND(BP196 &lt;= BP$260, BP196 &gt;= BP$261), BP196, "")</f>
        <v>3.59</v>
      </c>
      <c r="BR196" s="3">
        <v>3.13</v>
      </c>
      <c r="BS196" s="3">
        <f t="shared" ref="BS196:BS257" si="434">IF(AND(BR196 &lt; 99.99, BR196 &gt; 0), BR196, "")</f>
        <v>3.13</v>
      </c>
      <c r="BT196" s="4">
        <f t="shared" ref="BT196:BT257" si="435">IF(AND(BS196 &lt;= BS$260, BS196 &gt;= BS$261), BS196, "")</f>
        <v>3.13</v>
      </c>
      <c r="BU196" s="3">
        <v>1.65</v>
      </c>
      <c r="BV196" s="3">
        <f t="shared" ref="BV196:BV257" si="436">IF(AND(BU196 &lt; 99.99, BU196 &gt; 0), BU196, "")</f>
        <v>1.65</v>
      </c>
      <c r="BW196" s="4">
        <f t="shared" ref="BW196:BW257" si="437">IF(AND(BV196 &lt;= BV$260, BV196 &gt;= BV$261), BV196, "")</f>
        <v>1.65</v>
      </c>
      <c r="BX196" s="3">
        <v>1.21</v>
      </c>
      <c r="BY196" s="3">
        <f t="shared" ref="BY196:BY257" si="438">IF(AND(BX196 &lt; 99.99, BX196 &gt; 0), BX196, "")</f>
        <v>1.21</v>
      </c>
      <c r="BZ196" s="21">
        <f t="shared" ref="BZ196:BZ257" si="439">IF(AND(BY196 &lt;= BY$260, BY196 &gt;= BY$261), BY196, "")</f>
        <v>1.21</v>
      </c>
    </row>
    <row r="197" spans="2:78">
      <c r="B197" s="20" t="s">
        <v>855</v>
      </c>
      <c r="C197" s="3">
        <v>2.95</v>
      </c>
      <c r="D197" s="3">
        <f t="shared" si="408"/>
        <v>2.95</v>
      </c>
      <c r="E197" s="4">
        <f t="shared" si="409"/>
        <v>2.95</v>
      </c>
      <c r="F197" s="3">
        <v>4.38</v>
      </c>
      <c r="G197" s="3">
        <f t="shared" si="410"/>
        <v>4.38</v>
      </c>
      <c r="H197" s="4">
        <f t="shared" si="411"/>
        <v>4.38</v>
      </c>
      <c r="I197" s="3">
        <v>5.32</v>
      </c>
      <c r="J197" s="3">
        <f t="shared" si="412"/>
        <v>5.32</v>
      </c>
      <c r="K197" s="4">
        <f t="shared" si="413"/>
        <v>5.32</v>
      </c>
      <c r="L197" s="3">
        <v>5.6</v>
      </c>
      <c r="M197" s="3">
        <f t="shared" si="414"/>
        <v>5.6</v>
      </c>
      <c r="N197" s="4">
        <f t="shared" si="415"/>
        <v>5.6</v>
      </c>
      <c r="O197" s="3">
        <v>4.3099999999999996</v>
      </c>
      <c r="P197" s="3">
        <f t="shared" si="416"/>
        <v>4.3099999999999996</v>
      </c>
      <c r="Q197" s="4">
        <f t="shared" si="417"/>
        <v>4.3099999999999996</v>
      </c>
      <c r="R197" s="3">
        <v>4.3</v>
      </c>
      <c r="S197" s="3">
        <f t="shared" si="418"/>
        <v>4.3</v>
      </c>
      <c r="T197" s="4">
        <f t="shared" si="419"/>
        <v>4.3</v>
      </c>
      <c r="U197" s="3">
        <v>1.8</v>
      </c>
      <c r="V197" s="3">
        <f t="shared" si="420"/>
        <v>1.8</v>
      </c>
      <c r="W197" s="4">
        <f t="shared" si="421"/>
        <v>1.8</v>
      </c>
      <c r="X197" s="3">
        <v>2.2799999999999998</v>
      </c>
      <c r="Y197" s="3">
        <f t="shared" si="422"/>
        <v>2.2799999999999998</v>
      </c>
      <c r="Z197" s="21">
        <f t="shared" si="423"/>
        <v>2.2799999999999998</v>
      </c>
      <c r="BB197" s="20" t="s">
        <v>856</v>
      </c>
      <c r="BC197" s="3">
        <v>3.91</v>
      </c>
      <c r="BD197" s="3">
        <f t="shared" si="424"/>
        <v>3.91</v>
      </c>
      <c r="BE197" s="4">
        <f t="shared" si="425"/>
        <v>3.91</v>
      </c>
      <c r="BF197" s="3">
        <v>4.26</v>
      </c>
      <c r="BG197" s="3">
        <f t="shared" si="426"/>
        <v>4.26</v>
      </c>
      <c r="BH197" s="4">
        <f t="shared" si="427"/>
        <v>4.26</v>
      </c>
      <c r="BI197" s="3">
        <v>0.13</v>
      </c>
      <c r="BJ197" s="3">
        <f t="shared" si="428"/>
        <v>0.13</v>
      </c>
      <c r="BK197" s="4" t="str">
        <f t="shared" si="429"/>
        <v/>
      </c>
      <c r="BL197" s="3">
        <v>4.2699999999999996</v>
      </c>
      <c r="BM197" s="3">
        <f t="shared" si="430"/>
        <v>4.2699999999999996</v>
      </c>
      <c r="BN197" s="4">
        <f t="shared" si="431"/>
        <v>4.2699999999999996</v>
      </c>
      <c r="BO197" s="3">
        <v>3.63</v>
      </c>
      <c r="BP197" s="3">
        <f t="shared" si="432"/>
        <v>3.63</v>
      </c>
      <c r="BQ197" s="4">
        <f t="shared" si="433"/>
        <v>3.63</v>
      </c>
      <c r="BR197" s="3">
        <v>3.12</v>
      </c>
      <c r="BS197" s="3">
        <f t="shared" si="434"/>
        <v>3.12</v>
      </c>
      <c r="BT197" s="4">
        <f t="shared" si="435"/>
        <v>3.12</v>
      </c>
      <c r="BU197" s="3">
        <v>1.61</v>
      </c>
      <c r="BV197" s="3">
        <f t="shared" si="436"/>
        <v>1.61</v>
      </c>
      <c r="BW197" s="4">
        <f t="shared" si="437"/>
        <v>1.61</v>
      </c>
      <c r="BX197" s="3">
        <v>1.26</v>
      </c>
      <c r="BY197" s="3">
        <f t="shared" si="438"/>
        <v>1.26</v>
      </c>
      <c r="BZ197" s="21">
        <f t="shared" si="439"/>
        <v>1.26</v>
      </c>
    </row>
    <row r="198" spans="2:78">
      <c r="B198" s="20" t="s">
        <v>857</v>
      </c>
      <c r="C198" s="3">
        <v>2.97</v>
      </c>
      <c r="D198" s="3">
        <f t="shared" si="408"/>
        <v>2.97</v>
      </c>
      <c r="E198" s="4">
        <f t="shared" si="409"/>
        <v>2.97</v>
      </c>
      <c r="F198" s="3">
        <v>4.42</v>
      </c>
      <c r="G198" s="3">
        <f t="shared" si="410"/>
        <v>4.42</v>
      </c>
      <c r="H198" s="4">
        <f t="shared" si="411"/>
        <v>4.42</v>
      </c>
      <c r="I198" s="3">
        <v>5.3</v>
      </c>
      <c r="J198" s="3">
        <f t="shared" si="412"/>
        <v>5.3</v>
      </c>
      <c r="K198" s="4">
        <f t="shared" si="413"/>
        <v>5.3</v>
      </c>
      <c r="L198" s="3">
        <v>5.61</v>
      </c>
      <c r="M198" s="3">
        <f t="shared" si="414"/>
        <v>5.61</v>
      </c>
      <c r="N198" s="4">
        <f t="shared" si="415"/>
        <v>5.61</v>
      </c>
      <c r="O198" s="3">
        <v>4.3099999999999996</v>
      </c>
      <c r="P198" s="3">
        <f t="shared" si="416"/>
        <v>4.3099999999999996</v>
      </c>
      <c r="Q198" s="4">
        <f t="shared" si="417"/>
        <v>4.3099999999999996</v>
      </c>
      <c r="R198" s="3">
        <v>4.8099999999999996</v>
      </c>
      <c r="S198" s="3">
        <f t="shared" si="418"/>
        <v>4.8099999999999996</v>
      </c>
      <c r="T198" s="4">
        <f t="shared" si="419"/>
        <v>4.8099999999999996</v>
      </c>
      <c r="U198" s="3">
        <v>1.79</v>
      </c>
      <c r="V198" s="3">
        <f t="shared" si="420"/>
        <v>1.79</v>
      </c>
      <c r="W198" s="4">
        <f t="shared" si="421"/>
        <v>1.79</v>
      </c>
      <c r="X198" s="3">
        <v>2.27</v>
      </c>
      <c r="Y198" s="3">
        <f t="shared" si="422"/>
        <v>2.27</v>
      </c>
      <c r="Z198" s="21">
        <f t="shared" si="423"/>
        <v>2.27</v>
      </c>
      <c r="BB198" s="20" t="s">
        <v>858</v>
      </c>
      <c r="BC198" s="3">
        <v>3.9</v>
      </c>
      <c r="BD198" s="3">
        <f t="shared" si="424"/>
        <v>3.9</v>
      </c>
      <c r="BE198" s="4">
        <f t="shared" si="425"/>
        <v>3.9</v>
      </c>
      <c r="BF198" s="3">
        <v>4.2699999999999996</v>
      </c>
      <c r="BG198" s="3">
        <f t="shared" si="426"/>
        <v>4.2699999999999996</v>
      </c>
      <c r="BH198" s="4">
        <f t="shared" si="427"/>
        <v>4.2699999999999996</v>
      </c>
      <c r="BI198" s="3">
        <v>4.1500000000000004</v>
      </c>
      <c r="BJ198" s="3">
        <f t="shared" si="428"/>
        <v>4.1500000000000004</v>
      </c>
      <c r="BK198" s="4">
        <f t="shared" si="429"/>
        <v>4.1500000000000004</v>
      </c>
      <c r="BL198" s="3">
        <v>4.28</v>
      </c>
      <c r="BM198" s="3">
        <f t="shared" si="430"/>
        <v>4.28</v>
      </c>
      <c r="BN198" s="4">
        <f t="shared" si="431"/>
        <v>4.28</v>
      </c>
      <c r="BO198" s="3">
        <v>3.59</v>
      </c>
      <c r="BP198" s="3">
        <f t="shared" si="432"/>
        <v>3.59</v>
      </c>
      <c r="BQ198" s="4">
        <f t="shared" si="433"/>
        <v>3.59</v>
      </c>
      <c r="BR198" s="3">
        <v>3.14</v>
      </c>
      <c r="BS198" s="3">
        <f t="shared" si="434"/>
        <v>3.14</v>
      </c>
      <c r="BT198" s="4">
        <f t="shared" si="435"/>
        <v>3.14</v>
      </c>
      <c r="BU198" s="3">
        <v>1.64</v>
      </c>
      <c r="BV198" s="3">
        <f t="shared" si="436"/>
        <v>1.64</v>
      </c>
      <c r="BW198" s="4">
        <f t="shared" si="437"/>
        <v>1.64</v>
      </c>
      <c r="BX198" s="3">
        <v>1.23</v>
      </c>
      <c r="BY198" s="3">
        <f t="shared" si="438"/>
        <v>1.23</v>
      </c>
      <c r="BZ198" s="21">
        <f t="shared" si="439"/>
        <v>1.23</v>
      </c>
    </row>
    <row r="199" spans="2:78">
      <c r="B199" s="20" t="s">
        <v>859</v>
      </c>
      <c r="C199" s="3">
        <v>3.02</v>
      </c>
      <c r="D199" s="3">
        <f t="shared" si="408"/>
        <v>3.02</v>
      </c>
      <c r="E199" s="4">
        <f t="shared" si="409"/>
        <v>3.02</v>
      </c>
      <c r="F199" s="3">
        <v>4.3499999999999996</v>
      </c>
      <c r="G199" s="3">
        <f t="shared" si="410"/>
        <v>4.3499999999999996</v>
      </c>
      <c r="H199" s="4">
        <f t="shared" si="411"/>
        <v>4.3499999999999996</v>
      </c>
      <c r="I199" s="3">
        <v>5.28</v>
      </c>
      <c r="J199" s="3">
        <f t="shared" si="412"/>
        <v>5.28</v>
      </c>
      <c r="K199" s="4">
        <f t="shared" si="413"/>
        <v>5.28</v>
      </c>
      <c r="L199" s="3">
        <v>4.7699999999999996</v>
      </c>
      <c r="M199" s="3">
        <f t="shared" si="414"/>
        <v>4.7699999999999996</v>
      </c>
      <c r="N199" s="4">
        <f t="shared" si="415"/>
        <v>4.7699999999999996</v>
      </c>
      <c r="O199" s="3">
        <v>4.3</v>
      </c>
      <c r="P199" s="3">
        <f t="shared" si="416"/>
        <v>4.3</v>
      </c>
      <c r="Q199" s="4">
        <f t="shared" si="417"/>
        <v>4.3</v>
      </c>
      <c r="R199" s="3">
        <v>4.88</v>
      </c>
      <c r="S199" s="3">
        <f t="shared" si="418"/>
        <v>4.88</v>
      </c>
      <c r="T199" s="4">
        <f t="shared" si="419"/>
        <v>4.88</v>
      </c>
      <c r="U199" s="3">
        <v>1.74</v>
      </c>
      <c r="V199" s="3">
        <f t="shared" si="420"/>
        <v>1.74</v>
      </c>
      <c r="W199" s="4">
        <f t="shared" si="421"/>
        <v>1.74</v>
      </c>
      <c r="X199" s="3">
        <v>2.27</v>
      </c>
      <c r="Y199" s="3">
        <f t="shared" si="422"/>
        <v>2.27</v>
      </c>
      <c r="Z199" s="21">
        <f t="shared" si="423"/>
        <v>2.27</v>
      </c>
      <c r="BB199" s="20" t="s">
        <v>860</v>
      </c>
      <c r="BC199" s="3">
        <v>3.91</v>
      </c>
      <c r="BD199" s="3">
        <f t="shared" si="424"/>
        <v>3.91</v>
      </c>
      <c r="BE199" s="4">
        <f t="shared" si="425"/>
        <v>3.91</v>
      </c>
      <c r="BF199" s="3">
        <v>4.2699999999999996</v>
      </c>
      <c r="BG199" s="3">
        <f t="shared" si="426"/>
        <v>4.2699999999999996</v>
      </c>
      <c r="BH199" s="4">
        <f t="shared" si="427"/>
        <v>4.2699999999999996</v>
      </c>
      <c r="BI199" s="3">
        <v>4.17</v>
      </c>
      <c r="BJ199" s="3">
        <f t="shared" si="428"/>
        <v>4.17</v>
      </c>
      <c r="BK199" s="4">
        <f t="shared" si="429"/>
        <v>4.17</v>
      </c>
      <c r="BL199" s="3">
        <v>4.32</v>
      </c>
      <c r="BM199" s="3">
        <f t="shared" si="430"/>
        <v>4.32</v>
      </c>
      <c r="BN199" s="4">
        <f t="shared" si="431"/>
        <v>4.32</v>
      </c>
      <c r="BO199" s="3">
        <v>3.6</v>
      </c>
      <c r="BP199" s="3">
        <f t="shared" si="432"/>
        <v>3.6</v>
      </c>
      <c r="BQ199" s="4">
        <f t="shared" si="433"/>
        <v>3.6</v>
      </c>
      <c r="BR199" s="3">
        <v>3.11</v>
      </c>
      <c r="BS199" s="3">
        <f t="shared" si="434"/>
        <v>3.11</v>
      </c>
      <c r="BT199" s="4">
        <f t="shared" si="435"/>
        <v>3.11</v>
      </c>
      <c r="BU199" s="3">
        <v>1.64</v>
      </c>
      <c r="BV199" s="3">
        <f t="shared" si="436"/>
        <v>1.64</v>
      </c>
      <c r="BW199" s="4">
        <f t="shared" si="437"/>
        <v>1.64</v>
      </c>
      <c r="BX199" s="3">
        <v>1.28</v>
      </c>
      <c r="BY199" s="3">
        <f t="shared" si="438"/>
        <v>1.28</v>
      </c>
      <c r="BZ199" s="21">
        <f t="shared" si="439"/>
        <v>1.28</v>
      </c>
    </row>
    <row r="200" spans="2:78">
      <c r="B200" s="20" t="s">
        <v>861</v>
      </c>
      <c r="C200" s="3">
        <v>3</v>
      </c>
      <c r="D200" s="3">
        <f t="shared" si="408"/>
        <v>3</v>
      </c>
      <c r="E200" s="4">
        <f t="shared" si="409"/>
        <v>3</v>
      </c>
      <c r="F200" s="3">
        <v>4.3899999999999997</v>
      </c>
      <c r="G200" s="3">
        <f t="shared" si="410"/>
        <v>4.3899999999999997</v>
      </c>
      <c r="H200" s="4">
        <f t="shared" si="411"/>
        <v>4.3899999999999997</v>
      </c>
      <c r="I200" s="3">
        <v>5.3</v>
      </c>
      <c r="J200" s="3">
        <f t="shared" si="412"/>
        <v>5.3</v>
      </c>
      <c r="K200" s="4">
        <f t="shared" si="413"/>
        <v>5.3</v>
      </c>
      <c r="L200" s="3">
        <v>5.63</v>
      </c>
      <c r="M200" s="3">
        <f t="shared" si="414"/>
        <v>5.63</v>
      </c>
      <c r="N200" s="4">
        <f t="shared" si="415"/>
        <v>5.63</v>
      </c>
      <c r="O200" s="3">
        <v>4.3099999999999996</v>
      </c>
      <c r="P200" s="3">
        <f t="shared" si="416"/>
        <v>4.3099999999999996</v>
      </c>
      <c r="Q200" s="4">
        <f t="shared" si="417"/>
        <v>4.3099999999999996</v>
      </c>
      <c r="R200" s="3">
        <v>4.8899999999999997</v>
      </c>
      <c r="S200" s="3">
        <f t="shared" si="418"/>
        <v>4.8899999999999997</v>
      </c>
      <c r="T200" s="4">
        <f t="shared" si="419"/>
        <v>4.8899999999999997</v>
      </c>
      <c r="U200" s="3">
        <v>1.75</v>
      </c>
      <c r="V200" s="3">
        <f t="shared" si="420"/>
        <v>1.75</v>
      </c>
      <c r="W200" s="4">
        <f t="shared" si="421"/>
        <v>1.75</v>
      </c>
      <c r="X200" s="3">
        <v>3.19</v>
      </c>
      <c r="Y200" s="3">
        <f t="shared" si="422"/>
        <v>3.19</v>
      </c>
      <c r="Z200" s="21" t="str">
        <f t="shared" si="423"/>
        <v/>
      </c>
      <c r="BB200" s="20" t="s">
        <v>862</v>
      </c>
      <c r="BC200" s="3">
        <v>3.9</v>
      </c>
      <c r="BD200" s="3">
        <f t="shared" si="424"/>
        <v>3.9</v>
      </c>
      <c r="BE200" s="4">
        <f t="shared" si="425"/>
        <v>3.9</v>
      </c>
      <c r="BF200" s="3">
        <v>4.26</v>
      </c>
      <c r="BG200" s="3">
        <f t="shared" si="426"/>
        <v>4.26</v>
      </c>
      <c r="BH200" s="4">
        <f t="shared" si="427"/>
        <v>4.26</v>
      </c>
      <c r="BI200" s="3">
        <v>4.1900000000000004</v>
      </c>
      <c r="BJ200" s="3">
        <f t="shared" si="428"/>
        <v>4.1900000000000004</v>
      </c>
      <c r="BK200" s="4">
        <f t="shared" si="429"/>
        <v>4.1900000000000004</v>
      </c>
      <c r="BL200" s="3">
        <v>4.3</v>
      </c>
      <c r="BM200" s="3">
        <f t="shared" si="430"/>
        <v>4.3</v>
      </c>
      <c r="BN200" s="4">
        <f t="shared" si="431"/>
        <v>4.3</v>
      </c>
      <c r="BO200" s="3">
        <v>3.59</v>
      </c>
      <c r="BP200" s="3">
        <f t="shared" si="432"/>
        <v>3.59</v>
      </c>
      <c r="BQ200" s="4">
        <f t="shared" si="433"/>
        <v>3.59</v>
      </c>
      <c r="BR200" s="3">
        <v>3.13</v>
      </c>
      <c r="BS200" s="3">
        <f t="shared" si="434"/>
        <v>3.13</v>
      </c>
      <c r="BT200" s="4">
        <f t="shared" si="435"/>
        <v>3.13</v>
      </c>
      <c r="BU200" s="3">
        <v>1.63</v>
      </c>
      <c r="BV200" s="3">
        <f t="shared" si="436"/>
        <v>1.63</v>
      </c>
      <c r="BW200" s="4">
        <f t="shared" si="437"/>
        <v>1.63</v>
      </c>
      <c r="BX200" s="3">
        <v>1.25</v>
      </c>
      <c r="BY200" s="3">
        <f t="shared" si="438"/>
        <v>1.25</v>
      </c>
      <c r="BZ200" s="21">
        <f t="shared" si="439"/>
        <v>1.25</v>
      </c>
    </row>
    <row r="201" spans="2:78">
      <c r="B201" s="20" t="s">
        <v>863</v>
      </c>
      <c r="C201" s="3">
        <v>3</v>
      </c>
      <c r="D201" s="3">
        <f t="shared" si="408"/>
        <v>3</v>
      </c>
      <c r="E201" s="4">
        <f t="shared" si="409"/>
        <v>3</v>
      </c>
      <c r="F201" s="3">
        <v>4.3899999999999997</v>
      </c>
      <c r="G201" s="3">
        <f t="shared" si="410"/>
        <v>4.3899999999999997</v>
      </c>
      <c r="H201" s="4">
        <f t="shared" si="411"/>
        <v>4.3899999999999997</v>
      </c>
      <c r="I201" s="3">
        <v>5.33</v>
      </c>
      <c r="J201" s="3">
        <f t="shared" si="412"/>
        <v>5.33</v>
      </c>
      <c r="K201" s="4">
        <f t="shared" si="413"/>
        <v>5.33</v>
      </c>
      <c r="L201" s="3">
        <v>4.3</v>
      </c>
      <c r="M201" s="3">
        <f t="shared" si="414"/>
        <v>4.3</v>
      </c>
      <c r="N201" s="4">
        <f t="shared" si="415"/>
        <v>4.3</v>
      </c>
      <c r="O201" s="3">
        <v>4.3</v>
      </c>
      <c r="P201" s="3">
        <f t="shared" si="416"/>
        <v>4.3</v>
      </c>
      <c r="Q201" s="4">
        <f t="shared" si="417"/>
        <v>4.3</v>
      </c>
      <c r="R201" s="3">
        <v>3.2</v>
      </c>
      <c r="S201" s="3">
        <f t="shared" si="418"/>
        <v>3.2</v>
      </c>
      <c r="T201" s="4" t="str">
        <f t="shared" si="419"/>
        <v/>
      </c>
      <c r="U201" s="3">
        <v>1.75</v>
      </c>
      <c r="V201" s="3">
        <f t="shared" si="420"/>
        <v>1.75</v>
      </c>
      <c r="W201" s="4">
        <f t="shared" si="421"/>
        <v>1.75</v>
      </c>
      <c r="X201" s="3">
        <v>2.2200000000000002</v>
      </c>
      <c r="Y201" s="3">
        <f t="shared" si="422"/>
        <v>2.2200000000000002</v>
      </c>
      <c r="Z201" s="21">
        <f t="shared" si="423"/>
        <v>2.2200000000000002</v>
      </c>
      <c r="BB201" s="20" t="s">
        <v>864</v>
      </c>
      <c r="BC201" s="3">
        <v>3.9</v>
      </c>
      <c r="BD201" s="3">
        <f t="shared" si="424"/>
        <v>3.9</v>
      </c>
      <c r="BE201" s="4">
        <f t="shared" si="425"/>
        <v>3.9</v>
      </c>
      <c r="BF201" s="3">
        <v>4.2699999999999996</v>
      </c>
      <c r="BG201" s="3">
        <f t="shared" si="426"/>
        <v>4.2699999999999996</v>
      </c>
      <c r="BH201" s="4">
        <f t="shared" si="427"/>
        <v>4.2699999999999996</v>
      </c>
      <c r="BI201" s="3">
        <v>4.18</v>
      </c>
      <c r="BJ201" s="3">
        <f t="shared" si="428"/>
        <v>4.18</v>
      </c>
      <c r="BK201" s="4">
        <f t="shared" si="429"/>
        <v>4.18</v>
      </c>
      <c r="BL201" s="3">
        <v>4.3499999999999996</v>
      </c>
      <c r="BM201" s="3">
        <f t="shared" si="430"/>
        <v>4.3499999999999996</v>
      </c>
      <c r="BN201" s="4">
        <f t="shared" si="431"/>
        <v>4.3499999999999996</v>
      </c>
      <c r="BO201" s="3">
        <v>3.6</v>
      </c>
      <c r="BP201" s="3">
        <f t="shared" si="432"/>
        <v>3.6</v>
      </c>
      <c r="BQ201" s="4">
        <f t="shared" si="433"/>
        <v>3.6</v>
      </c>
      <c r="BR201" s="3">
        <v>3.17</v>
      </c>
      <c r="BS201" s="3">
        <f t="shared" si="434"/>
        <v>3.17</v>
      </c>
      <c r="BT201" s="4">
        <f t="shared" si="435"/>
        <v>3.17</v>
      </c>
      <c r="BU201" s="3">
        <v>1.62</v>
      </c>
      <c r="BV201" s="3">
        <f t="shared" si="436"/>
        <v>1.62</v>
      </c>
      <c r="BW201" s="4">
        <f t="shared" si="437"/>
        <v>1.62</v>
      </c>
      <c r="BX201" s="3">
        <v>1.28</v>
      </c>
      <c r="BY201" s="3">
        <f t="shared" si="438"/>
        <v>1.28</v>
      </c>
      <c r="BZ201" s="21">
        <f t="shared" si="439"/>
        <v>1.28</v>
      </c>
    </row>
    <row r="202" spans="2:78">
      <c r="B202" s="20" t="s">
        <v>865</v>
      </c>
      <c r="C202" s="3">
        <v>2.35</v>
      </c>
      <c r="D202" s="3">
        <f t="shared" si="408"/>
        <v>2.35</v>
      </c>
      <c r="E202" s="4" t="str">
        <f t="shared" si="409"/>
        <v/>
      </c>
      <c r="F202" s="3">
        <v>4.3600000000000003</v>
      </c>
      <c r="G202" s="3">
        <f t="shared" si="410"/>
        <v>4.3600000000000003</v>
      </c>
      <c r="H202" s="4">
        <f t="shared" si="411"/>
        <v>4.3600000000000003</v>
      </c>
      <c r="I202" s="3">
        <v>5.31</v>
      </c>
      <c r="J202" s="3">
        <f t="shared" si="412"/>
        <v>5.31</v>
      </c>
      <c r="K202" s="4">
        <f t="shared" si="413"/>
        <v>5.31</v>
      </c>
      <c r="L202" s="3">
        <v>4.5199999999999996</v>
      </c>
      <c r="M202" s="3">
        <f t="shared" si="414"/>
        <v>4.5199999999999996</v>
      </c>
      <c r="N202" s="4">
        <f t="shared" si="415"/>
        <v>4.5199999999999996</v>
      </c>
      <c r="O202" s="3">
        <v>4.3</v>
      </c>
      <c r="P202" s="3">
        <f t="shared" si="416"/>
        <v>4.3</v>
      </c>
      <c r="Q202" s="4">
        <f t="shared" si="417"/>
        <v>4.3</v>
      </c>
      <c r="R202" s="3">
        <v>4.84</v>
      </c>
      <c r="S202" s="3">
        <f t="shared" si="418"/>
        <v>4.84</v>
      </c>
      <c r="T202" s="4">
        <f t="shared" si="419"/>
        <v>4.84</v>
      </c>
      <c r="U202" s="3">
        <v>1.78</v>
      </c>
      <c r="V202" s="3">
        <f t="shared" si="420"/>
        <v>1.78</v>
      </c>
      <c r="W202" s="4">
        <f t="shared" si="421"/>
        <v>1.78</v>
      </c>
      <c r="X202" s="3">
        <v>2.23</v>
      </c>
      <c r="Y202" s="3">
        <f t="shared" si="422"/>
        <v>2.23</v>
      </c>
      <c r="Z202" s="21">
        <f t="shared" si="423"/>
        <v>2.23</v>
      </c>
      <c r="BB202" s="20" t="s">
        <v>866</v>
      </c>
      <c r="BC202" s="3">
        <v>3.91</v>
      </c>
      <c r="BD202" s="3">
        <f t="shared" si="424"/>
        <v>3.91</v>
      </c>
      <c r="BE202" s="4">
        <f t="shared" si="425"/>
        <v>3.91</v>
      </c>
      <c r="BF202" s="3">
        <v>4.28</v>
      </c>
      <c r="BG202" s="3">
        <f t="shared" si="426"/>
        <v>4.28</v>
      </c>
      <c r="BH202" s="4">
        <f t="shared" si="427"/>
        <v>4.28</v>
      </c>
      <c r="BI202" s="3">
        <v>1.72</v>
      </c>
      <c r="BJ202" s="3">
        <f t="shared" si="428"/>
        <v>1.72</v>
      </c>
      <c r="BK202" s="4" t="str">
        <f t="shared" si="429"/>
        <v/>
      </c>
      <c r="BL202" s="3">
        <v>4.28</v>
      </c>
      <c r="BM202" s="3">
        <f t="shared" si="430"/>
        <v>4.28</v>
      </c>
      <c r="BN202" s="4">
        <f t="shared" si="431"/>
        <v>4.28</v>
      </c>
      <c r="BO202" s="3">
        <v>3.57</v>
      </c>
      <c r="BP202" s="3">
        <f t="shared" si="432"/>
        <v>3.57</v>
      </c>
      <c r="BQ202" s="4">
        <f t="shared" si="433"/>
        <v>3.57</v>
      </c>
      <c r="BR202" s="3">
        <v>3.14</v>
      </c>
      <c r="BS202" s="3">
        <f t="shared" si="434"/>
        <v>3.14</v>
      </c>
      <c r="BT202" s="4">
        <f t="shared" si="435"/>
        <v>3.14</v>
      </c>
      <c r="BU202" s="3">
        <v>1.64</v>
      </c>
      <c r="BV202" s="3">
        <f t="shared" si="436"/>
        <v>1.64</v>
      </c>
      <c r="BW202" s="4">
        <f t="shared" si="437"/>
        <v>1.64</v>
      </c>
      <c r="BX202" s="3">
        <v>1.29</v>
      </c>
      <c r="BY202" s="3">
        <f t="shared" si="438"/>
        <v>1.29</v>
      </c>
      <c r="BZ202" s="21">
        <f t="shared" si="439"/>
        <v>1.29</v>
      </c>
    </row>
    <row r="203" spans="2:78">
      <c r="B203" s="20" t="s">
        <v>867</v>
      </c>
      <c r="C203" s="3">
        <v>2.97</v>
      </c>
      <c r="D203" s="3">
        <f t="shared" si="408"/>
        <v>2.97</v>
      </c>
      <c r="E203" s="4">
        <f t="shared" si="409"/>
        <v>2.97</v>
      </c>
      <c r="F203" s="3">
        <v>4.38</v>
      </c>
      <c r="G203" s="3">
        <f t="shared" si="410"/>
        <v>4.38</v>
      </c>
      <c r="H203" s="4">
        <f t="shared" si="411"/>
        <v>4.38</v>
      </c>
      <c r="I203" s="3">
        <v>5.31</v>
      </c>
      <c r="J203" s="3">
        <f t="shared" si="412"/>
        <v>5.31</v>
      </c>
      <c r="K203" s="4">
        <f t="shared" si="413"/>
        <v>5.31</v>
      </c>
      <c r="L203" s="3">
        <v>5.67</v>
      </c>
      <c r="M203" s="3">
        <f t="shared" si="414"/>
        <v>5.67</v>
      </c>
      <c r="N203" s="4">
        <f t="shared" si="415"/>
        <v>5.67</v>
      </c>
      <c r="O203" s="3">
        <v>4.34</v>
      </c>
      <c r="P203" s="3">
        <f t="shared" si="416"/>
        <v>4.34</v>
      </c>
      <c r="Q203" s="4">
        <f t="shared" si="417"/>
        <v>4.34</v>
      </c>
      <c r="R203" s="3">
        <v>4.87</v>
      </c>
      <c r="S203" s="3">
        <f t="shared" si="418"/>
        <v>4.87</v>
      </c>
      <c r="T203" s="4">
        <f t="shared" si="419"/>
        <v>4.87</v>
      </c>
      <c r="U203" s="3">
        <v>1.74</v>
      </c>
      <c r="V203" s="3">
        <f t="shared" si="420"/>
        <v>1.74</v>
      </c>
      <c r="W203" s="4">
        <f t="shared" si="421"/>
        <v>1.74</v>
      </c>
      <c r="X203" s="3">
        <v>2.2799999999999998</v>
      </c>
      <c r="Y203" s="3">
        <f t="shared" si="422"/>
        <v>2.2799999999999998</v>
      </c>
      <c r="Z203" s="21">
        <f t="shared" si="423"/>
        <v>2.2799999999999998</v>
      </c>
      <c r="BB203" s="20" t="s">
        <v>868</v>
      </c>
      <c r="BC203" s="3">
        <v>3.92</v>
      </c>
      <c r="BD203" s="3">
        <f t="shared" si="424"/>
        <v>3.92</v>
      </c>
      <c r="BE203" s="4">
        <f t="shared" si="425"/>
        <v>3.92</v>
      </c>
      <c r="BF203" s="3">
        <v>4.28</v>
      </c>
      <c r="BG203" s="3">
        <f t="shared" si="426"/>
        <v>4.28</v>
      </c>
      <c r="BH203" s="4">
        <f t="shared" si="427"/>
        <v>4.28</v>
      </c>
      <c r="BI203" s="3">
        <v>4.1500000000000004</v>
      </c>
      <c r="BJ203" s="3">
        <f t="shared" si="428"/>
        <v>4.1500000000000004</v>
      </c>
      <c r="BK203" s="4">
        <f t="shared" si="429"/>
        <v>4.1500000000000004</v>
      </c>
      <c r="BL203" s="3">
        <v>4.3099999999999996</v>
      </c>
      <c r="BM203" s="3">
        <f t="shared" si="430"/>
        <v>4.3099999999999996</v>
      </c>
      <c r="BN203" s="4">
        <f t="shared" si="431"/>
        <v>4.3099999999999996</v>
      </c>
      <c r="BO203" s="3">
        <v>3.61</v>
      </c>
      <c r="BP203" s="3">
        <f t="shared" si="432"/>
        <v>3.61</v>
      </c>
      <c r="BQ203" s="4">
        <f t="shared" si="433"/>
        <v>3.61</v>
      </c>
      <c r="BR203" s="3">
        <v>3.15</v>
      </c>
      <c r="BS203" s="3">
        <f t="shared" si="434"/>
        <v>3.15</v>
      </c>
      <c r="BT203" s="4">
        <f t="shared" si="435"/>
        <v>3.15</v>
      </c>
      <c r="BU203" s="3">
        <v>1.65</v>
      </c>
      <c r="BV203" s="3">
        <f t="shared" si="436"/>
        <v>1.65</v>
      </c>
      <c r="BW203" s="4">
        <f t="shared" si="437"/>
        <v>1.65</v>
      </c>
      <c r="BX203" s="3">
        <v>1.21</v>
      </c>
      <c r="BY203" s="3">
        <f t="shared" si="438"/>
        <v>1.21</v>
      </c>
      <c r="BZ203" s="21">
        <f t="shared" si="439"/>
        <v>1.21</v>
      </c>
    </row>
    <row r="204" spans="2:78">
      <c r="B204" s="20" t="s">
        <v>869</v>
      </c>
      <c r="C204" s="3">
        <v>2.96</v>
      </c>
      <c r="D204" s="3">
        <f t="shared" si="408"/>
        <v>2.96</v>
      </c>
      <c r="E204" s="4">
        <f t="shared" si="409"/>
        <v>2.96</v>
      </c>
      <c r="F204" s="3">
        <v>4.42</v>
      </c>
      <c r="G204" s="3">
        <f t="shared" si="410"/>
        <v>4.42</v>
      </c>
      <c r="H204" s="4">
        <f t="shared" si="411"/>
        <v>4.42</v>
      </c>
      <c r="I204" s="3">
        <v>5.3</v>
      </c>
      <c r="J204" s="3">
        <f t="shared" si="412"/>
        <v>5.3</v>
      </c>
      <c r="K204" s="4">
        <f t="shared" si="413"/>
        <v>5.3</v>
      </c>
      <c r="L204" s="3">
        <v>5.65</v>
      </c>
      <c r="M204" s="3">
        <f t="shared" si="414"/>
        <v>5.65</v>
      </c>
      <c r="N204" s="4">
        <f t="shared" si="415"/>
        <v>5.65</v>
      </c>
      <c r="O204" s="3">
        <v>4.32</v>
      </c>
      <c r="P204" s="3">
        <f t="shared" si="416"/>
        <v>4.32</v>
      </c>
      <c r="Q204" s="4">
        <f t="shared" si="417"/>
        <v>4.32</v>
      </c>
      <c r="R204" s="3">
        <v>4.83</v>
      </c>
      <c r="S204" s="3">
        <f t="shared" si="418"/>
        <v>4.83</v>
      </c>
      <c r="T204" s="4">
        <f t="shared" si="419"/>
        <v>4.83</v>
      </c>
      <c r="U204" s="3">
        <v>1.78</v>
      </c>
      <c r="V204" s="3">
        <f t="shared" si="420"/>
        <v>1.78</v>
      </c>
      <c r="W204" s="4">
        <f t="shared" si="421"/>
        <v>1.78</v>
      </c>
      <c r="X204" s="3">
        <v>2.25</v>
      </c>
      <c r="Y204" s="3">
        <f t="shared" si="422"/>
        <v>2.25</v>
      </c>
      <c r="Z204" s="21">
        <f t="shared" si="423"/>
        <v>2.25</v>
      </c>
      <c r="BB204" s="20" t="s">
        <v>870</v>
      </c>
      <c r="BC204" s="3">
        <v>3.89</v>
      </c>
      <c r="BD204" s="3">
        <f t="shared" si="424"/>
        <v>3.89</v>
      </c>
      <c r="BE204" s="4">
        <f t="shared" si="425"/>
        <v>3.89</v>
      </c>
      <c r="BF204" s="3">
        <v>4.29</v>
      </c>
      <c r="BG204" s="3">
        <f t="shared" si="426"/>
        <v>4.29</v>
      </c>
      <c r="BH204" s="4">
        <f t="shared" si="427"/>
        <v>4.29</v>
      </c>
      <c r="BI204" s="3">
        <v>4.0999999999999996</v>
      </c>
      <c r="BJ204" s="3">
        <f t="shared" si="428"/>
        <v>4.0999999999999996</v>
      </c>
      <c r="BK204" s="4">
        <f t="shared" si="429"/>
        <v>4.0999999999999996</v>
      </c>
      <c r="BL204" s="3">
        <v>4.2699999999999996</v>
      </c>
      <c r="BM204" s="3">
        <f t="shared" si="430"/>
        <v>4.2699999999999996</v>
      </c>
      <c r="BN204" s="4">
        <f t="shared" si="431"/>
        <v>4.2699999999999996</v>
      </c>
      <c r="BO204" s="3">
        <v>3.59</v>
      </c>
      <c r="BP204" s="3">
        <f t="shared" si="432"/>
        <v>3.59</v>
      </c>
      <c r="BQ204" s="4">
        <f t="shared" si="433"/>
        <v>3.59</v>
      </c>
      <c r="BR204" s="3">
        <v>1.21</v>
      </c>
      <c r="BS204" s="3">
        <f t="shared" si="434"/>
        <v>1.21</v>
      </c>
      <c r="BT204" s="4" t="str">
        <f t="shared" si="435"/>
        <v/>
      </c>
      <c r="BU204" s="3">
        <v>1.64</v>
      </c>
      <c r="BV204" s="3">
        <f t="shared" si="436"/>
        <v>1.64</v>
      </c>
      <c r="BW204" s="4">
        <f t="shared" si="437"/>
        <v>1.64</v>
      </c>
      <c r="BX204" s="3">
        <v>1.38</v>
      </c>
      <c r="BY204" s="3">
        <f t="shared" si="438"/>
        <v>1.38</v>
      </c>
      <c r="BZ204" s="21" t="str">
        <f t="shared" si="439"/>
        <v/>
      </c>
    </row>
    <row r="205" spans="2:78">
      <c r="B205" s="20" t="s">
        <v>871</v>
      </c>
      <c r="C205" s="3">
        <v>3.03</v>
      </c>
      <c r="D205" s="3">
        <f t="shared" si="408"/>
        <v>3.03</v>
      </c>
      <c r="E205" s="4">
        <f t="shared" si="409"/>
        <v>3.03</v>
      </c>
      <c r="F205" s="3">
        <v>4.3899999999999997</v>
      </c>
      <c r="G205" s="3">
        <f t="shared" si="410"/>
        <v>4.3899999999999997</v>
      </c>
      <c r="H205" s="4">
        <f t="shared" si="411"/>
        <v>4.3899999999999997</v>
      </c>
      <c r="I205" s="3">
        <v>5.31</v>
      </c>
      <c r="J205" s="3">
        <f t="shared" si="412"/>
        <v>5.31</v>
      </c>
      <c r="K205" s="4">
        <f t="shared" si="413"/>
        <v>5.31</v>
      </c>
      <c r="L205" s="3">
        <v>5.63</v>
      </c>
      <c r="M205" s="3">
        <f t="shared" si="414"/>
        <v>5.63</v>
      </c>
      <c r="N205" s="4">
        <f t="shared" si="415"/>
        <v>5.63</v>
      </c>
      <c r="O205" s="3">
        <v>2.75</v>
      </c>
      <c r="P205" s="3">
        <f t="shared" si="416"/>
        <v>2.75</v>
      </c>
      <c r="Q205" s="4" t="str">
        <f t="shared" si="417"/>
        <v/>
      </c>
      <c r="R205" s="3">
        <v>3.22</v>
      </c>
      <c r="S205" s="3">
        <f t="shared" si="418"/>
        <v>3.22</v>
      </c>
      <c r="T205" s="4" t="str">
        <f t="shared" si="419"/>
        <v/>
      </c>
      <c r="U205" s="3">
        <v>1.77</v>
      </c>
      <c r="V205" s="3">
        <f t="shared" si="420"/>
        <v>1.77</v>
      </c>
      <c r="W205" s="4">
        <f t="shared" si="421"/>
        <v>1.77</v>
      </c>
      <c r="X205" s="3">
        <v>2.23</v>
      </c>
      <c r="Y205" s="3">
        <f t="shared" si="422"/>
        <v>2.23</v>
      </c>
      <c r="Z205" s="21">
        <f t="shared" si="423"/>
        <v>2.23</v>
      </c>
      <c r="BB205" s="20" t="s">
        <v>872</v>
      </c>
      <c r="BC205" s="3">
        <v>3.9</v>
      </c>
      <c r="BD205" s="3">
        <f t="shared" si="424"/>
        <v>3.9</v>
      </c>
      <c r="BE205" s="4">
        <f t="shared" si="425"/>
        <v>3.9</v>
      </c>
      <c r="BF205" s="3">
        <v>4.2699999999999996</v>
      </c>
      <c r="BG205" s="3">
        <f t="shared" si="426"/>
        <v>4.2699999999999996</v>
      </c>
      <c r="BH205" s="4">
        <f t="shared" si="427"/>
        <v>4.2699999999999996</v>
      </c>
      <c r="BI205" s="3">
        <v>4.1900000000000004</v>
      </c>
      <c r="BJ205" s="3">
        <f t="shared" si="428"/>
        <v>4.1900000000000004</v>
      </c>
      <c r="BK205" s="4">
        <f t="shared" si="429"/>
        <v>4.1900000000000004</v>
      </c>
      <c r="BL205" s="3">
        <v>4.38</v>
      </c>
      <c r="BM205" s="3">
        <f t="shared" si="430"/>
        <v>4.38</v>
      </c>
      <c r="BN205" s="4">
        <f t="shared" si="431"/>
        <v>4.38</v>
      </c>
      <c r="BO205" s="3">
        <v>3.58</v>
      </c>
      <c r="BP205" s="3">
        <f t="shared" si="432"/>
        <v>3.58</v>
      </c>
      <c r="BQ205" s="4">
        <f t="shared" si="433"/>
        <v>3.58</v>
      </c>
      <c r="BR205" s="3">
        <v>3.11</v>
      </c>
      <c r="BS205" s="3">
        <f t="shared" si="434"/>
        <v>3.11</v>
      </c>
      <c r="BT205" s="4">
        <f t="shared" si="435"/>
        <v>3.11</v>
      </c>
      <c r="BU205" s="3">
        <v>1.64</v>
      </c>
      <c r="BV205" s="3">
        <f t="shared" si="436"/>
        <v>1.64</v>
      </c>
      <c r="BW205" s="4">
        <f t="shared" si="437"/>
        <v>1.64</v>
      </c>
      <c r="BX205" s="3">
        <v>1.29</v>
      </c>
      <c r="BY205" s="3">
        <f t="shared" si="438"/>
        <v>1.29</v>
      </c>
      <c r="BZ205" s="21">
        <f t="shared" si="439"/>
        <v>1.29</v>
      </c>
    </row>
    <row r="206" spans="2:78">
      <c r="B206" s="20" t="s">
        <v>873</v>
      </c>
      <c r="C206" s="3">
        <v>3.03</v>
      </c>
      <c r="D206" s="3">
        <f t="shared" si="408"/>
        <v>3.03</v>
      </c>
      <c r="E206" s="4">
        <f t="shared" si="409"/>
        <v>3.03</v>
      </c>
      <c r="F206" s="3">
        <v>4.3600000000000003</v>
      </c>
      <c r="G206" s="3">
        <f t="shared" si="410"/>
        <v>4.3600000000000003</v>
      </c>
      <c r="H206" s="4">
        <f t="shared" si="411"/>
        <v>4.3600000000000003</v>
      </c>
      <c r="I206" s="3">
        <v>5.27</v>
      </c>
      <c r="J206" s="3">
        <f t="shared" si="412"/>
        <v>5.27</v>
      </c>
      <c r="K206" s="4">
        <f t="shared" si="413"/>
        <v>5.27</v>
      </c>
      <c r="L206" s="3">
        <v>5.62</v>
      </c>
      <c r="M206" s="3">
        <f t="shared" si="414"/>
        <v>5.62</v>
      </c>
      <c r="N206" s="4">
        <f t="shared" si="415"/>
        <v>5.62</v>
      </c>
      <c r="O206" s="3">
        <v>4.33</v>
      </c>
      <c r="P206" s="3">
        <f t="shared" si="416"/>
        <v>4.33</v>
      </c>
      <c r="Q206" s="4">
        <f t="shared" si="417"/>
        <v>4.33</v>
      </c>
      <c r="R206" s="3">
        <v>4.8600000000000003</v>
      </c>
      <c r="S206" s="3">
        <f t="shared" si="418"/>
        <v>4.8600000000000003</v>
      </c>
      <c r="T206" s="4">
        <f t="shared" si="419"/>
        <v>4.8600000000000003</v>
      </c>
      <c r="U206" s="3">
        <v>1.78</v>
      </c>
      <c r="V206" s="3">
        <f t="shared" si="420"/>
        <v>1.78</v>
      </c>
      <c r="W206" s="4">
        <f t="shared" si="421"/>
        <v>1.78</v>
      </c>
      <c r="X206" s="3">
        <v>2.2599999999999998</v>
      </c>
      <c r="Y206" s="3">
        <f t="shared" si="422"/>
        <v>2.2599999999999998</v>
      </c>
      <c r="Z206" s="21">
        <f t="shared" si="423"/>
        <v>2.2599999999999998</v>
      </c>
      <c r="BB206" s="20" t="s">
        <v>874</v>
      </c>
      <c r="BC206" s="3">
        <v>3.9</v>
      </c>
      <c r="BD206" s="3">
        <f t="shared" si="424"/>
        <v>3.9</v>
      </c>
      <c r="BE206" s="4">
        <f t="shared" si="425"/>
        <v>3.9</v>
      </c>
      <c r="BF206" s="3">
        <v>4.29</v>
      </c>
      <c r="BG206" s="3">
        <f t="shared" si="426"/>
        <v>4.29</v>
      </c>
      <c r="BH206" s="4">
        <f t="shared" si="427"/>
        <v>4.29</v>
      </c>
      <c r="BI206" s="3">
        <v>4.18</v>
      </c>
      <c r="BJ206" s="3">
        <f t="shared" si="428"/>
        <v>4.18</v>
      </c>
      <c r="BK206" s="4">
        <f t="shared" si="429"/>
        <v>4.18</v>
      </c>
      <c r="BL206" s="3">
        <v>4.29</v>
      </c>
      <c r="BM206" s="3">
        <f t="shared" si="430"/>
        <v>4.29</v>
      </c>
      <c r="BN206" s="4">
        <f t="shared" si="431"/>
        <v>4.29</v>
      </c>
      <c r="BO206" s="3">
        <v>3.6</v>
      </c>
      <c r="BP206" s="3">
        <f t="shared" si="432"/>
        <v>3.6</v>
      </c>
      <c r="BQ206" s="4">
        <f t="shared" si="433"/>
        <v>3.6</v>
      </c>
      <c r="BR206" s="3">
        <v>3.12</v>
      </c>
      <c r="BS206" s="3">
        <f t="shared" si="434"/>
        <v>3.12</v>
      </c>
      <c r="BT206" s="4">
        <f t="shared" si="435"/>
        <v>3.12</v>
      </c>
      <c r="BU206" s="3">
        <v>1.64</v>
      </c>
      <c r="BV206" s="3">
        <f t="shared" si="436"/>
        <v>1.64</v>
      </c>
      <c r="BW206" s="4">
        <f t="shared" si="437"/>
        <v>1.64</v>
      </c>
      <c r="BX206" s="3">
        <v>1.24</v>
      </c>
      <c r="BY206" s="3">
        <f t="shared" si="438"/>
        <v>1.24</v>
      </c>
      <c r="BZ206" s="21">
        <f t="shared" si="439"/>
        <v>1.24</v>
      </c>
    </row>
    <row r="207" spans="2:78">
      <c r="B207" s="20" t="s">
        <v>875</v>
      </c>
      <c r="C207" s="3">
        <v>2.99</v>
      </c>
      <c r="D207" s="3">
        <f t="shared" si="408"/>
        <v>2.99</v>
      </c>
      <c r="E207" s="4">
        <f t="shared" si="409"/>
        <v>2.99</v>
      </c>
      <c r="F207" s="3">
        <v>4.4000000000000004</v>
      </c>
      <c r="G207" s="3">
        <f t="shared" si="410"/>
        <v>4.4000000000000004</v>
      </c>
      <c r="H207" s="4">
        <f t="shared" si="411"/>
        <v>4.4000000000000004</v>
      </c>
      <c r="I207" s="3">
        <v>4.03</v>
      </c>
      <c r="J207" s="3">
        <f t="shared" si="412"/>
        <v>4.03</v>
      </c>
      <c r="K207" s="4" t="str">
        <f t="shared" si="413"/>
        <v/>
      </c>
      <c r="L207" s="3">
        <v>5.64</v>
      </c>
      <c r="M207" s="3">
        <f t="shared" si="414"/>
        <v>5.64</v>
      </c>
      <c r="N207" s="4">
        <f t="shared" si="415"/>
        <v>5.64</v>
      </c>
      <c r="O207" s="3">
        <v>4.34</v>
      </c>
      <c r="P207" s="3">
        <f t="shared" si="416"/>
        <v>4.34</v>
      </c>
      <c r="Q207" s="4">
        <f t="shared" si="417"/>
        <v>4.34</v>
      </c>
      <c r="R207" s="3">
        <v>4.82</v>
      </c>
      <c r="S207" s="3">
        <f t="shared" si="418"/>
        <v>4.82</v>
      </c>
      <c r="T207" s="4">
        <f t="shared" si="419"/>
        <v>4.82</v>
      </c>
      <c r="U207" s="3">
        <v>99.99</v>
      </c>
      <c r="V207" s="3" t="str">
        <f t="shared" si="420"/>
        <v/>
      </c>
      <c r="W207" s="4" t="str">
        <f t="shared" si="421"/>
        <v/>
      </c>
      <c r="X207" s="3">
        <v>1.56</v>
      </c>
      <c r="Y207" s="3">
        <f t="shared" si="422"/>
        <v>1.56</v>
      </c>
      <c r="Z207" s="21" t="str">
        <f t="shared" si="423"/>
        <v/>
      </c>
      <c r="BB207" s="20" t="s">
        <v>876</v>
      </c>
      <c r="BC207" s="3">
        <v>3.9</v>
      </c>
      <c r="BD207" s="3">
        <f t="shared" si="424"/>
        <v>3.9</v>
      </c>
      <c r="BE207" s="4">
        <f t="shared" si="425"/>
        <v>3.9</v>
      </c>
      <c r="BF207" s="3">
        <v>4.25</v>
      </c>
      <c r="BG207" s="3">
        <f t="shared" si="426"/>
        <v>4.25</v>
      </c>
      <c r="BH207" s="4">
        <f t="shared" si="427"/>
        <v>4.25</v>
      </c>
      <c r="BI207" s="3">
        <v>4.1399999999999997</v>
      </c>
      <c r="BJ207" s="3">
        <f t="shared" si="428"/>
        <v>4.1399999999999997</v>
      </c>
      <c r="BK207" s="4">
        <f t="shared" si="429"/>
        <v>4.1399999999999997</v>
      </c>
      <c r="BL207" s="3">
        <v>4.28</v>
      </c>
      <c r="BM207" s="3">
        <f t="shared" si="430"/>
        <v>4.28</v>
      </c>
      <c r="BN207" s="4">
        <f t="shared" si="431"/>
        <v>4.28</v>
      </c>
      <c r="BO207" s="3">
        <v>3.63</v>
      </c>
      <c r="BP207" s="3">
        <f t="shared" si="432"/>
        <v>3.63</v>
      </c>
      <c r="BQ207" s="4">
        <f t="shared" si="433"/>
        <v>3.63</v>
      </c>
      <c r="BR207" s="3">
        <v>3.13</v>
      </c>
      <c r="BS207" s="3">
        <f t="shared" si="434"/>
        <v>3.13</v>
      </c>
      <c r="BT207" s="4">
        <f t="shared" si="435"/>
        <v>3.13</v>
      </c>
      <c r="BU207" s="3">
        <v>1.64</v>
      </c>
      <c r="BV207" s="3">
        <f t="shared" si="436"/>
        <v>1.64</v>
      </c>
      <c r="BW207" s="4">
        <f t="shared" si="437"/>
        <v>1.64</v>
      </c>
      <c r="BX207" s="3">
        <v>1.21</v>
      </c>
      <c r="BY207" s="3">
        <f t="shared" si="438"/>
        <v>1.21</v>
      </c>
      <c r="BZ207" s="21">
        <f t="shared" si="439"/>
        <v>1.21</v>
      </c>
    </row>
    <row r="208" spans="2:78">
      <c r="B208" s="20" t="s">
        <v>877</v>
      </c>
      <c r="C208" s="3">
        <v>3</v>
      </c>
      <c r="D208" s="3">
        <f t="shared" si="408"/>
        <v>3</v>
      </c>
      <c r="E208" s="4">
        <f t="shared" si="409"/>
        <v>3</v>
      </c>
      <c r="F208" s="3">
        <v>4.4000000000000004</v>
      </c>
      <c r="G208" s="3">
        <f t="shared" si="410"/>
        <v>4.4000000000000004</v>
      </c>
      <c r="H208" s="4">
        <f t="shared" si="411"/>
        <v>4.4000000000000004</v>
      </c>
      <c r="I208" s="3">
        <v>5.28</v>
      </c>
      <c r="J208" s="3">
        <f t="shared" si="412"/>
        <v>5.28</v>
      </c>
      <c r="K208" s="4">
        <f t="shared" si="413"/>
        <v>5.28</v>
      </c>
      <c r="L208" s="3">
        <v>5.62</v>
      </c>
      <c r="M208" s="3">
        <f t="shared" si="414"/>
        <v>5.62</v>
      </c>
      <c r="N208" s="4">
        <f t="shared" si="415"/>
        <v>5.62</v>
      </c>
      <c r="O208" s="3">
        <v>4.3</v>
      </c>
      <c r="P208" s="3">
        <f t="shared" si="416"/>
        <v>4.3</v>
      </c>
      <c r="Q208" s="4">
        <f t="shared" si="417"/>
        <v>4.3</v>
      </c>
      <c r="R208" s="3">
        <v>4.83</v>
      </c>
      <c r="S208" s="3">
        <f t="shared" si="418"/>
        <v>4.83</v>
      </c>
      <c r="T208" s="4">
        <f t="shared" si="419"/>
        <v>4.83</v>
      </c>
      <c r="U208" s="3">
        <v>1.76</v>
      </c>
      <c r="V208" s="3">
        <f t="shared" si="420"/>
        <v>1.76</v>
      </c>
      <c r="W208" s="4">
        <f t="shared" si="421"/>
        <v>1.76</v>
      </c>
      <c r="X208" s="3">
        <v>2.21</v>
      </c>
      <c r="Y208" s="3">
        <f t="shared" si="422"/>
        <v>2.21</v>
      </c>
      <c r="Z208" s="21">
        <f t="shared" si="423"/>
        <v>2.21</v>
      </c>
      <c r="BB208" s="20" t="s">
        <v>878</v>
      </c>
      <c r="BC208" s="3">
        <v>3.94</v>
      </c>
      <c r="BD208" s="3">
        <f t="shared" si="424"/>
        <v>3.94</v>
      </c>
      <c r="BE208" s="4">
        <f t="shared" si="425"/>
        <v>3.94</v>
      </c>
      <c r="BF208" s="3">
        <v>4.25</v>
      </c>
      <c r="BG208" s="3">
        <f t="shared" si="426"/>
        <v>4.25</v>
      </c>
      <c r="BH208" s="4">
        <f t="shared" si="427"/>
        <v>4.25</v>
      </c>
      <c r="BI208" s="3">
        <v>1.81</v>
      </c>
      <c r="BJ208" s="3">
        <f t="shared" si="428"/>
        <v>1.81</v>
      </c>
      <c r="BK208" s="4" t="str">
        <f t="shared" si="429"/>
        <v/>
      </c>
      <c r="BL208" s="3">
        <v>4.3499999999999996</v>
      </c>
      <c r="BM208" s="3">
        <f t="shared" si="430"/>
        <v>4.3499999999999996</v>
      </c>
      <c r="BN208" s="4">
        <f t="shared" si="431"/>
        <v>4.3499999999999996</v>
      </c>
      <c r="BO208" s="3">
        <v>3.64</v>
      </c>
      <c r="BP208" s="3">
        <f t="shared" si="432"/>
        <v>3.64</v>
      </c>
      <c r="BQ208" s="4">
        <f t="shared" si="433"/>
        <v>3.64</v>
      </c>
      <c r="BR208" s="3">
        <v>1.98</v>
      </c>
      <c r="BS208" s="3">
        <f t="shared" si="434"/>
        <v>1.98</v>
      </c>
      <c r="BT208" s="4" t="str">
        <f t="shared" si="435"/>
        <v/>
      </c>
      <c r="BU208" s="3">
        <v>1.65</v>
      </c>
      <c r="BV208" s="3">
        <f t="shared" si="436"/>
        <v>1.65</v>
      </c>
      <c r="BW208" s="4">
        <f t="shared" si="437"/>
        <v>1.65</v>
      </c>
      <c r="BX208" s="3">
        <v>1.26</v>
      </c>
      <c r="BY208" s="3">
        <f t="shared" si="438"/>
        <v>1.26</v>
      </c>
      <c r="BZ208" s="21">
        <f t="shared" si="439"/>
        <v>1.26</v>
      </c>
    </row>
    <row r="209" spans="2:78">
      <c r="B209" s="20" t="s">
        <v>879</v>
      </c>
      <c r="C209" s="3">
        <v>2.99</v>
      </c>
      <c r="D209" s="3">
        <f t="shared" si="408"/>
        <v>2.99</v>
      </c>
      <c r="E209" s="4">
        <f t="shared" si="409"/>
        <v>2.99</v>
      </c>
      <c r="F209" s="3">
        <v>4.4000000000000004</v>
      </c>
      <c r="G209" s="3">
        <f t="shared" si="410"/>
        <v>4.4000000000000004</v>
      </c>
      <c r="H209" s="4">
        <f t="shared" si="411"/>
        <v>4.4000000000000004</v>
      </c>
      <c r="I209" s="3">
        <v>5.31</v>
      </c>
      <c r="J209" s="3">
        <f t="shared" si="412"/>
        <v>5.31</v>
      </c>
      <c r="K209" s="4">
        <f t="shared" si="413"/>
        <v>5.31</v>
      </c>
      <c r="L209" s="3">
        <v>5.64</v>
      </c>
      <c r="M209" s="3">
        <f t="shared" si="414"/>
        <v>5.64</v>
      </c>
      <c r="N209" s="4">
        <f t="shared" si="415"/>
        <v>5.64</v>
      </c>
      <c r="O209" s="3">
        <v>3.77</v>
      </c>
      <c r="P209" s="3">
        <f t="shared" si="416"/>
        <v>3.77</v>
      </c>
      <c r="Q209" s="4">
        <f t="shared" si="417"/>
        <v>3.77</v>
      </c>
      <c r="R209" s="3">
        <v>4.8099999999999996</v>
      </c>
      <c r="S209" s="3">
        <f t="shared" si="418"/>
        <v>4.8099999999999996</v>
      </c>
      <c r="T209" s="4">
        <f t="shared" si="419"/>
        <v>4.8099999999999996</v>
      </c>
      <c r="U209" s="3">
        <v>1.74</v>
      </c>
      <c r="V209" s="3">
        <f t="shared" si="420"/>
        <v>1.74</v>
      </c>
      <c r="W209" s="4">
        <f t="shared" si="421"/>
        <v>1.74</v>
      </c>
      <c r="X209" s="3">
        <v>2.2400000000000002</v>
      </c>
      <c r="Y209" s="3">
        <f t="shared" si="422"/>
        <v>2.2400000000000002</v>
      </c>
      <c r="Z209" s="21">
        <f t="shared" si="423"/>
        <v>2.2400000000000002</v>
      </c>
      <c r="BB209" s="20" t="s">
        <v>880</v>
      </c>
      <c r="BC209" s="3">
        <v>3.91</v>
      </c>
      <c r="BD209" s="3">
        <f t="shared" si="424"/>
        <v>3.91</v>
      </c>
      <c r="BE209" s="4">
        <f t="shared" si="425"/>
        <v>3.91</v>
      </c>
      <c r="BF209" s="3">
        <v>4.2699999999999996</v>
      </c>
      <c r="BG209" s="3">
        <f t="shared" si="426"/>
        <v>4.2699999999999996</v>
      </c>
      <c r="BH209" s="4">
        <f t="shared" si="427"/>
        <v>4.2699999999999996</v>
      </c>
      <c r="BI209" s="3">
        <v>4.1399999999999997</v>
      </c>
      <c r="BJ209" s="3">
        <f t="shared" si="428"/>
        <v>4.1399999999999997</v>
      </c>
      <c r="BK209" s="4">
        <f t="shared" si="429"/>
        <v>4.1399999999999997</v>
      </c>
      <c r="BL209" s="3">
        <v>4.28</v>
      </c>
      <c r="BM209" s="3">
        <f t="shared" si="430"/>
        <v>4.28</v>
      </c>
      <c r="BN209" s="4">
        <f t="shared" si="431"/>
        <v>4.28</v>
      </c>
      <c r="BO209" s="3">
        <v>3.59</v>
      </c>
      <c r="BP209" s="3">
        <f t="shared" si="432"/>
        <v>3.59</v>
      </c>
      <c r="BQ209" s="4">
        <f t="shared" si="433"/>
        <v>3.59</v>
      </c>
      <c r="BR209" s="3">
        <v>1.31</v>
      </c>
      <c r="BS209" s="3">
        <f t="shared" si="434"/>
        <v>1.31</v>
      </c>
      <c r="BT209" s="4" t="str">
        <f t="shared" si="435"/>
        <v/>
      </c>
      <c r="BU209" s="3">
        <v>1.64</v>
      </c>
      <c r="BV209" s="3">
        <f t="shared" si="436"/>
        <v>1.64</v>
      </c>
      <c r="BW209" s="4">
        <f t="shared" si="437"/>
        <v>1.64</v>
      </c>
      <c r="BX209" s="3">
        <v>1.24</v>
      </c>
      <c r="BY209" s="3">
        <f t="shared" si="438"/>
        <v>1.24</v>
      </c>
      <c r="BZ209" s="21">
        <f t="shared" si="439"/>
        <v>1.24</v>
      </c>
    </row>
    <row r="210" spans="2:78">
      <c r="B210" s="20" t="s">
        <v>881</v>
      </c>
      <c r="C210" s="3">
        <v>3</v>
      </c>
      <c r="D210" s="3">
        <f t="shared" si="408"/>
        <v>3</v>
      </c>
      <c r="E210" s="4">
        <f t="shared" si="409"/>
        <v>3</v>
      </c>
      <c r="F210" s="3">
        <v>4.3899999999999997</v>
      </c>
      <c r="G210" s="3">
        <f t="shared" si="410"/>
        <v>4.3899999999999997</v>
      </c>
      <c r="H210" s="4">
        <f t="shared" si="411"/>
        <v>4.3899999999999997</v>
      </c>
      <c r="I210" s="3">
        <v>5.31</v>
      </c>
      <c r="J210" s="3">
        <f t="shared" si="412"/>
        <v>5.31</v>
      </c>
      <c r="K210" s="4">
        <f t="shared" si="413"/>
        <v>5.31</v>
      </c>
      <c r="L210" s="3">
        <v>5.64</v>
      </c>
      <c r="M210" s="3">
        <f t="shared" si="414"/>
        <v>5.64</v>
      </c>
      <c r="N210" s="4">
        <f t="shared" si="415"/>
        <v>5.64</v>
      </c>
      <c r="O210" s="3">
        <v>4.33</v>
      </c>
      <c r="P210" s="3">
        <f t="shared" si="416"/>
        <v>4.33</v>
      </c>
      <c r="Q210" s="4">
        <f t="shared" si="417"/>
        <v>4.33</v>
      </c>
      <c r="R210" s="3">
        <v>4.9000000000000004</v>
      </c>
      <c r="S210" s="3">
        <f t="shared" si="418"/>
        <v>4.9000000000000004</v>
      </c>
      <c r="T210" s="4">
        <f t="shared" si="419"/>
        <v>4.9000000000000004</v>
      </c>
      <c r="U210" s="3">
        <v>1.73</v>
      </c>
      <c r="V210" s="3">
        <f t="shared" si="420"/>
        <v>1.73</v>
      </c>
      <c r="W210" s="4">
        <f t="shared" si="421"/>
        <v>1.73</v>
      </c>
      <c r="X210" s="3">
        <v>2.23</v>
      </c>
      <c r="Y210" s="3">
        <f t="shared" si="422"/>
        <v>2.23</v>
      </c>
      <c r="Z210" s="21">
        <f t="shared" si="423"/>
        <v>2.23</v>
      </c>
      <c r="BB210" s="20" t="s">
        <v>882</v>
      </c>
      <c r="BC210" s="3">
        <v>3.92</v>
      </c>
      <c r="BD210" s="3">
        <f t="shared" si="424"/>
        <v>3.92</v>
      </c>
      <c r="BE210" s="4">
        <f t="shared" si="425"/>
        <v>3.92</v>
      </c>
      <c r="BF210" s="3">
        <v>4.2699999999999996</v>
      </c>
      <c r="BG210" s="3">
        <f t="shared" si="426"/>
        <v>4.2699999999999996</v>
      </c>
      <c r="BH210" s="4">
        <f t="shared" si="427"/>
        <v>4.2699999999999996</v>
      </c>
      <c r="BI210" s="3">
        <v>4.17</v>
      </c>
      <c r="BJ210" s="3">
        <f t="shared" si="428"/>
        <v>4.17</v>
      </c>
      <c r="BK210" s="4">
        <f t="shared" si="429"/>
        <v>4.17</v>
      </c>
      <c r="BL210" s="3">
        <v>4.3499999999999996</v>
      </c>
      <c r="BM210" s="3">
        <f t="shared" si="430"/>
        <v>4.3499999999999996</v>
      </c>
      <c r="BN210" s="4">
        <f t="shared" si="431"/>
        <v>4.3499999999999996</v>
      </c>
      <c r="BO210" s="3">
        <v>3.62</v>
      </c>
      <c r="BP210" s="3">
        <f t="shared" si="432"/>
        <v>3.62</v>
      </c>
      <c r="BQ210" s="4">
        <f t="shared" si="433"/>
        <v>3.62</v>
      </c>
      <c r="BR210" s="3">
        <v>3.15</v>
      </c>
      <c r="BS210" s="3">
        <f t="shared" si="434"/>
        <v>3.15</v>
      </c>
      <c r="BT210" s="4">
        <f t="shared" si="435"/>
        <v>3.15</v>
      </c>
      <c r="BU210" s="3">
        <v>1.62</v>
      </c>
      <c r="BV210" s="3">
        <f t="shared" si="436"/>
        <v>1.62</v>
      </c>
      <c r="BW210" s="4">
        <f t="shared" si="437"/>
        <v>1.62</v>
      </c>
      <c r="BX210" s="3">
        <v>1.26</v>
      </c>
      <c r="BY210" s="3">
        <f t="shared" si="438"/>
        <v>1.26</v>
      </c>
      <c r="BZ210" s="21">
        <f t="shared" si="439"/>
        <v>1.26</v>
      </c>
    </row>
    <row r="211" spans="2:78" ht="15.75" thickBot="1">
      <c r="B211" s="22" t="s">
        <v>883</v>
      </c>
      <c r="C211" s="3">
        <v>3.02</v>
      </c>
      <c r="D211" s="3">
        <f>IF(AND(C211 &lt; 99.99, C211 &gt; 0), C211, "")</f>
        <v>3.02</v>
      </c>
      <c r="E211" s="4">
        <f>IF(AND(D211 &lt;= $D$214, D211 &gt;= $D$215), D211, "")</f>
        <v>3.02</v>
      </c>
      <c r="F211" s="3">
        <v>0</v>
      </c>
      <c r="G211" s="3" t="str">
        <f t="shared" si="410"/>
        <v/>
      </c>
      <c r="H211" s="4" t="str">
        <f t="shared" si="411"/>
        <v/>
      </c>
      <c r="I211" s="3">
        <v>5.29</v>
      </c>
      <c r="J211" s="3">
        <f t="shared" si="412"/>
        <v>5.29</v>
      </c>
      <c r="K211" s="4">
        <f t="shared" si="413"/>
        <v>5.29</v>
      </c>
      <c r="L211" s="3">
        <v>5.63</v>
      </c>
      <c r="M211" s="3">
        <f t="shared" si="414"/>
        <v>5.63</v>
      </c>
      <c r="N211" s="4">
        <f t="shared" si="415"/>
        <v>5.63</v>
      </c>
      <c r="O211" s="3">
        <v>4.3499999999999996</v>
      </c>
      <c r="P211" s="3">
        <f t="shared" si="416"/>
        <v>4.3499999999999996</v>
      </c>
      <c r="Q211" s="4">
        <f t="shared" si="417"/>
        <v>4.3499999999999996</v>
      </c>
      <c r="R211" s="3">
        <v>1.61</v>
      </c>
      <c r="S211" s="3">
        <f t="shared" si="418"/>
        <v>1.61</v>
      </c>
      <c r="T211" s="4" t="str">
        <f t="shared" si="419"/>
        <v/>
      </c>
      <c r="U211" s="3">
        <v>1.71</v>
      </c>
      <c r="V211" s="3">
        <f t="shared" si="420"/>
        <v>1.71</v>
      </c>
      <c r="W211" s="4">
        <f t="shared" si="421"/>
        <v>1.71</v>
      </c>
      <c r="X211" s="3">
        <v>3.24</v>
      </c>
      <c r="Y211" s="3">
        <f t="shared" si="422"/>
        <v>3.24</v>
      </c>
      <c r="Z211" s="21" t="str">
        <f t="shared" si="423"/>
        <v/>
      </c>
      <c r="BB211" s="20" t="s">
        <v>884</v>
      </c>
      <c r="BC211" s="3">
        <v>3.9</v>
      </c>
      <c r="BD211" s="3">
        <f t="shared" si="424"/>
        <v>3.9</v>
      </c>
      <c r="BE211" s="4">
        <f t="shared" si="425"/>
        <v>3.9</v>
      </c>
      <c r="BF211" s="3">
        <v>4.26</v>
      </c>
      <c r="BG211" s="3">
        <f t="shared" si="426"/>
        <v>4.26</v>
      </c>
      <c r="BH211" s="4">
        <f t="shared" si="427"/>
        <v>4.26</v>
      </c>
      <c r="BI211" s="3">
        <v>4.16</v>
      </c>
      <c r="BJ211" s="3">
        <f t="shared" si="428"/>
        <v>4.16</v>
      </c>
      <c r="BK211" s="4">
        <f t="shared" si="429"/>
        <v>4.16</v>
      </c>
      <c r="BL211" s="3">
        <v>4.28</v>
      </c>
      <c r="BM211" s="3">
        <f t="shared" si="430"/>
        <v>4.28</v>
      </c>
      <c r="BN211" s="4">
        <f t="shared" si="431"/>
        <v>4.28</v>
      </c>
      <c r="BO211" s="3">
        <v>3.64</v>
      </c>
      <c r="BP211" s="3">
        <f t="shared" si="432"/>
        <v>3.64</v>
      </c>
      <c r="BQ211" s="4">
        <f t="shared" si="433"/>
        <v>3.64</v>
      </c>
      <c r="BR211" s="3">
        <v>3.12</v>
      </c>
      <c r="BS211" s="3">
        <f t="shared" si="434"/>
        <v>3.12</v>
      </c>
      <c r="BT211" s="4">
        <f t="shared" si="435"/>
        <v>3.12</v>
      </c>
      <c r="BU211" s="3">
        <v>1.61</v>
      </c>
      <c r="BV211" s="3">
        <f t="shared" si="436"/>
        <v>1.61</v>
      </c>
      <c r="BW211" s="4">
        <f t="shared" si="437"/>
        <v>1.61</v>
      </c>
      <c r="BX211" s="3">
        <v>1.2</v>
      </c>
      <c r="BY211" s="3">
        <f t="shared" si="438"/>
        <v>1.2</v>
      </c>
      <c r="BZ211" s="21">
        <f t="shared" si="439"/>
        <v>1.2</v>
      </c>
    </row>
    <row r="212" spans="2:78">
      <c r="B212" s="7" t="s">
        <v>510</v>
      </c>
      <c r="C212" s="7"/>
      <c r="D212" s="8">
        <f>AVERAGE(D4:D211)</f>
        <v>2.8996153846153825</v>
      </c>
      <c r="E212" s="8">
        <f>AVERAGE(E4:E211)</f>
        <v>2.9995408163265287</v>
      </c>
      <c r="F212" s="8"/>
      <c r="G212" s="8">
        <f>AVERAGE(G4:G211)</f>
        <v>4.2383999999999959</v>
      </c>
      <c r="H212" s="8">
        <f>AVERAGE(H4:H211)</f>
        <v>4.3915873015872968</v>
      </c>
      <c r="I212" s="8"/>
      <c r="J212" s="8">
        <f>AVERAGE(J4:J211)</f>
        <v>5.0367307692307577</v>
      </c>
      <c r="K212" s="8">
        <f>AVERAGE(K4:K211)</f>
        <v>5.2973513513513408</v>
      </c>
      <c r="L212" s="8"/>
      <c r="M212" s="8">
        <f>AVERAGE(M4:M211)</f>
        <v>5.1010628019323656</v>
      </c>
      <c r="N212" s="8">
        <f>AVERAGE(N4:N211)</f>
        <v>5.4632620320855594</v>
      </c>
      <c r="O212" s="8"/>
      <c r="P212" s="8">
        <f>AVERAGE(P4:P211)</f>
        <v>4.0803864734299546</v>
      </c>
      <c r="Q212" s="8">
        <f>AVERAGE(Q4:Q211)</f>
        <v>4.3226344086021538</v>
      </c>
      <c r="R212" s="8"/>
      <c r="S212" s="8">
        <f>AVERAGE(S4:S211)</f>
        <v>4.5046634615384624</v>
      </c>
      <c r="T212" s="8">
        <f>AVERAGE(T4:T211)</f>
        <v>4.794702702702704</v>
      </c>
      <c r="U212" s="8"/>
      <c r="V212" s="8">
        <f>AVERAGE(V4:V211)</f>
        <v>1.7265686274509802</v>
      </c>
      <c r="W212" s="8">
        <f>AVERAGE(W4:W211)</f>
        <v>1.7529999999999999</v>
      </c>
      <c r="X212" s="8"/>
      <c r="Y212" s="8">
        <f>AVERAGE(Y4:Y211)</f>
        <v>2.3231067961165039</v>
      </c>
      <c r="Z212" s="9">
        <f>AVERAGE(Z4:Z211)</f>
        <v>2.2719653179190749</v>
      </c>
      <c r="BB212" s="20" t="s">
        <v>885</v>
      </c>
      <c r="BC212" s="3">
        <v>3.92</v>
      </c>
      <c r="BD212" s="3">
        <f t="shared" si="424"/>
        <v>3.92</v>
      </c>
      <c r="BE212" s="4">
        <f t="shared" si="425"/>
        <v>3.92</v>
      </c>
      <c r="BF212" s="3">
        <v>4.25</v>
      </c>
      <c r="BG212" s="3">
        <f t="shared" si="426"/>
        <v>4.25</v>
      </c>
      <c r="BH212" s="4">
        <f t="shared" si="427"/>
        <v>4.25</v>
      </c>
      <c r="BI212" s="3">
        <v>4.1900000000000004</v>
      </c>
      <c r="BJ212" s="3">
        <f t="shared" si="428"/>
        <v>4.1900000000000004</v>
      </c>
      <c r="BK212" s="4">
        <f t="shared" si="429"/>
        <v>4.1900000000000004</v>
      </c>
      <c r="BL212" s="3">
        <v>4.2699999999999996</v>
      </c>
      <c r="BM212" s="3">
        <f t="shared" si="430"/>
        <v>4.2699999999999996</v>
      </c>
      <c r="BN212" s="4">
        <f t="shared" si="431"/>
        <v>4.2699999999999996</v>
      </c>
      <c r="BO212" s="3">
        <v>3.6</v>
      </c>
      <c r="BP212" s="3">
        <f t="shared" si="432"/>
        <v>3.6</v>
      </c>
      <c r="BQ212" s="4">
        <f t="shared" si="433"/>
        <v>3.6</v>
      </c>
      <c r="BR212" s="3">
        <v>3.11</v>
      </c>
      <c r="BS212" s="3">
        <f t="shared" si="434"/>
        <v>3.11</v>
      </c>
      <c r="BT212" s="4">
        <f t="shared" si="435"/>
        <v>3.11</v>
      </c>
      <c r="BU212" s="3">
        <v>1.62</v>
      </c>
      <c r="BV212" s="3">
        <f t="shared" si="436"/>
        <v>1.62</v>
      </c>
      <c r="BW212" s="4">
        <f t="shared" si="437"/>
        <v>1.62</v>
      </c>
      <c r="BX212" s="3">
        <v>1.22</v>
      </c>
      <c r="BY212" s="3">
        <f t="shared" si="438"/>
        <v>1.22</v>
      </c>
      <c r="BZ212" s="21">
        <f t="shared" si="439"/>
        <v>1.22</v>
      </c>
    </row>
    <row r="213" spans="2:78">
      <c r="B213" s="10" t="s">
        <v>515</v>
      </c>
      <c r="C213" s="10"/>
      <c r="D213" s="11">
        <f>STDEV(D4:D211)</f>
        <v>0.45088624073154854</v>
      </c>
      <c r="E213" s="11">
        <f t="shared" ref="E213:Z213" si="440">STDEV(E4:E211)</f>
        <v>4.0195590616026719E-2</v>
      </c>
      <c r="F213" s="11"/>
      <c r="G213" s="11">
        <f t="shared" si="440"/>
        <v>0.66287741880521744</v>
      </c>
      <c r="H213" s="11">
        <f t="shared" si="440"/>
        <v>1.9694989308198473E-2</v>
      </c>
      <c r="I213" s="11"/>
      <c r="J213" s="11">
        <f t="shared" si="440"/>
        <v>0.79596803070771771</v>
      </c>
      <c r="K213" s="11">
        <f t="shared" si="440"/>
        <v>4.8432054724060036E-2</v>
      </c>
      <c r="L213" s="11"/>
      <c r="M213" s="11">
        <f t="shared" si="440"/>
        <v>1.2207612740703133</v>
      </c>
      <c r="N213" s="11">
        <f t="shared" si="440"/>
        <v>0.41480342643587836</v>
      </c>
      <c r="O213" s="11"/>
      <c r="P213" s="11">
        <f t="shared" si="440"/>
        <v>0.77704996366367296</v>
      </c>
      <c r="Q213" s="11">
        <f t="shared" si="440"/>
        <v>4.4818501234329587E-2</v>
      </c>
      <c r="R213" s="11"/>
      <c r="S213" s="11">
        <f t="shared" si="440"/>
        <v>0.93894373906635575</v>
      </c>
      <c r="T213" s="11">
        <f t="shared" si="440"/>
        <v>0.20711276922835614</v>
      </c>
      <c r="U213" s="11"/>
      <c r="V213" s="11">
        <f t="shared" si="440"/>
        <v>0.1927580228306843</v>
      </c>
      <c r="W213" s="11">
        <f t="shared" si="440"/>
        <v>2.6103774347321515E-2</v>
      </c>
      <c r="X213" s="11"/>
      <c r="Y213" s="11">
        <f t="shared" si="440"/>
        <v>0.39559779803135081</v>
      </c>
      <c r="Z213" s="11">
        <f t="shared" si="440"/>
        <v>8.9628814404494522E-2</v>
      </c>
      <c r="BB213" s="20" t="s">
        <v>886</v>
      </c>
      <c r="BC213" s="3">
        <v>3.89</v>
      </c>
      <c r="BD213" s="3">
        <f t="shared" si="424"/>
        <v>3.89</v>
      </c>
      <c r="BE213" s="4">
        <f t="shared" si="425"/>
        <v>3.89</v>
      </c>
      <c r="BF213" s="3">
        <v>4.2699999999999996</v>
      </c>
      <c r="BG213" s="3">
        <f t="shared" si="426"/>
        <v>4.2699999999999996</v>
      </c>
      <c r="BH213" s="4">
        <f t="shared" si="427"/>
        <v>4.2699999999999996</v>
      </c>
      <c r="BI213" s="3">
        <v>4.24</v>
      </c>
      <c r="BJ213" s="3">
        <f t="shared" si="428"/>
        <v>4.24</v>
      </c>
      <c r="BK213" s="4">
        <f t="shared" si="429"/>
        <v>4.24</v>
      </c>
      <c r="BL213" s="3">
        <v>4.3</v>
      </c>
      <c r="BM213" s="3">
        <f t="shared" si="430"/>
        <v>4.3</v>
      </c>
      <c r="BN213" s="4">
        <f t="shared" si="431"/>
        <v>4.3</v>
      </c>
      <c r="BO213" s="3">
        <v>3.6</v>
      </c>
      <c r="BP213" s="3">
        <f t="shared" si="432"/>
        <v>3.6</v>
      </c>
      <c r="BQ213" s="4">
        <f t="shared" si="433"/>
        <v>3.6</v>
      </c>
      <c r="BR213" s="3">
        <v>3.13</v>
      </c>
      <c r="BS213" s="3">
        <f t="shared" si="434"/>
        <v>3.13</v>
      </c>
      <c r="BT213" s="4">
        <f t="shared" si="435"/>
        <v>3.13</v>
      </c>
      <c r="BU213" s="3">
        <v>1.61</v>
      </c>
      <c r="BV213" s="3">
        <f t="shared" si="436"/>
        <v>1.61</v>
      </c>
      <c r="BW213" s="4">
        <f t="shared" si="437"/>
        <v>1.61</v>
      </c>
      <c r="BX213" s="3">
        <v>1.26</v>
      </c>
      <c r="BY213" s="3">
        <f t="shared" si="438"/>
        <v>1.26</v>
      </c>
      <c r="BZ213" s="21">
        <f t="shared" si="439"/>
        <v>1.26</v>
      </c>
    </row>
    <row r="214" spans="2:78">
      <c r="B214" s="10" t="s">
        <v>520</v>
      </c>
      <c r="C214" s="10"/>
      <c r="D214" s="11">
        <f>D212+D213</f>
        <v>3.3505016253469311</v>
      </c>
      <c r="E214" s="11"/>
      <c r="F214" s="11"/>
      <c r="G214" s="11">
        <f>G212+G213</f>
        <v>4.9012774188052131</v>
      </c>
      <c r="H214" s="11"/>
      <c r="I214" s="11"/>
      <c r="J214" s="11">
        <f>J212+J213</f>
        <v>5.8326987999384752</v>
      </c>
      <c r="K214" s="11"/>
      <c r="L214" s="11"/>
      <c r="M214" s="11">
        <f>M212+M213</f>
        <v>6.3218240760026791</v>
      </c>
      <c r="N214" s="11"/>
      <c r="O214" s="11"/>
      <c r="P214" s="11">
        <f>P212+P213</f>
        <v>4.8574364370936278</v>
      </c>
      <c r="Q214" s="11"/>
      <c r="R214" s="11"/>
      <c r="S214" s="11">
        <f>S212+S213</f>
        <v>5.4436072006048182</v>
      </c>
      <c r="T214" s="11"/>
      <c r="U214" s="11"/>
      <c r="V214" s="11">
        <f>V212+V213</f>
        <v>1.9193266502816644</v>
      </c>
      <c r="W214" s="11"/>
      <c r="X214" s="11"/>
      <c r="Y214" s="11">
        <f>Y212+Y213</f>
        <v>2.7187045941478547</v>
      </c>
      <c r="Z214" s="12"/>
      <c r="BB214" s="20" t="s">
        <v>887</v>
      </c>
      <c r="BC214" s="3">
        <v>3.9</v>
      </c>
      <c r="BD214" s="3">
        <f t="shared" si="424"/>
        <v>3.9</v>
      </c>
      <c r="BE214" s="4">
        <f t="shared" si="425"/>
        <v>3.9</v>
      </c>
      <c r="BF214" s="3">
        <v>4.25</v>
      </c>
      <c r="BG214" s="3">
        <f t="shared" si="426"/>
        <v>4.25</v>
      </c>
      <c r="BH214" s="4">
        <f t="shared" si="427"/>
        <v>4.25</v>
      </c>
      <c r="BI214" s="3">
        <v>4.17</v>
      </c>
      <c r="BJ214" s="3">
        <f t="shared" si="428"/>
        <v>4.17</v>
      </c>
      <c r="BK214" s="4">
        <f t="shared" si="429"/>
        <v>4.17</v>
      </c>
      <c r="BL214" s="3">
        <v>4.29</v>
      </c>
      <c r="BM214" s="3">
        <f t="shared" si="430"/>
        <v>4.29</v>
      </c>
      <c r="BN214" s="4">
        <f t="shared" si="431"/>
        <v>4.29</v>
      </c>
      <c r="BO214" s="3">
        <v>3.64</v>
      </c>
      <c r="BP214" s="3">
        <f t="shared" si="432"/>
        <v>3.64</v>
      </c>
      <c r="BQ214" s="4">
        <f t="shared" si="433"/>
        <v>3.64</v>
      </c>
      <c r="BR214" s="3">
        <v>3.16</v>
      </c>
      <c r="BS214" s="3">
        <f t="shared" si="434"/>
        <v>3.16</v>
      </c>
      <c r="BT214" s="4">
        <f t="shared" si="435"/>
        <v>3.16</v>
      </c>
      <c r="BU214" s="3">
        <v>1.63</v>
      </c>
      <c r="BV214" s="3">
        <f t="shared" si="436"/>
        <v>1.63</v>
      </c>
      <c r="BW214" s="4">
        <f t="shared" si="437"/>
        <v>1.63</v>
      </c>
      <c r="BX214" s="3">
        <v>1.31</v>
      </c>
      <c r="BY214" s="3">
        <f t="shared" si="438"/>
        <v>1.31</v>
      </c>
      <c r="BZ214" s="21">
        <f t="shared" si="439"/>
        <v>1.31</v>
      </c>
    </row>
    <row r="215" spans="2:78" ht="15.75" thickBot="1">
      <c r="B215" s="13" t="s">
        <v>525</v>
      </c>
      <c r="C215" s="13"/>
      <c r="D215" s="14">
        <f>D212-D213</f>
        <v>2.4487291438838339</v>
      </c>
      <c r="E215" s="14"/>
      <c r="F215" s="14"/>
      <c r="G215" s="14">
        <f>G212-G213</f>
        <v>3.5755225811947784</v>
      </c>
      <c r="H215" s="14"/>
      <c r="I215" s="14"/>
      <c r="J215" s="14">
        <f>J212-J213</f>
        <v>4.2407627385230402</v>
      </c>
      <c r="K215" s="14"/>
      <c r="L215" s="14"/>
      <c r="M215" s="14">
        <f>M212-M213</f>
        <v>3.8803015278620521</v>
      </c>
      <c r="N215" s="14"/>
      <c r="O215" s="14"/>
      <c r="P215" s="14">
        <f>P212-P213</f>
        <v>3.3033365097662815</v>
      </c>
      <c r="Q215" s="14"/>
      <c r="R215" s="14"/>
      <c r="S215" s="14">
        <f>S212-S213</f>
        <v>3.5657197224721067</v>
      </c>
      <c r="T215" s="14"/>
      <c r="U215" s="14"/>
      <c r="V215" s="14">
        <f>V212-V213</f>
        <v>1.5338106046202959</v>
      </c>
      <c r="W215" s="14"/>
      <c r="X215" s="14"/>
      <c r="Y215" s="14">
        <f>Y212-Y213</f>
        <v>1.9275089980851532</v>
      </c>
      <c r="Z215" s="15"/>
      <c r="BB215" s="20" t="s">
        <v>888</v>
      </c>
      <c r="BC215" s="3">
        <v>3.9</v>
      </c>
      <c r="BD215" s="3">
        <f t="shared" si="424"/>
        <v>3.9</v>
      </c>
      <c r="BE215" s="4">
        <f t="shared" si="425"/>
        <v>3.9</v>
      </c>
      <c r="BF215" s="3">
        <v>4.28</v>
      </c>
      <c r="BG215" s="3">
        <f t="shared" si="426"/>
        <v>4.28</v>
      </c>
      <c r="BH215" s="4">
        <f t="shared" si="427"/>
        <v>4.28</v>
      </c>
      <c r="BI215" s="3">
        <v>4.16</v>
      </c>
      <c r="BJ215" s="3">
        <f t="shared" si="428"/>
        <v>4.16</v>
      </c>
      <c r="BK215" s="4">
        <f t="shared" si="429"/>
        <v>4.16</v>
      </c>
      <c r="BL215" s="3">
        <v>4.2699999999999996</v>
      </c>
      <c r="BM215" s="3">
        <f t="shared" si="430"/>
        <v>4.2699999999999996</v>
      </c>
      <c r="BN215" s="4">
        <f t="shared" si="431"/>
        <v>4.2699999999999996</v>
      </c>
      <c r="BO215" s="3">
        <v>3.58</v>
      </c>
      <c r="BP215" s="3">
        <f t="shared" si="432"/>
        <v>3.58</v>
      </c>
      <c r="BQ215" s="4">
        <f t="shared" si="433"/>
        <v>3.58</v>
      </c>
      <c r="BR215" s="3">
        <v>3.13</v>
      </c>
      <c r="BS215" s="3">
        <f t="shared" si="434"/>
        <v>3.13</v>
      </c>
      <c r="BT215" s="4">
        <f t="shared" si="435"/>
        <v>3.13</v>
      </c>
      <c r="BU215" s="3">
        <v>1.62</v>
      </c>
      <c r="BV215" s="3">
        <f t="shared" si="436"/>
        <v>1.62</v>
      </c>
      <c r="BW215" s="4">
        <f t="shared" si="437"/>
        <v>1.62</v>
      </c>
      <c r="BX215" s="3">
        <v>1.26</v>
      </c>
      <c r="BY215" s="3">
        <f t="shared" si="438"/>
        <v>1.26</v>
      </c>
      <c r="BZ215" s="21">
        <f t="shared" si="439"/>
        <v>1.26</v>
      </c>
    </row>
    <row r="216" spans="2:78" ht="15.75" thickBot="1">
      <c r="BB216" s="20" t="s">
        <v>889</v>
      </c>
      <c r="BC216" s="3">
        <v>3.94</v>
      </c>
      <c r="BD216" s="3">
        <f t="shared" si="424"/>
        <v>3.94</v>
      </c>
      <c r="BE216" s="4">
        <f t="shared" si="425"/>
        <v>3.94</v>
      </c>
      <c r="BF216" s="3">
        <v>4.24</v>
      </c>
      <c r="BG216" s="3">
        <f t="shared" si="426"/>
        <v>4.24</v>
      </c>
      <c r="BH216" s="4">
        <f t="shared" si="427"/>
        <v>4.24</v>
      </c>
      <c r="BI216" s="3">
        <v>4.1399999999999997</v>
      </c>
      <c r="BJ216" s="3">
        <f t="shared" si="428"/>
        <v>4.1399999999999997</v>
      </c>
      <c r="BK216" s="4">
        <f t="shared" si="429"/>
        <v>4.1399999999999997</v>
      </c>
      <c r="BL216" s="3">
        <v>4.2699999999999996</v>
      </c>
      <c r="BM216" s="3">
        <f t="shared" si="430"/>
        <v>4.2699999999999996</v>
      </c>
      <c r="BN216" s="4">
        <f t="shared" si="431"/>
        <v>4.2699999999999996</v>
      </c>
      <c r="BO216" s="3">
        <v>3.59</v>
      </c>
      <c r="BP216" s="3">
        <f t="shared" si="432"/>
        <v>3.59</v>
      </c>
      <c r="BQ216" s="4">
        <f t="shared" si="433"/>
        <v>3.59</v>
      </c>
      <c r="BR216" s="3">
        <v>0.23</v>
      </c>
      <c r="BS216" s="3">
        <f t="shared" si="434"/>
        <v>0.23</v>
      </c>
      <c r="BT216" s="4" t="str">
        <f t="shared" si="435"/>
        <v/>
      </c>
      <c r="BU216" s="3">
        <v>1.63</v>
      </c>
      <c r="BV216" s="3">
        <f t="shared" si="436"/>
        <v>1.63</v>
      </c>
      <c r="BW216" s="4">
        <f t="shared" si="437"/>
        <v>1.63</v>
      </c>
      <c r="BX216" s="3">
        <v>1.21</v>
      </c>
      <c r="BY216" s="3">
        <f t="shared" si="438"/>
        <v>1.21</v>
      </c>
      <c r="BZ216" s="21">
        <f t="shared" si="439"/>
        <v>1.21</v>
      </c>
    </row>
    <row r="217" spans="2:78" ht="30">
      <c r="B217" s="80" t="s">
        <v>534</v>
      </c>
      <c r="C217" s="7"/>
      <c r="D217" s="8"/>
      <c r="E217" s="8">
        <v>3.04</v>
      </c>
      <c r="F217" s="8"/>
      <c r="G217" s="8"/>
      <c r="H217" s="8">
        <v>4.01</v>
      </c>
      <c r="I217" s="8"/>
      <c r="J217" s="8"/>
      <c r="K217" s="8">
        <v>5.24</v>
      </c>
      <c r="L217" s="8"/>
      <c r="M217" s="8"/>
      <c r="N217" s="8">
        <v>5.77</v>
      </c>
      <c r="O217" s="8"/>
      <c r="P217" s="8"/>
      <c r="Q217" s="8">
        <v>4.1900000000000004</v>
      </c>
      <c r="R217" s="8"/>
      <c r="S217" s="8"/>
      <c r="T217" s="8">
        <v>4.38</v>
      </c>
      <c r="U217" s="8"/>
      <c r="V217" s="8"/>
      <c r="W217" s="8">
        <v>1.55</v>
      </c>
      <c r="X217" s="8"/>
      <c r="Y217" s="8"/>
      <c r="Z217" s="9">
        <v>2.41</v>
      </c>
      <c r="BB217" s="20" t="s">
        <v>890</v>
      </c>
      <c r="BC217" s="3">
        <v>2.6</v>
      </c>
      <c r="BD217" s="3">
        <f t="shared" si="424"/>
        <v>2.6</v>
      </c>
      <c r="BE217" s="4" t="str">
        <f t="shared" si="425"/>
        <v/>
      </c>
      <c r="BF217" s="3">
        <v>4.25</v>
      </c>
      <c r="BG217" s="3">
        <f t="shared" si="426"/>
        <v>4.25</v>
      </c>
      <c r="BH217" s="4">
        <f t="shared" si="427"/>
        <v>4.25</v>
      </c>
      <c r="BI217" s="3">
        <v>4.22</v>
      </c>
      <c r="BJ217" s="3">
        <f t="shared" si="428"/>
        <v>4.22</v>
      </c>
      <c r="BK217" s="4">
        <f t="shared" si="429"/>
        <v>4.22</v>
      </c>
      <c r="BL217" s="3">
        <v>4.32</v>
      </c>
      <c r="BM217" s="3">
        <f t="shared" si="430"/>
        <v>4.32</v>
      </c>
      <c r="BN217" s="4">
        <f t="shared" si="431"/>
        <v>4.32</v>
      </c>
      <c r="BO217" s="3">
        <v>3.62</v>
      </c>
      <c r="BP217" s="3">
        <f t="shared" si="432"/>
        <v>3.62</v>
      </c>
      <c r="BQ217" s="4">
        <f t="shared" si="433"/>
        <v>3.62</v>
      </c>
      <c r="BR217" s="3">
        <v>3.13</v>
      </c>
      <c r="BS217" s="3">
        <f t="shared" si="434"/>
        <v>3.13</v>
      </c>
      <c r="BT217" s="4">
        <f t="shared" si="435"/>
        <v>3.13</v>
      </c>
      <c r="BU217" s="3">
        <v>1.65</v>
      </c>
      <c r="BV217" s="3">
        <f t="shared" si="436"/>
        <v>1.65</v>
      </c>
      <c r="BW217" s="4">
        <f t="shared" si="437"/>
        <v>1.65</v>
      </c>
      <c r="BX217" s="3">
        <v>1.2</v>
      </c>
      <c r="BY217" s="3">
        <f t="shared" si="438"/>
        <v>1.2</v>
      </c>
      <c r="BZ217" s="21">
        <f t="shared" si="439"/>
        <v>1.2</v>
      </c>
    </row>
    <row r="218" spans="2:78">
      <c r="B218" s="34" t="s">
        <v>539</v>
      </c>
      <c r="C218" s="10"/>
      <c r="D218" s="11"/>
      <c r="E218" s="11">
        <f>E217-E212</f>
        <v>4.0459183673471344E-2</v>
      </c>
      <c r="F218" s="11"/>
      <c r="G218" s="11"/>
      <c r="H218" s="11">
        <f>H217-H212</f>
        <v>-0.38158730158729703</v>
      </c>
      <c r="I218" s="11"/>
      <c r="J218" s="11"/>
      <c r="K218" s="11">
        <f>K217-K212</f>
        <v>-5.7351351351340618E-2</v>
      </c>
      <c r="L218" s="11"/>
      <c r="M218" s="11"/>
      <c r="N218" s="11">
        <f>N217-N212</f>
        <v>0.30673796791444019</v>
      </c>
      <c r="O218" s="11"/>
      <c r="P218" s="11"/>
      <c r="Q218" s="11">
        <f>Q217-Q212</f>
        <v>-0.13263440860215336</v>
      </c>
      <c r="R218" s="11"/>
      <c r="S218" s="11"/>
      <c r="T218" s="11">
        <f>T217-T212</f>
        <v>-0.41470270270270415</v>
      </c>
      <c r="U218" s="11"/>
      <c r="V218" s="11"/>
      <c r="W218" s="11">
        <f>W217-W212</f>
        <v>-0.20299999999999985</v>
      </c>
      <c r="X218" s="11"/>
      <c r="Y218" s="11"/>
      <c r="Z218" s="12">
        <f>Z217-Z212</f>
        <v>0.13803468208092529</v>
      </c>
      <c r="BB218" s="20" t="s">
        <v>891</v>
      </c>
      <c r="BC218" s="3">
        <v>3.92</v>
      </c>
      <c r="BD218" s="3">
        <f t="shared" si="424"/>
        <v>3.92</v>
      </c>
      <c r="BE218" s="4">
        <f t="shared" si="425"/>
        <v>3.92</v>
      </c>
      <c r="BF218" s="3">
        <v>2.35</v>
      </c>
      <c r="BG218" s="3">
        <f t="shared" si="426"/>
        <v>2.35</v>
      </c>
      <c r="BH218" s="4" t="str">
        <f t="shared" si="427"/>
        <v/>
      </c>
      <c r="BI218" s="3">
        <v>4.1399999999999997</v>
      </c>
      <c r="BJ218" s="3">
        <f t="shared" si="428"/>
        <v>4.1399999999999997</v>
      </c>
      <c r="BK218" s="4">
        <f t="shared" si="429"/>
        <v>4.1399999999999997</v>
      </c>
      <c r="BL218" s="3">
        <v>4.2699999999999996</v>
      </c>
      <c r="BM218" s="3">
        <f t="shared" si="430"/>
        <v>4.2699999999999996</v>
      </c>
      <c r="BN218" s="4">
        <f t="shared" si="431"/>
        <v>4.2699999999999996</v>
      </c>
      <c r="BO218" s="3">
        <v>3.6</v>
      </c>
      <c r="BP218" s="3">
        <f t="shared" si="432"/>
        <v>3.6</v>
      </c>
      <c r="BQ218" s="4">
        <f t="shared" si="433"/>
        <v>3.6</v>
      </c>
      <c r="BR218" s="3">
        <v>3.11</v>
      </c>
      <c r="BS218" s="3">
        <f t="shared" si="434"/>
        <v>3.11</v>
      </c>
      <c r="BT218" s="4">
        <f t="shared" si="435"/>
        <v>3.11</v>
      </c>
      <c r="BU218" s="3">
        <v>1.65</v>
      </c>
      <c r="BV218" s="3">
        <f t="shared" si="436"/>
        <v>1.65</v>
      </c>
      <c r="BW218" s="4">
        <f t="shared" si="437"/>
        <v>1.65</v>
      </c>
      <c r="BX218" s="3">
        <v>1.31</v>
      </c>
      <c r="BY218" s="3">
        <f t="shared" si="438"/>
        <v>1.31</v>
      </c>
      <c r="BZ218" s="21">
        <f t="shared" si="439"/>
        <v>1.31</v>
      </c>
    </row>
    <row r="219" spans="2:78" ht="15.75" thickBot="1">
      <c r="B219" s="36" t="s">
        <v>544</v>
      </c>
      <c r="C219" s="13"/>
      <c r="D219" s="14"/>
      <c r="E219" s="14">
        <f>(E218/E212)*100</f>
        <v>1.3488459117892855</v>
      </c>
      <c r="F219" s="14"/>
      <c r="G219" s="14"/>
      <c r="H219" s="14">
        <f>(H218/H212)*100</f>
        <v>-8.6890519391331686</v>
      </c>
      <c r="I219" s="14"/>
      <c r="J219" s="14"/>
      <c r="K219" s="14">
        <f>(K218/K212)*100</f>
        <v>-1.0826420138568009</v>
      </c>
      <c r="L219" s="14"/>
      <c r="M219" s="14"/>
      <c r="N219" s="14">
        <f>(N218/N212)*100</f>
        <v>5.6145571292934164</v>
      </c>
      <c r="O219" s="14"/>
      <c r="P219" s="14"/>
      <c r="Q219" s="14">
        <f>(Q218/Q212)*100</f>
        <v>-3.0683697963956305</v>
      </c>
      <c r="R219" s="14"/>
      <c r="S219" s="14"/>
      <c r="T219" s="14">
        <f>(T218/T212)*100</f>
        <v>-8.6491849112759844</v>
      </c>
      <c r="U219" s="14"/>
      <c r="V219" s="14"/>
      <c r="W219" s="14">
        <f>(W218/W212)*100</f>
        <v>-11.580148317170556</v>
      </c>
      <c r="X219" s="14"/>
      <c r="Y219" s="14"/>
      <c r="Z219" s="15">
        <f>(Z218/Z212)*100</f>
        <v>6.0755629054827827</v>
      </c>
      <c r="BB219" s="20" t="s">
        <v>892</v>
      </c>
      <c r="BC219" s="3">
        <v>3.91</v>
      </c>
      <c r="BD219" s="3">
        <f t="shared" si="424"/>
        <v>3.91</v>
      </c>
      <c r="BE219" s="4">
        <f t="shared" si="425"/>
        <v>3.91</v>
      </c>
      <c r="BF219" s="3">
        <v>4.26</v>
      </c>
      <c r="BG219" s="3">
        <f t="shared" si="426"/>
        <v>4.26</v>
      </c>
      <c r="BH219" s="4">
        <f t="shared" si="427"/>
        <v>4.26</v>
      </c>
      <c r="BI219" s="3">
        <v>4.1500000000000004</v>
      </c>
      <c r="BJ219" s="3">
        <f t="shared" si="428"/>
        <v>4.1500000000000004</v>
      </c>
      <c r="BK219" s="4">
        <f t="shared" si="429"/>
        <v>4.1500000000000004</v>
      </c>
      <c r="BL219" s="3">
        <v>4.33</v>
      </c>
      <c r="BM219" s="3">
        <f t="shared" si="430"/>
        <v>4.33</v>
      </c>
      <c r="BN219" s="4">
        <f t="shared" si="431"/>
        <v>4.33</v>
      </c>
      <c r="BO219" s="3">
        <v>3.66</v>
      </c>
      <c r="BP219" s="3">
        <f t="shared" si="432"/>
        <v>3.66</v>
      </c>
      <c r="BQ219" s="4">
        <f t="shared" si="433"/>
        <v>3.66</v>
      </c>
      <c r="BR219" s="3">
        <v>1.44</v>
      </c>
      <c r="BS219" s="3">
        <f t="shared" si="434"/>
        <v>1.44</v>
      </c>
      <c r="BT219" s="4" t="str">
        <f t="shared" si="435"/>
        <v/>
      </c>
      <c r="BU219" s="3">
        <v>1.61</v>
      </c>
      <c r="BV219" s="3">
        <f t="shared" si="436"/>
        <v>1.61</v>
      </c>
      <c r="BW219" s="4">
        <f t="shared" si="437"/>
        <v>1.61</v>
      </c>
      <c r="BX219" s="3">
        <v>1.27</v>
      </c>
      <c r="BY219" s="3">
        <f t="shared" si="438"/>
        <v>1.27</v>
      </c>
      <c r="BZ219" s="21">
        <f t="shared" si="439"/>
        <v>1.27</v>
      </c>
    </row>
    <row r="220" spans="2:78" ht="15.75" thickBot="1">
      <c r="BB220" s="20" t="s">
        <v>893</v>
      </c>
      <c r="BC220" s="3">
        <v>3.9</v>
      </c>
      <c r="BD220" s="3">
        <f t="shared" si="424"/>
        <v>3.9</v>
      </c>
      <c r="BE220" s="4">
        <f t="shared" si="425"/>
        <v>3.9</v>
      </c>
      <c r="BF220" s="3">
        <v>4.28</v>
      </c>
      <c r="BG220" s="3">
        <f t="shared" si="426"/>
        <v>4.28</v>
      </c>
      <c r="BH220" s="4">
        <f t="shared" si="427"/>
        <v>4.28</v>
      </c>
      <c r="BI220" s="3">
        <v>4.18</v>
      </c>
      <c r="BJ220" s="3">
        <f t="shared" si="428"/>
        <v>4.18</v>
      </c>
      <c r="BK220" s="4">
        <f t="shared" si="429"/>
        <v>4.18</v>
      </c>
      <c r="BL220" s="3">
        <v>4.34</v>
      </c>
      <c r="BM220" s="3">
        <f t="shared" si="430"/>
        <v>4.34</v>
      </c>
      <c r="BN220" s="4">
        <f t="shared" si="431"/>
        <v>4.34</v>
      </c>
      <c r="BO220" s="3">
        <v>3.59</v>
      </c>
      <c r="BP220" s="3">
        <f t="shared" si="432"/>
        <v>3.59</v>
      </c>
      <c r="BQ220" s="4">
        <f t="shared" si="433"/>
        <v>3.59</v>
      </c>
      <c r="BR220" s="3">
        <v>3.1</v>
      </c>
      <c r="BS220" s="3">
        <f t="shared" si="434"/>
        <v>3.1</v>
      </c>
      <c r="BT220" s="4">
        <f t="shared" si="435"/>
        <v>3.1</v>
      </c>
      <c r="BU220" s="3">
        <v>1.61</v>
      </c>
      <c r="BV220" s="3">
        <f t="shared" si="436"/>
        <v>1.61</v>
      </c>
      <c r="BW220" s="4">
        <f t="shared" si="437"/>
        <v>1.61</v>
      </c>
      <c r="BX220" s="3">
        <v>1.22</v>
      </c>
      <c r="BY220" s="3">
        <f t="shared" si="438"/>
        <v>1.22</v>
      </c>
      <c r="BZ220" s="21">
        <f t="shared" si="439"/>
        <v>1.22</v>
      </c>
    </row>
    <row r="221" spans="2:78">
      <c r="B221" s="81" t="s">
        <v>553</v>
      </c>
      <c r="C221" s="7"/>
      <c r="D221" s="8"/>
      <c r="E221" s="8">
        <v>2.99</v>
      </c>
      <c r="F221" s="8"/>
      <c r="G221" s="8"/>
      <c r="H221" s="8">
        <v>4.18</v>
      </c>
      <c r="I221" s="8"/>
      <c r="J221" s="8"/>
      <c r="K221" s="8">
        <v>5.28</v>
      </c>
      <c r="L221" s="8"/>
      <c r="M221" s="8"/>
      <c r="N221" s="8">
        <v>5.69</v>
      </c>
      <c r="O221" s="8"/>
      <c r="P221" s="8"/>
      <c r="Q221" s="8">
        <v>4.22</v>
      </c>
      <c r="R221" s="8"/>
      <c r="S221" s="8"/>
      <c r="T221" s="8">
        <v>4.3899999999999997</v>
      </c>
      <c r="U221" s="8"/>
      <c r="V221" s="8"/>
      <c r="W221" s="8">
        <v>1.62</v>
      </c>
      <c r="X221" s="8"/>
      <c r="Y221" s="8"/>
      <c r="Z221" s="9">
        <v>2.44</v>
      </c>
      <c r="BB221" s="20" t="s">
        <v>894</v>
      </c>
      <c r="BC221" s="3">
        <v>3.94</v>
      </c>
      <c r="BD221" s="3">
        <f t="shared" si="424"/>
        <v>3.94</v>
      </c>
      <c r="BE221" s="4">
        <f t="shared" si="425"/>
        <v>3.94</v>
      </c>
      <c r="BF221" s="3">
        <v>3.73</v>
      </c>
      <c r="BG221" s="3">
        <f t="shared" si="426"/>
        <v>3.73</v>
      </c>
      <c r="BH221" s="4">
        <f t="shared" si="427"/>
        <v>3.73</v>
      </c>
      <c r="BI221" s="3">
        <v>2.89</v>
      </c>
      <c r="BJ221" s="3">
        <f t="shared" si="428"/>
        <v>2.89</v>
      </c>
      <c r="BK221" s="4" t="str">
        <f t="shared" si="429"/>
        <v/>
      </c>
      <c r="BL221" s="3">
        <v>4.32</v>
      </c>
      <c r="BM221" s="3">
        <f t="shared" si="430"/>
        <v>4.32</v>
      </c>
      <c r="BN221" s="4">
        <f t="shared" si="431"/>
        <v>4.32</v>
      </c>
      <c r="BO221" s="3">
        <v>3.63</v>
      </c>
      <c r="BP221" s="3">
        <f t="shared" si="432"/>
        <v>3.63</v>
      </c>
      <c r="BQ221" s="4">
        <f t="shared" si="433"/>
        <v>3.63</v>
      </c>
      <c r="BR221" s="3">
        <v>2.29</v>
      </c>
      <c r="BS221" s="3">
        <f t="shared" si="434"/>
        <v>2.29</v>
      </c>
      <c r="BT221" s="4" t="str">
        <f t="shared" si="435"/>
        <v/>
      </c>
      <c r="BU221" s="3">
        <v>1.62</v>
      </c>
      <c r="BV221" s="3">
        <f t="shared" si="436"/>
        <v>1.62</v>
      </c>
      <c r="BW221" s="4">
        <f t="shared" si="437"/>
        <v>1.62</v>
      </c>
      <c r="BX221" s="3">
        <v>1.2</v>
      </c>
      <c r="BY221" s="3">
        <f t="shared" si="438"/>
        <v>1.2</v>
      </c>
      <c r="BZ221" s="21">
        <f t="shared" si="439"/>
        <v>1.2</v>
      </c>
    </row>
    <row r="222" spans="2:78">
      <c r="B222" s="10" t="s">
        <v>539</v>
      </c>
      <c r="C222" s="10"/>
      <c r="D222" s="11"/>
      <c r="E222" s="11">
        <f>E221-E212</f>
        <v>-9.5408163265284784E-3</v>
      </c>
      <c r="F222" s="11"/>
      <c r="G222" s="11"/>
      <c r="H222" s="11">
        <f>H221-H212</f>
        <v>-0.21158730158729711</v>
      </c>
      <c r="I222" s="11"/>
      <c r="J222" s="11"/>
      <c r="K222" s="11">
        <f>K221-K212</f>
        <v>-1.7351351351340583E-2</v>
      </c>
      <c r="L222" s="11"/>
      <c r="M222" s="11"/>
      <c r="N222" s="11">
        <f>N221-N212</f>
        <v>0.22673796791444101</v>
      </c>
      <c r="O222" s="11"/>
      <c r="P222" s="11"/>
      <c r="Q222" s="11">
        <f>Q221-Q212</f>
        <v>-0.102634408602154</v>
      </c>
      <c r="R222" s="11"/>
      <c r="S222" s="11"/>
      <c r="T222" s="11">
        <f>T221-T212</f>
        <v>-0.40470270270270436</v>
      </c>
      <c r="U222" s="11"/>
      <c r="V222" s="11"/>
      <c r="W222" s="11">
        <f>W221-W212</f>
        <v>-0.13299999999999979</v>
      </c>
      <c r="X222" s="11"/>
      <c r="Y222" s="11"/>
      <c r="Z222" s="12">
        <f>Z221-Z212</f>
        <v>0.16803468208092509</v>
      </c>
      <c r="BB222" s="20" t="s">
        <v>895</v>
      </c>
      <c r="BC222" s="3">
        <v>3.93</v>
      </c>
      <c r="BD222" s="3">
        <f t="shared" si="424"/>
        <v>3.93</v>
      </c>
      <c r="BE222" s="4">
        <f t="shared" si="425"/>
        <v>3.93</v>
      </c>
      <c r="BF222" s="3">
        <v>4.29</v>
      </c>
      <c r="BG222" s="3">
        <f t="shared" si="426"/>
        <v>4.29</v>
      </c>
      <c r="BH222" s="4">
        <f t="shared" si="427"/>
        <v>4.29</v>
      </c>
      <c r="BI222" s="3">
        <v>4.17</v>
      </c>
      <c r="BJ222" s="3">
        <f t="shared" si="428"/>
        <v>4.17</v>
      </c>
      <c r="BK222" s="4">
        <f t="shared" si="429"/>
        <v>4.17</v>
      </c>
      <c r="BL222" s="3">
        <v>0.04</v>
      </c>
      <c r="BM222" s="3">
        <f t="shared" si="430"/>
        <v>0.04</v>
      </c>
      <c r="BN222" s="4" t="str">
        <f t="shared" si="431"/>
        <v/>
      </c>
      <c r="BO222" s="3">
        <v>3.57</v>
      </c>
      <c r="BP222" s="3">
        <f t="shared" si="432"/>
        <v>3.57</v>
      </c>
      <c r="BQ222" s="4">
        <f t="shared" si="433"/>
        <v>3.57</v>
      </c>
      <c r="BR222" s="3">
        <v>2.0699999999999998</v>
      </c>
      <c r="BS222" s="3">
        <f t="shared" si="434"/>
        <v>2.0699999999999998</v>
      </c>
      <c r="BT222" s="4" t="str">
        <f t="shared" si="435"/>
        <v/>
      </c>
      <c r="BU222" s="3">
        <v>1.63</v>
      </c>
      <c r="BV222" s="3">
        <f t="shared" si="436"/>
        <v>1.63</v>
      </c>
      <c r="BW222" s="4">
        <f t="shared" si="437"/>
        <v>1.63</v>
      </c>
      <c r="BX222" s="3">
        <v>1.23</v>
      </c>
      <c r="BY222" s="3">
        <f t="shared" si="438"/>
        <v>1.23</v>
      </c>
      <c r="BZ222" s="21">
        <f t="shared" si="439"/>
        <v>1.23</v>
      </c>
    </row>
    <row r="223" spans="2:78" ht="15.75" thickBot="1">
      <c r="B223" s="13" t="s">
        <v>544</v>
      </c>
      <c r="C223" s="13"/>
      <c r="D223" s="14"/>
      <c r="E223" s="14">
        <f>(E222/E212)*100</f>
        <v>-0.31807589597040076</v>
      </c>
      <c r="F223" s="14"/>
      <c r="G223" s="14"/>
      <c r="H223" s="14">
        <f t="shared" ref="H223:T223" si="441">(H222/H212)*100</f>
        <v>-4.8180142407921833</v>
      </c>
      <c r="I223" s="14"/>
      <c r="J223" s="14"/>
      <c r="K223" s="14">
        <f>(K222/K212)*100</f>
        <v>-0.32754767808471486</v>
      </c>
      <c r="L223" s="14"/>
      <c r="M223" s="14"/>
      <c r="N223" s="14">
        <f t="shared" si="441"/>
        <v>4.1502305139826046</v>
      </c>
      <c r="O223" s="14"/>
      <c r="P223" s="14"/>
      <c r="Q223" s="14">
        <f>(Q222/Q212)*100</f>
        <v>-2.3743485777540863</v>
      </c>
      <c r="R223" s="14"/>
      <c r="S223" s="14"/>
      <c r="T223" s="14">
        <f t="shared" si="441"/>
        <v>-8.4406214065072138</v>
      </c>
      <c r="U223" s="14"/>
      <c r="V223" s="14"/>
      <c r="W223" s="14">
        <f>(W222/W212)*100</f>
        <v>-7.5869937250427721</v>
      </c>
      <c r="X223" s="14"/>
      <c r="Y223" s="14"/>
      <c r="Z223" s="15">
        <f>(Z222/Z212)*100</f>
        <v>7.3960055972522696</v>
      </c>
      <c r="BB223" s="20" t="s">
        <v>896</v>
      </c>
      <c r="BC223" s="3">
        <v>3.92</v>
      </c>
      <c r="BD223" s="3">
        <f t="shared" si="424"/>
        <v>3.92</v>
      </c>
      <c r="BE223" s="4">
        <f t="shared" si="425"/>
        <v>3.92</v>
      </c>
      <c r="BF223" s="3">
        <v>4.3</v>
      </c>
      <c r="BG223" s="3">
        <f t="shared" si="426"/>
        <v>4.3</v>
      </c>
      <c r="BH223" s="4">
        <f t="shared" si="427"/>
        <v>4.3</v>
      </c>
      <c r="BI223" s="3">
        <v>4.17</v>
      </c>
      <c r="BJ223" s="3">
        <f t="shared" si="428"/>
        <v>4.17</v>
      </c>
      <c r="BK223" s="4">
        <f t="shared" si="429"/>
        <v>4.17</v>
      </c>
      <c r="BL223" s="3">
        <v>4.3099999999999996</v>
      </c>
      <c r="BM223" s="3">
        <f t="shared" si="430"/>
        <v>4.3099999999999996</v>
      </c>
      <c r="BN223" s="4">
        <f t="shared" si="431"/>
        <v>4.3099999999999996</v>
      </c>
      <c r="BO223" s="3">
        <v>3.63</v>
      </c>
      <c r="BP223" s="3">
        <f t="shared" si="432"/>
        <v>3.63</v>
      </c>
      <c r="BQ223" s="4">
        <f t="shared" si="433"/>
        <v>3.63</v>
      </c>
      <c r="BR223" s="3">
        <v>3.15</v>
      </c>
      <c r="BS223" s="3">
        <f t="shared" si="434"/>
        <v>3.15</v>
      </c>
      <c r="BT223" s="4">
        <f t="shared" si="435"/>
        <v>3.15</v>
      </c>
      <c r="BU223" s="3">
        <v>1.63</v>
      </c>
      <c r="BV223" s="3">
        <f t="shared" si="436"/>
        <v>1.63</v>
      </c>
      <c r="BW223" s="4">
        <f t="shared" si="437"/>
        <v>1.63</v>
      </c>
      <c r="BX223" s="3">
        <v>1.27</v>
      </c>
      <c r="BY223" s="3">
        <f t="shared" si="438"/>
        <v>1.27</v>
      </c>
      <c r="BZ223" s="21">
        <f t="shared" si="439"/>
        <v>1.27</v>
      </c>
    </row>
    <row r="224" spans="2:78" ht="15.75" thickBot="1">
      <c r="BB224" s="20" t="s">
        <v>897</v>
      </c>
      <c r="BC224" s="3">
        <v>3.89</v>
      </c>
      <c r="BD224" s="3">
        <f t="shared" si="424"/>
        <v>3.89</v>
      </c>
      <c r="BE224" s="4">
        <f t="shared" si="425"/>
        <v>3.89</v>
      </c>
      <c r="BF224" s="3">
        <v>4.26</v>
      </c>
      <c r="BG224" s="3">
        <f t="shared" si="426"/>
        <v>4.26</v>
      </c>
      <c r="BH224" s="4">
        <f t="shared" si="427"/>
        <v>4.26</v>
      </c>
      <c r="BI224" s="3">
        <v>4.16</v>
      </c>
      <c r="BJ224" s="3">
        <f t="shared" si="428"/>
        <v>4.16</v>
      </c>
      <c r="BK224" s="4">
        <f t="shared" si="429"/>
        <v>4.16</v>
      </c>
      <c r="BL224" s="3">
        <v>4.34</v>
      </c>
      <c r="BM224" s="3">
        <f t="shared" si="430"/>
        <v>4.34</v>
      </c>
      <c r="BN224" s="4">
        <f t="shared" si="431"/>
        <v>4.34</v>
      </c>
      <c r="BO224" s="3">
        <v>3.61</v>
      </c>
      <c r="BP224" s="3">
        <f t="shared" si="432"/>
        <v>3.61</v>
      </c>
      <c r="BQ224" s="4">
        <f t="shared" si="433"/>
        <v>3.61</v>
      </c>
      <c r="BR224" s="3">
        <v>3.12</v>
      </c>
      <c r="BS224" s="3">
        <f t="shared" si="434"/>
        <v>3.12</v>
      </c>
      <c r="BT224" s="4">
        <f t="shared" si="435"/>
        <v>3.12</v>
      </c>
      <c r="BU224" s="3">
        <v>1.64</v>
      </c>
      <c r="BV224" s="3">
        <f t="shared" si="436"/>
        <v>1.64</v>
      </c>
      <c r="BW224" s="4">
        <f t="shared" si="437"/>
        <v>1.64</v>
      </c>
      <c r="BX224" s="3">
        <v>1.23</v>
      </c>
      <c r="BY224" s="3">
        <f t="shared" si="438"/>
        <v>1.23</v>
      </c>
      <c r="BZ224" s="21">
        <f t="shared" si="439"/>
        <v>1.23</v>
      </c>
    </row>
    <row r="225" spans="2:78" ht="30">
      <c r="B225" s="81" t="s">
        <v>568</v>
      </c>
      <c r="C225" s="7"/>
      <c r="D225" s="8"/>
      <c r="E225" s="8">
        <v>2.99</v>
      </c>
      <c r="F225" s="8"/>
      <c r="G225" s="8"/>
      <c r="H225" s="8">
        <v>4.1900000000000004</v>
      </c>
      <c r="I225" s="8"/>
      <c r="J225" s="8"/>
      <c r="K225" s="8">
        <v>5.3</v>
      </c>
      <c r="L225" s="8"/>
      <c r="M225" s="8"/>
      <c r="N225" s="8">
        <v>5.73</v>
      </c>
      <c r="O225" s="8"/>
      <c r="P225" s="8"/>
      <c r="Q225" s="8">
        <v>4.24</v>
      </c>
      <c r="R225" s="8"/>
      <c r="S225" s="8"/>
      <c r="T225" s="8">
        <v>4.45</v>
      </c>
      <c r="U225" s="8"/>
      <c r="V225" s="8"/>
      <c r="W225" s="8">
        <v>1.61</v>
      </c>
      <c r="X225" s="8"/>
      <c r="Y225" s="8"/>
      <c r="Z225" s="9">
        <v>2.42</v>
      </c>
      <c r="BB225" s="20" t="s">
        <v>898</v>
      </c>
      <c r="BC225" s="3">
        <v>3.93</v>
      </c>
      <c r="BD225" s="3">
        <f t="shared" si="424"/>
        <v>3.93</v>
      </c>
      <c r="BE225" s="4">
        <f t="shared" si="425"/>
        <v>3.93</v>
      </c>
      <c r="BF225" s="3">
        <v>0.68</v>
      </c>
      <c r="BG225" s="3">
        <f t="shared" si="426"/>
        <v>0.68</v>
      </c>
      <c r="BH225" s="4" t="str">
        <f t="shared" si="427"/>
        <v/>
      </c>
      <c r="BI225" s="3">
        <v>4.1900000000000004</v>
      </c>
      <c r="BJ225" s="3">
        <f t="shared" si="428"/>
        <v>4.1900000000000004</v>
      </c>
      <c r="BK225" s="4">
        <f t="shared" si="429"/>
        <v>4.1900000000000004</v>
      </c>
      <c r="BL225" s="3">
        <v>4.2699999999999996</v>
      </c>
      <c r="BM225" s="3">
        <f t="shared" si="430"/>
        <v>4.2699999999999996</v>
      </c>
      <c r="BN225" s="4">
        <f t="shared" si="431"/>
        <v>4.2699999999999996</v>
      </c>
      <c r="BO225" s="3">
        <v>3.58</v>
      </c>
      <c r="BP225" s="3">
        <f t="shared" si="432"/>
        <v>3.58</v>
      </c>
      <c r="BQ225" s="4">
        <f t="shared" si="433"/>
        <v>3.58</v>
      </c>
      <c r="BR225" s="3">
        <v>3.16</v>
      </c>
      <c r="BS225" s="3">
        <f t="shared" si="434"/>
        <v>3.16</v>
      </c>
      <c r="BT225" s="4">
        <f t="shared" si="435"/>
        <v>3.16</v>
      </c>
      <c r="BU225" s="3">
        <v>1.63</v>
      </c>
      <c r="BV225" s="3">
        <f t="shared" si="436"/>
        <v>1.63</v>
      </c>
      <c r="BW225" s="4">
        <f t="shared" si="437"/>
        <v>1.63</v>
      </c>
      <c r="BX225" s="3">
        <v>1.21</v>
      </c>
      <c r="BY225" s="3">
        <f t="shared" si="438"/>
        <v>1.21</v>
      </c>
      <c r="BZ225" s="21">
        <f t="shared" si="439"/>
        <v>1.21</v>
      </c>
    </row>
    <row r="226" spans="2:78">
      <c r="B226" s="10" t="s">
        <v>539</v>
      </c>
      <c r="C226" s="10"/>
      <c r="D226" s="11"/>
      <c r="E226" s="11">
        <f>E225-E212</f>
        <v>-9.5408163265284784E-3</v>
      </c>
      <c r="F226" s="11"/>
      <c r="G226" s="11"/>
      <c r="H226" s="11">
        <f t="shared" ref="H226:Z226" si="442">H225-H212</f>
        <v>-0.20158730158729643</v>
      </c>
      <c r="I226" s="11"/>
      <c r="J226" s="11"/>
      <c r="K226" s="11">
        <f t="shared" si="442"/>
        <v>2.6486486486589911E-3</v>
      </c>
      <c r="L226" s="11"/>
      <c r="M226" s="11"/>
      <c r="N226" s="11">
        <f t="shared" si="442"/>
        <v>0.26673796791444104</v>
      </c>
      <c r="O226" s="11"/>
      <c r="P226" s="11"/>
      <c r="Q226" s="11">
        <f t="shared" si="442"/>
        <v>-8.2634408602153542E-2</v>
      </c>
      <c r="R226" s="11"/>
      <c r="S226" s="11"/>
      <c r="T226" s="11">
        <f t="shared" si="442"/>
        <v>-0.34470270270270387</v>
      </c>
      <c r="U226" s="11"/>
      <c r="V226" s="11"/>
      <c r="W226" s="11">
        <f t="shared" si="442"/>
        <v>-0.14299999999999979</v>
      </c>
      <c r="X226" s="11"/>
      <c r="Y226" s="11"/>
      <c r="Z226" s="12">
        <f t="shared" si="442"/>
        <v>0.14803468208092507</v>
      </c>
      <c r="BB226" s="20" t="s">
        <v>899</v>
      </c>
      <c r="BC226" s="3">
        <v>3.93</v>
      </c>
      <c r="BD226" s="3">
        <f t="shared" si="424"/>
        <v>3.93</v>
      </c>
      <c r="BE226" s="4">
        <f t="shared" si="425"/>
        <v>3.93</v>
      </c>
      <c r="BF226" s="3">
        <v>4.25</v>
      </c>
      <c r="BG226" s="3">
        <f t="shared" si="426"/>
        <v>4.25</v>
      </c>
      <c r="BH226" s="4">
        <f t="shared" si="427"/>
        <v>4.25</v>
      </c>
      <c r="BI226" s="3">
        <v>4.12</v>
      </c>
      <c r="BJ226" s="3">
        <f t="shared" si="428"/>
        <v>4.12</v>
      </c>
      <c r="BK226" s="4">
        <f t="shared" si="429"/>
        <v>4.12</v>
      </c>
      <c r="BL226" s="3">
        <v>4.3099999999999996</v>
      </c>
      <c r="BM226" s="3">
        <f t="shared" si="430"/>
        <v>4.3099999999999996</v>
      </c>
      <c r="BN226" s="4">
        <f t="shared" si="431"/>
        <v>4.3099999999999996</v>
      </c>
      <c r="BO226" s="3">
        <v>3.66</v>
      </c>
      <c r="BP226" s="3">
        <f t="shared" si="432"/>
        <v>3.66</v>
      </c>
      <c r="BQ226" s="4">
        <f t="shared" si="433"/>
        <v>3.66</v>
      </c>
      <c r="BR226" s="3">
        <v>3.13</v>
      </c>
      <c r="BS226" s="3">
        <f t="shared" si="434"/>
        <v>3.13</v>
      </c>
      <c r="BT226" s="4">
        <f t="shared" si="435"/>
        <v>3.13</v>
      </c>
      <c r="BU226" s="3">
        <v>1.65</v>
      </c>
      <c r="BV226" s="3">
        <f t="shared" si="436"/>
        <v>1.65</v>
      </c>
      <c r="BW226" s="4">
        <f t="shared" si="437"/>
        <v>1.65</v>
      </c>
      <c r="BX226" s="3">
        <v>1.1599999999999999</v>
      </c>
      <c r="BY226" s="3">
        <f t="shared" si="438"/>
        <v>1.1599999999999999</v>
      </c>
      <c r="BZ226" s="21">
        <f t="shared" si="439"/>
        <v>1.1599999999999999</v>
      </c>
    </row>
    <row r="227" spans="2:78" ht="15.75" thickBot="1">
      <c r="B227" s="13" t="s">
        <v>544</v>
      </c>
      <c r="C227" s="13"/>
      <c r="D227" s="14"/>
      <c r="E227" s="14">
        <f>(E226/E212)*100</f>
        <v>-0.31807589597040076</v>
      </c>
      <c r="F227" s="14"/>
      <c r="G227" s="14"/>
      <c r="H227" s="14">
        <f t="shared" ref="H227:Z227" si="443">(H226/H212)*100</f>
        <v>-4.5903061408897567</v>
      </c>
      <c r="I227" s="14"/>
      <c r="J227" s="14"/>
      <c r="K227" s="14">
        <f t="shared" si="443"/>
        <v>4.999948980131981E-2</v>
      </c>
      <c r="L227" s="14"/>
      <c r="M227" s="14"/>
      <c r="N227" s="14">
        <f t="shared" si="443"/>
        <v>4.8823938216380185</v>
      </c>
      <c r="O227" s="14"/>
      <c r="P227" s="14"/>
      <c r="Q227" s="14">
        <f t="shared" si="443"/>
        <v>-1.9116677653263698</v>
      </c>
      <c r="R227" s="14"/>
      <c r="S227" s="14"/>
      <c r="T227" s="14">
        <f t="shared" si="443"/>
        <v>-7.1892403778945457</v>
      </c>
      <c r="U227" s="14"/>
      <c r="V227" s="14"/>
      <c r="W227" s="14">
        <f t="shared" si="443"/>
        <v>-8.1574443810610262</v>
      </c>
      <c r="X227" s="14"/>
      <c r="Y227" s="14"/>
      <c r="Z227" s="15">
        <f t="shared" si="443"/>
        <v>6.5157104694059385</v>
      </c>
      <c r="BB227" s="20" t="s">
        <v>900</v>
      </c>
      <c r="BC227" s="3">
        <v>3.9</v>
      </c>
      <c r="BD227" s="3">
        <f t="shared" si="424"/>
        <v>3.9</v>
      </c>
      <c r="BE227" s="4">
        <f t="shared" si="425"/>
        <v>3.9</v>
      </c>
      <c r="BF227" s="3">
        <v>4.2699999999999996</v>
      </c>
      <c r="BG227" s="3">
        <f t="shared" si="426"/>
        <v>4.2699999999999996</v>
      </c>
      <c r="BH227" s="4">
        <f t="shared" si="427"/>
        <v>4.2699999999999996</v>
      </c>
      <c r="BI227" s="3">
        <v>4.21</v>
      </c>
      <c r="BJ227" s="3">
        <f t="shared" si="428"/>
        <v>4.21</v>
      </c>
      <c r="BK227" s="4">
        <f t="shared" si="429"/>
        <v>4.21</v>
      </c>
      <c r="BL227" s="3">
        <v>4.32</v>
      </c>
      <c r="BM227" s="3">
        <f t="shared" si="430"/>
        <v>4.32</v>
      </c>
      <c r="BN227" s="4">
        <f t="shared" si="431"/>
        <v>4.32</v>
      </c>
      <c r="BO227" s="3">
        <v>3.6</v>
      </c>
      <c r="BP227" s="3">
        <f t="shared" si="432"/>
        <v>3.6</v>
      </c>
      <c r="BQ227" s="4">
        <f t="shared" si="433"/>
        <v>3.6</v>
      </c>
      <c r="BR227" s="3">
        <v>3.13</v>
      </c>
      <c r="BS227" s="3">
        <f t="shared" si="434"/>
        <v>3.13</v>
      </c>
      <c r="BT227" s="4">
        <f t="shared" si="435"/>
        <v>3.13</v>
      </c>
      <c r="BU227" s="3">
        <v>1.63</v>
      </c>
      <c r="BV227" s="3">
        <f t="shared" si="436"/>
        <v>1.63</v>
      </c>
      <c r="BW227" s="4">
        <f t="shared" si="437"/>
        <v>1.63</v>
      </c>
      <c r="BX227" s="3">
        <v>1.23</v>
      </c>
      <c r="BY227" s="3">
        <f t="shared" si="438"/>
        <v>1.23</v>
      </c>
      <c r="BZ227" s="21">
        <f t="shared" si="439"/>
        <v>1.23</v>
      </c>
    </row>
    <row r="228" spans="2:78">
      <c r="BB228" s="20" t="s">
        <v>901</v>
      </c>
      <c r="BC228" s="3">
        <v>3.9</v>
      </c>
      <c r="BD228" s="3">
        <f t="shared" si="424"/>
        <v>3.9</v>
      </c>
      <c r="BE228" s="4">
        <f t="shared" si="425"/>
        <v>3.9</v>
      </c>
      <c r="BF228" s="3">
        <v>4.2699999999999996</v>
      </c>
      <c r="BG228" s="3">
        <f t="shared" si="426"/>
        <v>4.2699999999999996</v>
      </c>
      <c r="BH228" s="4">
        <f t="shared" si="427"/>
        <v>4.2699999999999996</v>
      </c>
      <c r="BI228" s="3">
        <v>4.1500000000000004</v>
      </c>
      <c r="BJ228" s="3">
        <f t="shared" si="428"/>
        <v>4.1500000000000004</v>
      </c>
      <c r="BK228" s="4">
        <f t="shared" si="429"/>
        <v>4.1500000000000004</v>
      </c>
      <c r="BL228" s="3">
        <v>3.84</v>
      </c>
      <c r="BM228" s="3">
        <f t="shared" si="430"/>
        <v>3.84</v>
      </c>
      <c r="BN228" s="4">
        <f t="shared" si="431"/>
        <v>3.84</v>
      </c>
      <c r="BO228" s="3">
        <v>3.6</v>
      </c>
      <c r="BP228" s="3">
        <f t="shared" si="432"/>
        <v>3.6</v>
      </c>
      <c r="BQ228" s="4">
        <f t="shared" si="433"/>
        <v>3.6</v>
      </c>
      <c r="BR228" s="3">
        <v>3.13</v>
      </c>
      <c r="BS228" s="3">
        <f t="shared" si="434"/>
        <v>3.13</v>
      </c>
      <c r="BT228" s="4">
        <f t="shared" si="435"/>
        <v>3.13</v>
      </c>
      <c r="BU228" s="3">
        <v>1.64</v>
      </c>
      <c r="BV228" s="3">
        <f t="shared" si="436"/>
        <v>1.64</v>
      </c>
      <c r="BW228" s="4">
        <f t="shared" si="437"/>
        <v>1.64</v>
      </c>
      <c r="BX228" s="3">
        <v>1.22</v>
      </c>
      <c r="BY228" s="3">
        <f t="shared" si="438"/>
        <v>1.22</v>
      </c>
      <c r="BZ228" s="21">
        <f t="shared" si="439"/>
        <v>1.22</v>
      </c>
    </row>
    <row r="229" spans="2:78">
      <c r="BB229" s="20" t="s">
        <v>902</v>
      </c>
      <c r="BC229" s="3">
        <v>3.92</v>
      </c>
      <c r="BD229" s="3">
        <f t="shared" si="424"/>
        <v>3.92</v>
      </c>
      <c r="BE229" s="4">
        <f t="shared" si="425"/>
        <v>3.92</v>
      </c>
      <c r="BF229" s="3">
        <v>4.2699999999999996</v>
      </c>
      <c r="BG229" s="3">
        <f t="shared" si="426"/>
        <v>4.2699999999999996</v>
      </c>
      <c r="BH229" s="4">
        <f t="shared" si="427"/>
        <v>4.2699999999999996</v>
      </c>
      <c r="BI229" s="3">
        <v>0.43</v>
      </c>
      <c r="BJ229" s="3">
        <f t="shared" si="428"/>
        <v>0.43</v>
      </c>
      <c r="BK229" s="4" t="str">
        <f t="shared" si="429"/>
        <v/>
      </c>
      <c r="BL229" s="3">
        <v>4.34</v>
      </c>
      <c r="BM229" s="3">
        <f t="shared" si="430"/>
        <v>4.34</v>
      </c>
      <c r="BN229" s="4">
        <f t="shared" si="431"/>
        <v>4.34</v>
      </c>
      <c r="BO229" s="3">
        <v>99.99</v>
      </c>
      <c r="BP229" s="3" t="str">
        <f t="shared" si="432"/>
        <v/>
      </c>
      <c r="BQ229" s="4" t="str">
        <f t="shared" si="433"/>
        <v/>
      </c>
      <c r="BR229" s="3">
        <v>3.12</v>
      </c>
      <c r="BS229" s="3">
        <f t="shared" si="434"/>
        <v>3.12</v>
      </c>
      <c r="BT229" s="4">
        <f t="shared" si="435"/>
        <v>3.12</v>
      </c>
      <c r="BU229" s="3">
        <v>1.59</v>
      </c>
      <c r="BV229" s="3">
        <f t="shared" si="436"/>
        <v>1.59</v>
      </c>
      <c r="BW229" s="4">
        <f t="shared" si="437"/>
        <v>1.59</v>
      </c>
      <c r="BX229" s="3">
        <v>1.24</v>
      </c>
      <c r="BY229" s="3">
        <f t="shared" si="438"/>
        <v>1.24</v>
      </c>
      <c r="BZ229" s="21">
        <f t="shared" si="439"/>
        <v>1.24</v>
      </c>
    </row>
    <row r="230" spans="2:78">
      <c r="BB230" s="20" t="s">
        <v>903</v>
      </c>
      <c r="BC230" s="3">
        <v>3.92</v>
      </c>
      <c r="BD230" s="3">
        <f t="shared" si="424"/>
        <v>3.92</v>
      </c>
      <c r="BE230" s="4">
        <f t="shared" si="425"/>
        <v>3.92</v>
      </c>
      <c r="BF230" s="3">
        <v>4.25</v>
      </c>
      <c r="BG230" s="3">
        <f t="shared" si="426"/>
        <v>4.25</v>
      </c>
      <c r="BH230" s="4">
        <f t="shared" si="427"/>
        <v>4.25</v>
      </c>
      <c r="BI230" s="3">
        <v>3.86</v>
      </c>
      <c r="BJ230" s="3">
        <f t="shared" si="428"/>
        <v>3.86</v>
      </c>
      <c r="BK230" s="4">
        <f t="shared" si="429"/>
        <v>3.86</v>
      </c>
      <c r="BL230" s="3">
        <v>4.3099999999999996</v>
      </c>
      <c r="BM230" s="3">
        <f t="shared" si="430"/>
        <v>4.3099999999999996</v>
      </c>
      <c r="BN230" s="4">
        <f t="shared" si="431"/>
        <v>4.3099999999999996</v>
      </c>
      <c r="BO230" s="3">
        <v>3.58</v>
      </c>
      <c r="BP230" s="3">
        <f t="shared" si="432"/>
        <v>3.58</v>
      </c>
      <c r="BQ230" s="4">
        <f t="shared" si="433"/>
        <v>3.58</v>
      </c>
      <c r="BR230" s="3">
        <v>3.11</v>
      </c>
      <c r="BS230" s="3">
        <f t="shared" si="434"/>
        <v>3.11</v>
      </c>
      <c r="BT230" s="4">
        <f t="shared" si="435"/>
        <v>3.11</v>
      </c>
      <c r="BU230" s="3">
        <v>1.66</v>
      </c>
      <c r="BV230" s="3">
        <f t="shared" si="436"/>
        <v>1.66</v>
      </c>
      <c r="BW230" s="4">
        <f t="shared" si="437"/>
        <v>1.66</v>
      </c>
      <c r="BX230" s="3">
        <v>1.21</v>
      </c>
      <c r="BY230" s="3">
        <f t="shared" si="438"/>
        <v>1.21</v>
      </c>
      <c r="BZ230" s="21">
        <f t="shared" si="439"/>
        <v>1.21</v>
      </c>
    </row>
    <row r="231" spans="2:78">
      <c r="BB231" s="20" t="s">
        <v>904</v>
      </c>
      <c r="BC231" s="3">
        <v>3.97</v>
      </c>
      <c r="BD231" s="3">
        <f t="shared" si="424"/>
        <v>3.97</v>
      </c>
      <c r="BE231" s="4">
        <f t="shared" si="425"/>
        <v>3.97</v>
      </c>
      <c r="BF231" s="3">
        <v>4.26</v>
      </c>
      <c r="BG231" s="3">
        <f t="shared" si="426"/>
        <v>4.26</v>
      </c>
      <c r="BH231" s="4">
        <f t="shared" si="427"/>
        <v>4.26</v>
      </c>
      <c r="BI231" s="3">
        <v>4.0999999999999996</v>
      </c>
      <c r="BJ231" s="3">
        <f t="shared" si="428"/>
        <v>4.0999999999999996</v>
      </c>
      <c r="BK231" s="4">
        <f t="shared" si="429"/>
        <v>4.0999999999999996</v>
      </c>
      <c r="BL231" s="3">
        <v>4.29</v>
      </c>
      <c r="BM231" s="3">
        <f t="shared" si="430"/>
        <v>4.29</v>
      </c>
      <c r="BN231" s="4">
        <f t="shared" si="431"/>
        <v>4.29</v>
      </c>
      <c r="BO231" s="3">
        <v>3.57</v>
      </c>
      <c r="BP231" s="3">
        <f t="shared" si="432"/>
        <v>3.57</v>
      </c>
      <c r="BQ231" s="4">
        <f t="shared" si="433"/>
        <v>3.57</v>
      </c>
      <c r="BR231" s="3">
        <v>3.14</v>
      </c>
      <c r="BS231" s="3">
        <f t="shared" si="434"/>
        <v>3.14</v>
      </c>
      <c r="BT231" s="4">
        <f t="shared" si="435"/>
        <v>3.14</v>
      </c>
      <c r="BU231" s="3">
        <v>1.62</v>
      </c>
      <c r="BV231" s="3">
        <f t="shared" si="436"/>
        <v>1.62</v>
      </c>
      <c r="BW231" s="4">
        <f t="shared" si="437"/>
        <v>1.62</v>
      </c>
      <c r="BX231" s="3">
        <v>1.19</v>
      </c>
      <c r="BY231" s="3">
        <f t="shared" si="438"/>
        <v>1.19</v>
      </c>
      <c r="BZ231" s="21">
        <f t="shared" si="439"/>
        <v>1.19</v>
      </c>
    </row>
    <row r="232" spans="2:78">
      <c r="BB232" s="20" t="s">
        <v>905</v>
      </c>
      <c r="BC232" s="3">
        <v>3.94</v>
      </c>
      <c r="BD232" s="3">
        <f t="shared" si="424"/>
        <v>3.94</v>
      </c>
      <c r="BE232" s="4">
        <f t="shared" si="425"/>
        <v>3.94</v>
      </c>
      <c r="BF232" s="3">
        <v>4.29</v>
      </c>
      <c r="BG232" s="3">
        <f t="shared" si="426"/>
        <v>4.29</v>
      </c>
      <c r="BH232" s="4">
        <f t="shared" si="427"/>
        <v>4.29</v>
      </c>
      <c r="BI232" s="3">
        <v>4.2</v>
      </c>
      <c r="BJ232" s="3">
        <f t="shared" si="428"/>
        <v>4.2</v>
      </c>
      <c r="BK232" s="4">
        <f t="shared" si="429"/>
        <v>4.2</v>
      </c>
      <c r="BL232" s="3">
        <v>4.29</v>
      </c>
      <c r="BM232" s="3">
        <f t="shared" si="430"/>
        <v>4.29</v>
      </c>
      <c r="BN232" s="4">
        <f t="shared" si="431"/>
        <v>4.29</v>
      </c>
      <c r="BO232" s="3">
        <v>3.56</v>
      </c>
      <c r="BP232" s="3">
        <f t="shared" si="432"/>
        <v>3.56</v>
      </c>
      <c r="BQ232" s="4">
        <f t="shared" si="433"/>
        <v>3.56</v>
      </c>
      <c r="BR232" s="3">
        <v>3.14</v>
      </c>
      <c r="BS232" s="3">
        <f t="shared" si="434"/>
        <v>3.14</v>
      </c>
      <c r="BT232" s="4">
        <f t="shared" si="435"/>
        <v>3.14</v>
      </c>
      <c r="BU232" s="3">
        <v>1.62</v>
      </c>
      <c r="BV232" s="3">
        <f t="shared" si="436"/>
        <v>1.62</v>
      </c>
      <c r="BW232" s="4">
        <f t="shared" si="437"/>
        <v>1.62</v>
      </c>
      <c r="BX232" s="3">
        <v>0.97</v>
      </c>
      <c r="BY232" s="3">
        <f t="shared" si="438"/>
        <v>0.97</v>
      </c>
      <c r="BZ232" s="21" t="str">
        <f t="shared" si="439"/>
        <v/>
      </c>
    </row>
    <row r="233" spans="2:78">
      <c r="BB233" s="20" t="s">
        <v>906</v>
      </c>
      <c r="BC233" s="3">
        <v>2.91</v>
      </c>
      <c r="BD233" s="3">
        <f t="shared" si="424"/>
        <v>2.91</v>
      </c>
      <c r="BE233" s="4" t="str">
        <f t="shared" si="425"/>
        <v/>
      </c>
      <c r="BF233" s="3">
        <v>4.29</v>
      </c>
      <c r="BG233" s="3">
        <f t="shared" si="426"/>
        <v>4.29</v>
      </c>
      <c r="BH233" s="4">
        <f t="shared" si="427"/>
        <v>4.29</v>
      </c>
      <c r="BI233" s="3">
        <v>4.22</v>
      </c>
      <c r="BJ233" s="3">
        <f t="shared" si="428"/>
        <v>4.22</v>
      </c>
      <c r="BK233" s="4">
        <f t="shared" si="429"/>
        <v>4.22</v>
      </c>
      <c r="BL233" s="3">
        <v>4.33</v>
      </c>
      <c r="BM233" s="3">
        <f t="shared" si="430"/>
        <v>4.33</v>
      </c>
      <c r="BN233" s="4">
        <f t="shared" si="431"/>
        <v>4.33</v>
      </c>
      <c r="BO233" s="3">
        <v>3.63</v>
      </c>
      <c r="BP233" s="3">
        <f t="shared" si="432"/>
        <v>3.63</v>
      </c>
      <c r="BQ233" s="4">
        <f t="shared" si="433"/>
        <v>3.63</v>
      </c>
      <c r="BR233" s="3">
        <v>3.12</v>
      </c>
      <c r="BS233" s="3">
        <f t="shared" si="434"/>
        <v>3.12</v>
      </c>
      <c r="BT233" s="4">
        <f t="shared" si="435"/>
        <v>3.12</v>
      </c>
      <c r="BU233" s="3">
        <v>1.63</v>
      </c>
      <c r="BV233" s="3">
        <f t="shared" si="436"/>
        <v>1.63</v>
      </c>
      <c r="BW233" s="4">
        <f t="shared" si="437"/>
        <v>1.63</v>
      </c>
      <c r="BX233" s="3">
        <v>1.23</v>
      </c>
      <c r="BY233" s="3">
        <f t="shared" si="438"/>
        <v>1.23</v>
      </c>
      <c r="BZ233" s="21">
        <f t="shared" si="439"/>
        <v>1.23</v>
      </c>
    </row>
    <row r="234" spans="2:78">
      <c r="BB234" s="20" t="s">
        <v>907</v>
      </c>
      <c r="BC234" s="3">
        <v>3.95</v>
      </c>
      <c r="BD234" s="3">
        <f t="shared" si="424"/>
        <v>3.95</v>
      </c>
      <c r="BE234" s="4">
        <f t="shared" si="425"/>
        <v>3.95</v>
      </c>
      <c r="BF234" s="3">
        <v>4.28</v>
      </c>
      <c r="BG234" s="3">
        <f t="shared" si="426"/>
        <v>4.28</v>
      </c>
      <c r="BH234" s="4">
        <f t="shared" si="427"/>
        <v>4.28</v>
      </c>
      <c r="BI234" s="3">
        <v>4.1500000000000004</v>
      </c>
      <c r="BJ234" s="3">
        <f t="shared" si="428"/>
        <v>4.1500000000000004</v>
      </c>
      <c r="BK234" s="4">
        <f t="shared" si="429"/>
        <v>4.1500000000000004</v>
      </c>
      <c r="BL234" s="3">
        <v>4.3</v>
      </c>
      <c r="BM234" s="3">
        <f t="shared" si="430"/>
        <v>4.3</v>
      </c>
      <c r="BN234" s="4">
        <f t="shared" si="431"/>
        <v>4.3</v>
      </c>
      <c r="BO234" s="3">
        <v>3.61</v>
      </c>
      <c r="BP234" s="3">
        <f t="shared" si="432"/>
        <v>3.61</v>
      </c>
      <c r="BQ234" s="4">
        <f t="shared" si="433"/>
        <v>3.61</v>
      </c>
      <c r="BR234" s="3">
        <v>3.14</v>
      </c>
      <c r="BS234" s="3">
        <f t="shared" si="434"/>
        <v>3.14</v>
      </c>
      <c r="BT234" s="4">
        <f t="shared" si="435"/>
        <v>3.14</v>
      </c>
      <c r="BU234" s="3">
        <v>1.63</v>
      </c>
      <c r="BV234" s="3">
        <f t="shared" si="436"/>
        <v>1.63</v>
      </c>
      <c r="BW234" s="4">
        <f t="shared" si="437"/>
        <v>1.63</v>
      </c>
      <c r="BX234" s="3">
        <v>1.25</v>
      </c>
      <c r="BY234" s="3">
        <f t="shared" si="438"/>
        <v>1.25</v>
      </c>
      <c r="BZ234" s="21">
        <f t="shared" si="439"/>
        <v>1.25</v>
      </c>
    </row>
    <row r="235" spans="2:78">
      <c r="BB235" s="20" t="s">
        <v>908</v>
      </c>
      <c r="BC235" s="3">
        <v>3.9</v>
      </c>
      <c r="BD235" s="3">
        <f t="shared" si="424"/>
        <v>3.9</v>
      </c>
      <c r="BE235" s="4">
        <f t="shared" si="425"/>
        <v>3.9</v>
      </c>
      <c r="BF235" s="3">
        <v>4.25</v>
      </c>
      <c r="BG235" s="3">
        <f t="shared" si="426"/>
        <v>4.25</v>
      </c>
      <c r="BH235" s="4">
        <f t="shared" si="427"/>
        <v>4.25</v>
      </c>
      <c r="BI235" s="3">
        <v>4.13</v>
      </c>
      <c r="BJ235" s="3">
        <f t="shared" si="428"/>
        <v>4.13</v>
      </c>
      <c r="BK235" s="4">
        <f t="shared" si="429"/>
        <v>4.13</v>
      </c>
      <c r="BL235" s="3">
        <v>0.7</v>
      </c>
      <c r="BM235" s="3">
        <f t="shared" si="430"/>
        <v>0.7</v>
      </c>
      <c r="BN235" s="4" t="str">
        <f t="shared" si="431"/>
        <v/>
      </c>
      <c r="BO235" s="3">
        <v>1.9</v>
      </c>
      <c r="BP235" s="3">
        <f t="shared" si="432"/>
        <v>1.9</v>
      </c>
      <c r="BQ235" s="4" t="str">
        <f t="shared" si="433"/>
        <v/>
      </c>
      <c r="BR235" s="3">
        <v>1.83</v>
      </c>
      <c r="BS235" s="3">
        <f t="shared" si="434"/>
        <v>1.83</v>
      </c>
      <c r="BT235" s="4" t="str">
        <f t="shared" si="435"/>
        <v/>
      </c>
      <c r="BU235" s="3">
        <v>1.63</v>
      </c>
      <c r="BV235" s="3">
        <f t="shared" si="436"/>
        <v>1.63</v>
      </c>
      <c r="BW235" s="4">
        <f t="shared" si="437"/>
        <v>1.63</v>
      </c>
      <c r="BX235" s="3">
        <v>1.23</v>
      </c>
      <c r="BY235" s="3">
        <f t="shared" si="438"/>
        <v>1.23</v>
      </c>
      <c r="BZ235" s="21">
        <f t="shared" si="439"/>
        <v>1.23</v>
      </c>
    </row>
    <row r="236" spans="2:78">
      <c r="BB236" s="20" t="s">
        <v>909</v>
      </c>
      <c r="BC236" s="3">
        <v>3.9</v>
      </c>
      <c r="BD236" s="3">
        <f t="shared" si="424"/>
        <v>3.9</v>
      </c>
      <c r="BE236" s="4">
        <f t="shared" si="425"/>
        <v>3.9</v>
      </c>
      <c r="BF236" s="3">
        <v>4.26</v>
      </c>
      <c r="BG236" s="3">
        <f t="shared" si="426"/>
        <v>4.26</v>
      </c>
      <c r="BH236" s="4">
        <f t="shared" si="427"/>
        <v>4.26</v>
      </c>
      <c r="BI236" s="3">
        <v>4.12</v>
      </c>
      <c r="BJ236" s="3">
        <f t="shared" si="428"/>
        <v>4.12</v>
      </c>
      <c r="BK236" s="4">
        <f t="shared" si="429"/>
        <v>4.12</v>
      </c>
      <c r="BL236" s="3">
        <v>4.3</v>
      </c>
      <c r="BM236" s="3">
        <f t="shared" si="430"/>
        <v>4.3</v>
      </c>
      <c r="BN236" s="4">
        <f t="shared" si="431"/>
        <v>4.3</v>
      </c>
      <c r="BO236" s="3">
        <v>3.57</v>
      </c>
      <c r="BP236" s="3">
        <f t="shared" si="432"/>
        <v>3.57</v>
      </c>
      <c r="BQ236" s="4">
        <f t="shared" si="433"/>
        <v>3.57</v>
      </c>
      <c r="BR236" s="3">
        <v>3.13</v>
      </c>
      <c r="BS236" s="3">
        <f t="shared" si="434"/>
        <v>3.13</v>
      </c>
      <c r="BT236" s="4">
        <f t="shared" si="435"/>
        <v>3.13</v>
      </c>
      <c r="BU236" s="3">
        <v>1.6</v>
      </c>
      <c r="BV236" s="3">
        <f t="shared" si="436"/>
        <v>1.6</v>
      </c>
      <c r="BW236" s="4">
        <f t="shared" si="437"/>
        <v>1.6</v>
      </c>
      <c r="BX236" s="3">
        <v>1.3</v>
      </c>
      <c r="BY236" s="3">
        <f t="shared" si="438"/>
        <v>1.3</v>
      </c>
      <c r="BZ236" s="21">
        <f t="shared" si="439"/>
        <v>1.3</v>
      </c>
    </row>
    <row r="237" spans="2:78">
      <c r="BB237" s="20" t="s">
        <v>910</v>
      </c>
      <c r="BC237" s="3">
        <v>3.9</v>
      </c>
      <c r="BD237" s="3">
        <f t="shared" si="424"/>
        <v>3.9</v>
      </c>
      <c r="BE237" s="4">
        <f t="shared" si="425"/>
        <v>3.9</v>
      </c>
      <c r="BF237" s="3">
        <v>4.2699999999999996</v>
      </c>
      <c r="BG237" s="3">
        <f t="shared" si="426"/>
        <v>4.2699999999999996</v>
      </c>
      <c r="BH237" s="4">
        <f t="shared" si="427"/>
        <v>4.2699999999999996</v>
      </c>
      <c r="BI237" s="3">
        <v>4.1900000000000004</v>
      </c>
      <c r="BJ237" s="3">
        <f t="shared" si="428"/>
        <v>4.1900000000000004</v>
      </c>
      <c r="BK237" s="4">
        <f t="shared" si="429"/>
        <v>4.1900000000000004</v>
      </c>
      <c r="BL237" s="3">
        <v>1.5</v>
      </c>
      <c r="BM237" s="3">
        <f t="shared" si="430"/>
        <v>1.5</v>
      </c>
      <c r="BN237" s="4" t="str">
        <f t="shared" si="431"/>
        <v/>
      </c>
      <c r="BO237" s="3">
        <v>3.58</v>
      </c>
      <c r="BP237" s="3">
        <f t="shared" si="432"/>
        <v>3.58</v>
      </c>
      <c r="BQ237" s="4">
        <f t="shared" si="433"/>
        <v>3.58</v>
      </c>
      <c r="BR237" s="3">
        <v>3.12</v>
      </c>
      <c r="BS237" s="3">
        <f t="shared" si="434"/>
        <v>3.12</v>
      </c>
      <c r="BT237" s="4">
        <f t="shared" si="435"/>
        <v>3.12</v>
      </c>
      <c r="BU237" s="3">
        <v>1.63</v>
      </c>
      <c r="BV237" s="3">
        <f t="shared" si="436"/>
        <v>1.63</v>
      </c>
      <c r="BW237" s="4">
        <f t="shared" si="437"/>
        <v>1.63</v>
      </c>
      <c r="BX237" s="3">
        <v>1.22</v>
      </c>
      <c r="BY237" s="3">
        <f t="shared" si="438"/>
        <v>1.22</v>
      </c>
      <c r="BZ237" s="21">
        <f t="shared" si="439"/>
        <v>1.22</v>
      </c>
    </row>
    <row r="238" spans="2:78">
      <c r="BB238" s="20" t="s">
        <v>911</v>
      </c>
      <c r="BC238" s="3">
        <v>3.91</v>
      </c>
      <c r="BD238" s="3">
        <f t="shared" si="424"/>
        <v>3.91</v>
      </c>
      <c r="BE238" s="4">
        <f t="shared" si="425"/>
        <v>3.91</v>
      </c>
      <c r="BF238" s="3">
        <v>4.29</v>
      </c>
      <c r="BG238" s="3">
        <f t="shared" si="426"/>
        <v>4.29</v>
      </c>
      <c r="BH238" s="4">
        <f t="shared" si="427"/>
        <v>4.29</v>
      </c>
      <c r="BI238" s="3">
        <v>4.1500000000000004</v>
      </c>
      <c r="BJ238" s="3">
        <f t="shared" si="428"/>
        <v>4.1500000000000004</v>
      </c>
      <c r="BK238" s="4">
        <f t="shared" si="429"/>
        <v>4.1500000000000004</v>
      </c>
      <c r="BL238" s="3">
        <v>4.3</v>
      </c>
      <c r="BM238" s="3">
        <f t="shared" si="430"/>
        <v>4.3</v>
      </c>
      <c r="BN238" s="4">
        <f t="shared" si="431"/>
        <v>4.3</v>
      </c>
      <c r="BO238" s="3">
        <v>3.6</v>
      </c>
      <c r="BP238" s="3">
        <f t="shared" si="432"/>
        <v>3.6</v>
      </c>
      <c r="BQ238" s="4">
        <f t="shared" si="433"/>
        <v>3.6</v>
      </c>
      <c r="BR238" s="3">
        <v>3.13</v>
      </c>
      <c r="BS238" s="3">
        <f t="shared" si="434"/>
        <v>3.13</v>
      </c>
      <c r="BT238" s="4">
        <f t="shared" si="435"/>
        <v>3.13</v>
      </c>
      <c r="BU238" s="3">
        <v>1.62</v>
      </c>
      <c r="BV238" s="3">
        <f t="shared" si="436"/>
        <v>1.62</v>
      </c>
      <c r="BW238" s="4">
        <f t="shared" si="437"/>
        <v>1.62</v>
      </c>
      <c r="BX238" s="3">
        <v>1.19</v>
      </c>
      <c r="BY238" s="3">
        <f t="shared" si="438"/>
        <v>1.19</v>
      </c>
      <c r="BZ238" s="21">
        <f t="shared" si="439"/>
        <v>1.19</v>
      </c>
    </row>
    <row r="239" spans="2:78">
      <c r="BB239" s="20" t="s">
        <v>912</v>
      </c>
      <c r="BC239" s="3">
        <v>3.92</v>
      </c>
      <c r="BD239" s="3">
        <f t="shared" si="424"/>
        <v>3.92</v>
      </c>
      <c r="BE239" s="4">
        <f t="shared" si="425"/>
        <v>3.92</v>
      </c>
      <c r="BF239" s="3">
        <v>4.26</v>
      </c>
      <c r="BG239" s="3">
        <f t="shared" si="426"/>
        <v>4.26</v>
      </c>
      <c r="BH239" s="4">
        <f t="shared" si="427"/>
        <v>4.26</v>
      </c>
      <c r="BI239" s="3">
        <v>4.12</v>
      </c>
      <c r="BJ239" s="3">
        <f t="shared" si="428"/>
        <v>4.12</v>
      </c>
      <c r="BK239" s="4">
        <f t="shared" si="429"/>
        <v>4.12</v>
      </c>
      <c r="BL239" s="3">
        <v>4.3499999999999996</v>
      </c>
      <c r="BM239" s="3">
        <f t="shared" si="430"/>
        <v>4.3499999999999996</v>
      </c>
      <c r="BN239" s="4">
        <f t="shared" si="431"/>
        <v>4.3499999999999996</v>
      </c>
      <c r="BO239" s="3">
        <v>3.57</v>
      </c>
      <c r="BP239" s="3">
        <f t="shared" si="432"/>
        <v>3.57</v>
      </c>
      <c r="BQ239" s="4">
        <f t="shared" si="433"/>
        <v>3.57</v>
      </c>
      <c r="BR239" s="3">
        <v>3.14</v>
      </c>
      <c r="BS239" s="3">
        <f t="shared" si="434"/>
        <v>3.14</v>
      </c>
      <c r="BT239" s="4">
        <f t="shared" si="435"/>
        <v>3.14</v>
      </c>
      <c r="BU239" s="3">
        <v>1.64</v>
      </c>
      <c r="BV239" s="3">
        <f t="shared" si="436"/>
        <v>1.64</v>
      </c>
      <c r="BW239" s="4">
        <f t="shared" si="437"/>
        <v>1.64</v>
      </c>
      <c r="BX239" s="3">
        <v>1.29</v>
      </c>
      <c r="BY239" s="3">
        <f t="shared" si="438"/>
        <v>1.29</v>
      </c>
      <c r="BZ239" s="21">
        <f t="shared" si="439"/>
        <v>1.29</v>
      </c>
    </row>
    <row r="240" spans="2:78">
      <c r="BB240" s="20" t="s">
        <v>913</v>
      </c>
      <c r="BC240" s="3">
        <v>3.93</v>
      </c>
      <c r="BD240" s="3">
        <f t="shared" si="424"/>
        <v>3.93</v>
      </c>
      <c r="BE240" s="4">
        <f t="shared" si="425"/>
        <v>3.93</v>
      </c>
      <c r="BF240" s="3">
        <v>4.28</v>
      </c>
      <c r="BG240" s="3">
        <f t="shared" si="426"/>
        <v>4.28</v>
      </c>
      <c r="BH240" s="4">
        <f t="shared" si="427"/>
        <v>4.28</v>
      </c>
      <c r="BI240" s="3">
        <v>4.13</v>
      </c>
      <c r="BJ240" s="3">
        <f t="shared" si="428"/>
        <v>4.13</v>
      </c>
      <c r="BK240" s="4">
        <f t="shared" si="429"/>
        <v>4.13</v>
      </c>
      <c r="BL240" s="3">
        <v>4.34</v>
      </c>
      <c r="BM240" s="3">
        <f t="shared" si="430"/>
        <v>4.34</v>
      </c>
      <c r="BN240" s="4">
        <f t="shared" si="431"/>
        <v>4.34</v>
      </c>
      <c r="BO240" s="3">
        <v>3.59</v>
      </c>
      <c r="BP240" s="3">
        <f t="shared" si="432"/>
        <v>3.59</v>
      </c>
      <c r="BQ240" s="4">
        <f t="shared" si="433"/>
        <v>3.59</v>
      </c>
      <c r="BR240" s="3">
        <v>2.5499999999999998</v>
      </c>
      <c r="BS240" s="3">
        <f t="shared" si="434"/>
        <v>2.5499999999999998</v>
      </c>
      <c r="BT240" s="4">
        <f t="shared" si="435"/>
        <v>2.5499999999999998</v>
      </c>
      <c r="BU240" s="3">
        <v>1.61</v>
      </c>
      <c r="BV240" s="3">
        <f t="shared" si="436"/>
        <v>1.61</v>
      </c>
      <c r="BW240" s="4">
        <f t="shared" si="437"/>
        <v>1.61</v>
      </c>
      <c r="BX240" s="3">
        <v>1.17</v>
      </c>
      <c r="BY240" s="3">
        <f t="shared" si="438"/>
        <v>1.17</v>
      </c>
      <c r="BZ240" s="21">
        <f t="shared" si="439"/>
        <v>1.17</v>
      </c>
    </row>
    <row r="241" spans="54:78">
      <c r="BB241" s="20" t="s">
        <v>914</v>
      </c>
      <c r="BC241" s="3">
        <v>3.89</v>
      </c>
      <c r="BD241" s="3">
        <f t="shared" si="424"/>
        <v>3.89</v>
      </c>
      <c r="BE241" s="4">
        <f t="shared" si="425"/>
        <v>3.89</v>
      </c>
      <c r="BF241" s="3">
        <v>4.24</v>
      </c>
      <c r="BG241" s="3">
        <f t="shared" si="426"/>
        <v>4.24</v>
      </c>
      <c r="BH241" s="4">
        <f t="shared" si="427"/>
        <v>4.24</v>
      </c>
      <c r="BI241" s="3">
        <v>4.24</v>
      </c>
      <c r="BJ241" s="3">
        <f t="shared" si="428"/>
        <v>4.24</v>
      </c>
      <c r="BK241" s="4">
        <f t="shared" si="429"/>
        <v>4.24</v>
      </c>
      <c r="BL241" s="3">
        <v>4.32</v>
      </c>
      <c r="BM241" s="3">
        <f t="shared" si="430"/>
        <v>4.32</v>
      </c>
      <c r="BN241" s="4">
        <f t="shared" si="431"/>
        <v>4.32</v>
      </c>
      <c r="BO241" s="3">
        <v>3.57</v>
      </c>
      <c r="BP241" s="3">
        <f t="shared" si="432"/>
        <v>3.57</v>
      </c>
      <c r="BQ241" s="4">
        <f t="shared" si="433"/>
        <v>3.57</v>
      </c>
      <c r="BR241" s="3">
        <v>3.13</v>
      </c>
      <c r="BS241" s="3">
        <f t="shared" si="434"/>
        <v>3.13</v>
      </c>
      <c r="BT241" s="4">
        <f t="shared" si="435"/>
        <v>3.13</v>
      </c>
      <c r="BU241" s="3">
        <v>1.64</v>
      </c>
      <c r="BV241" s="3">
        <f t="shared" si="436"/>
        <v>1.64</v>
      </c>
      <c r="BW241" s="4">
        <f t="shared" si="437"/>
        <v>1.64</v>
      </c>
      <c r="BX241" s="3">
        <v>1.25</v>
      </c>
      <c r="BY241" s="3">
        <f t="shared" si="438"/>
        <v>1.25</v>
      </c>
      <c r="BZ241" s="21">
        <f t="shared" si="439"/>
        <v>1.25</v>
      </c>
    </row>
    <row r="242" spans="54:78">
      <c r="BB242" s="20" t="s">
        <v>915</v>
      </c>
      <c r="BC242" s="3">
        <v>3.93</v>
      </c>
      <c r="BD242" s="3">
        <f t="shared" si="424"/>
        <v>3.93</v>
      </c>
      <c r="BE242" s="4">
        <f t="shared" si="425"/>
        <v>3.93</v>
      </c>
      <c r="BF242" s="3">
        <v>4.28</v>
      </c>
      <c r="BG242" s="3">
        <f t="shared" si="426"/>
        <v>4.28</v>
      </c>
      <c r="BH242" s="4">
        <f t="shared" si="427"/>
        <v>4.28</v>
      </c>
      <c r="BI242" s="3">
        <v>4.16</v>
      </c>
      <c r="BJ242" s="3">
        <f t="shared" si="428"/>
        <v>4.16</v>
      </c>
      <c r="BK242" s="4">
        <f t="shared" si="429"/>
        <v>4.16</v>
      </c>
      <c r="BL242" s="3">
        <v>4.3</v>
      </c>
      <c r="BM242" s="3">
        <f t="shared" si="430"/>
        <v>4.3</v>
      </c>
      <c r="BN242" s="4">
        <f t="shared" si="431"/>
        <v>4.3</v>
      </c>
      <c r="BO242" s="3">
        <v>3.64</v>
      </c>
      <c r="BP242" s="3">
        <f t="shared" si="432"/>
        <v>3.64</v>
      </c>
      <c r="BQ242" s="4">
        <f t="shared" si="433"/>
        <v>3.64</v>
      </c>
      <c r="BR242" s="3">
        <v>3.11</v>
      </c>
      <c r="BS242" s="3">
        <f t="shared" si="434"/>
        <v>3.11</v>
      </c>
      <c r="BT242" s="4">
        <f t="shared" si="435"/>
        <v>3.11</v>
      </c>
      <c r="BU242" s="3">
        <v>1.65</v>
      </c>
      <c r="BV242" s="3">
        <f t="shared" si="436"/>
        <v>1.65</v>
      </c>
      <c r="BW242" s="4">
        <f t="shared" si="437"/>
        <v>1.65</v>
      </c>
      <c r="BX242" s="3">
        <v>1.25</v>
      </c>
      <c r="BY242" s="3">
        <f t="shared" si="438"/>
        <v>1.25</v>
      </c>
      <c r="BZ242" s="21">
        <f t="shared" si="439"/>
        <v>1.25</v>
      </c>
    </row>
    <row r="243" spans="54:78">
      <c r="BB243" s="20" t="s">
        <v>916</v>
      </c>
      <c r="BC243" s="3">
        <v>3.9</v>
      </c>
      <c r="BD243" s="3">
        <f t="shared" si="424"/>
        <v>3.9</v>
      </c>
      <c r="BE243" s="4">
        <f t="shared" si="425"/>
        <v>3.9</v>
      </c>
      <c r="BF243" s="3">
        <v>4.28</v>
      </c>
      <c r="BG243" s="3">
        <f t="shared" si="426"/>
        <v>4.28</v>
      </c>
      <c r="BH243" s="4">
        <f t="shared" si="427"/>
        <v>4.28</v>
      </c>
      <c r="BI243" s="3">
        <v>4.1900000000000004</v>
      </c>
      <c r="BJ243" s="3">
        <f t="shared" si="428"/>
        <v>4.1900000000000004</v>
      </c>
      <c r="BK243" s="4">
        <f t="shared" si="429"/>
        <v>4.1900000000000004</v>
      </c>
      <c r="BL243" s="3">
        <v>4.3</v>
      </c>
      <c r="BM243" s="3">
        <f t="shared" si="430"/>
        <v>4.3</v>
      </c>
      <c r="BN243" s="4">
        <f t="shared" si="431"/>
        <v>4.3</v>
      </c>
      <c r="BO243" s="3">
        <v>3.61</v>
      </c>
      <c r="BP243" s="3">
        <f t="shared" si="432"/>
        <v>3.61</v>
      </c>
      <c r="BQ243" s="4">
        <f t="shared" si="433"/>
        <v>3.61</v>
      </c>
      <c r="BR243" s="3">
        <v>3.13</v>
      </c>
      <c r="BS243" s="3">
        <f t="shared" si="434"/>
        <v>3.13</v>
      </c>
      <c r="BT243" s="4">
        <f t="shared" si="435"/>
        <v>3.13</v>
      </c>
      <c r="BU243" s="3">
        <v>1.62</v>
      </c>
      <c r="BV243" s="3">
        <f t="shared" si="436"/>
        <v>1.62</v>
      </c>
      <c r="BW243" s="4">
        <f t="shared" si="437"/>
        <v>1.62</v>
      </c>
      <c r="BX243" s="3">
        <v>1.26</v>
      </c>
      <c r="BY243" s="3">
        <f t="shared" si="438"/>
        <v>1.26</v>
      </c>
      <c r="BZ243" s="21">
        <f t="shared" si="439"/>
        <v>1.26</v>
      </c>
    </row>
    <row r="244" spans="54:78">
      <c r="BB244" s="20" t="s">
        <v>917</v>
      </c>
      <c r="BC244" s="3">
        <v>3.9</v>
      </c>
      <c r="BD244" s="3">
        <f t="shared" si="424"/>
        <v>3.9</v>
      </c>
      <c r="BE244" s="4">
        <f t="shared" si="425"/>
        <v>3.9</v>
      </c>
      <c r="BF244" s="3">
        <v>4.28</v>
      </c>
      <c r="BG244" s="3">
        <f t="shared" si="426"/>
        <v>4.28</v>
      </c>
      <c r="BH244" s="4">
        <f t="shared" si="427"/>
        <v>4.28</v>
      </c>
      <c r="BI244" s="3">
        <v>4.1399999999999997</v>
      </c>
      <c r="BJ244" s="3">
        <f t="shared" si="428"/>
        <v>4.1399999999999997</v>
      </c>
      <c r="BK244" s="4">
        <f t="shared" si="429"/>
        <v>4.1399999999999997</v>
      </c>
      <c r="BL244" s="3">
        <v>4.3</v>
      </c>
      <c r="BM244" s="3">
        <f t="shared" si="430"/>
        <v>4.3</v>
      </c>
      <c r="BN244" s="4">
        <f t="shared" si="431"/>
        <v>4.3</v>
      </c>
      <c r="BO244" s="3">
        <v>3.64</v>
      </c>
      <c r="BP244" s="3">
        <f t="shared" si="432"/>
        <v>3.64</v>
      </c>
      <c r="BQ244" s="4">
        <f t="shared" si="433"/>
        <v>3.64</v>
      </c>
      <c r="BR244" s="3">
        <v>3.13</v>
      </c>
      <c r="BS244" s="3">
        <f t="shared" si="434"/>
        <v>3.13</v>
      </c>
      <c r="BT244" s="4">
        <f t="shared" si="435"/>
        <v>3.13</v>
      </c>
      <c r="BU244" s="3">
        <v>1.61</v>
      </c>
      <c r="BV244" s="3">
        <f t="shared" si="436"/>
        <v>1.61</v>
      </c>
      <c r="BW244" s="4">
        <f t="shared" si="437"/>
        <v>1.61</v>
      </c>
      <c r="BX244" s="3">
        <v>1.28</v>
      </c>
      <c r="BY244" s="3">
        <f t="shared" si="438"/>
        <v>1.28</v>
      </c>
      <c r="BZ244" s="21">
        <f t="shared" si="439"/>
        <v>1.28</v>
      </c>
    </row>
    <row r="245" spans="54:78">
      <c r="BB245" s="20" t="s">
        <v>918</v>
      </c>
      <c r="BC245" s="3">
        <v>3.96</v>
      </c>
      <c r="BD245" s="3">
        <f t="shared" si="424"/>
        <v>3.96</v>
      </c>
      <c r="BE245" s="4">
        <f t="shared" si="425"/>
        <v>3.96</v>
      </c>
      <c r="BF245" s="3">
        <v>4.2699999999999996</v>
      </c>
      <c r="BG245" s="3">
        <f t="shared" si="426"/>
        <v>4.2699999999999996</v>
      </c>
      <c r="BH245" s="4">
        <f t="shared" si="427"/>
        <v>4.2699999999999996</v>
      </c>
      <c r="BI245" s="3">
        <v>4.1399999999999997</v>
      </c>
      <c r="BJ245" s="3">
        <f t="shared" si="428"/>
        <v>4.1399999999999997</v>
      </c>
      <c r="BK245" s="4">
        <f t="shared" si="429"/>
        <v>4.1399999999999997</v>
      </c>
      <c r="BL245" s="3">
        <v>4.32</v>
      </c>
      <c r="BM245" s="3">
        <f t="shared" si="430"/>
        <v>4.32</v>
      </c>
      <c r="BN245" s="4">
        <f t="shared" si="431"/>
        <v>4.32</v>
      </c>
      <c r="BO245" s="3">
        <v>3.6</v>
      </c>
      <c r="BP245" s="3">
        <f t="shared" si="432"/>
        <v>3.6</v>
      </c>
      <c r="BQ245" s="4">
        <f t="shared" si="433"/>
        <v>3.6</v>
      </c>
      <c r="BR245" s="3">
        <v>3.13</v>
      </c>
      <c r="BS245" s="3">
        <f t="shared" si="434"/>
        <v>3.13</v>
      </c>
      <c r="BT245" s="4">
        <f t="shared" si="435"/>
        <v>3.13</v>
      </c>
      <c r="BU245" s="3">
        <v>1.61</v>
      </c>
      <c r="BV245" s="3">
        <f t="shared" si="436"/>
        <v>1.61</v>
      </c>
      <c r="BW245" s="4">
        <f t="shared" si="437"/>
        <v>1.61</v>
      </c>
      <c r="BX245" s="3">
        <v>1.25</v>
      </c>
      <c r="BY245" s="3">
        <f t="shared" si="438"/>
        <v>1.25</v>
      </c>
      <c r="BZ245" s="21">
        <f t="shared" si="439"/>
        <v>1.25</v>
      </c>
    </row>
    <row r="246" spans="54:78">
      <c r="BB246" s="20" t="s">
        <v>919</v>
      </c>
      <c r="BC246" s="3">
        <v>3.9</v>
      </c>
      <c r="BD246" s="3">
        <f t="shared" si="424"/>
        <v>3.9</v>
      </c>
      <c r="BE246" s="4">
        <f t="shared" si="425"/>
        <v>3.9</v>
      </c>
      <c r="BF246" s="3">
        <v>4.28</v>
      </c>
      <c r="BG246" s="3">
        <f t="shared" si="426"/>
        <v>4.28</v>
      </c>
      <c r="BH246" s="4">
        <f t="shared" si="427"/>
        <v>4.28</v>
      </c>
      <c r="BI246" s="3">
        <v>4.16</v>
      </c>
      <c r="BJ246" s="3">
        <f t="shared" si="428"/>
        <v>4.16</v>
      </c>
      <c r="BK246" s="4">
        <f t="shared" si="429"/>
        <v>4.16</v>
      </c>
      <c r="BL246" s="3">
        <v>4.34</v>
      </c>
      <c r="BM246" s="3">
        <f t="shared" si="430"/>
        <v>4.34</v>
      </c>
      <c r="BN246" s="4">
        <f t="shared" si="431"/>
        <v>4.34</v>
      </c>
      <c r="BO246" s="3">
        <v>3.61</v>
      </c>
      <c r="BP246" s="3">
        <f t="shared" si="432"/>
        <v>3.61</v>
      </c>
      <c r="BQ246" s="4">
        <f t="shared" si="433"/>
        <v>3.61</v>
      </c>
      <c r="BR246" s="3">
        <v>0.62</v>
      </c>
      <c r="BS246" s="3">
        <f t="shared" si="434"/>
        <v>0.62</v>
      </c>
      <c r="BT246" s="4" t="str">
        <f t="shared" si="435"/>
        <v/>
      </c>
      <c r="BU246" s="3">
        <v>1.66</v>
      </c>
      <c r="BV246" s="3">
        <f t="shared" si="436"/>
        <v>1.66</v>
      </c>
      <c r="BW246" s="4">
        <f t="shared" si="437"/>
        <v>1.66</v>
      </c>
      <c r="BX246" s="3">
        <v>1.27</v>
      </c>
      <c r="BY246" s="3">
        <f t="shared" si="438"/>
        <v>1.27</v>
      </c>
      <c r="BZ246" s="21">
        <f t="shared" si="439"/>
        <v>1.27</v>
      </c>
    </row>
    <row r="247" spans="54:78">
      <c r="BB247" s="20" t="s">
        <v>920</v>
      </c>
      <c r="BC247" s="3">
        <v>3.93</v>
      </c>
      <c r="BD247" s="3">
        <f t="shared" si="424"/>
        <v>3.93</v>
      </c>
      <c r="BE247" s="4">
        <f t="shared" si="425"/>
        <v>3.93</v>
      </c>
      <c r="BF247" s="3">
        <v>0.52</v>
      </c>
      <c r="BG247" s="3">
        <f t="shared" si="426"/>
        <v>0.52</v>
      </c>
      <c r="BH247" s="4" t="str">
        <f t="shared" si="427"/>
        <v/>
      </c>
      <c r="BI247" s="3">
        <v>4.16</v>
      </c>
      <c r="BJ247" s="3">
        <f t="shared" si="428"/>
        <v>4.16</v>
      </c>
      <c r="BK247" s="4">
        <f t="shared" si="429"/>
        <v>4.16</v>
      </c>
      <c r="BL247" s="3">
        <v>4.37</v>
      </c>
      <c r="BM247" s="3">
        <f t="shared" si="430"/>
        <v>4.37</v>
      </c>
      <c r="BN247" s="4">
        <f t="shared" si="431"/>
        <v>4.37</v>
      </c>
      <c r="BO247" s="3">
        <v>2.2799999999999998</v>
      </c>
      <c r="BP247" s="3">
        <f t="shared" si="432"/>
        <v>2.2799999999999998</v>
      </c>
      <c r="BQ247" s="4" t="str">
        <f t="shared" si="433"/>
        <v/>
      </c>
      <c r="BR247" s="3">
        <v>3.14</v>
      </c>
      <c r="BS247" s="3">
        <f t="shared" si="434"/>
        <v>3.14</v>
      </c>
      <c r="BT247" s="4">
        <f t="shared" si="435"/>
        <v>3.14</v>
      </c>
      <c r="BU247" s="3">
        <v>1.65</v>
      </c>
      <c r="BV247" s="3">
        <f t="shared" si="436"/>
        <v>1.65</v>
      </c>
      <c r="BW247" s="4">
        <f t="shared" si="437"/>
        <v>1.65</v>
      </c>
      <c r="BX247" s="3">
        <v>1.24</v>
      </c>
      <c r="BY247" s="3">
        <f t="shared" si="438"/>
        <v>1.24</v>
      </c>
      <c r="BZ247" s="21">
        <f t="shared" si="439"/>
        <v>1.24</v>
      </c>
    </row>
    <row r="248" spans="54:78">
      <c r="BB248" s="20" t="s">
        <v>921</v>
      </c>
      <c r="BC248" s="3">
        <v>3.92</v>
      </c>
      <c r="BD248" s="3">
        <f t="shared" si="424"/>
        <v>3.92</v>
      </c>
      <c r="BE248" s="4">
        <f t="shared" si="425"/>
        <v>3.92</v>
      </c>
      <c r="BF248" s="3">
        <v>4.28</v>
      </c>
      <c r="BG248" s="3">
        <f t="shared" si="426"/>
        <v>4.28</v>
      </c>
      <c r="BH248" s="4">
        <f t="shared" si="427"/>
        <v>4.28</v>
      </c>
      <c r="BI248" s="3">
        <v>4.1399999999999997</v>
      </c>
      <c r="BJ248" s="3">
        <f t="shared" si="428"/>
        <v>4.1399999999999997</v>
      </c>
      <c r="BK248" s="4">
        <f t="shared" si="429"/>
        <v>4.1399999999999997</v>
      </c>
      <c r="BL248" s="3">
        <v>4.37</v>
      </c>
      <c r="BM248" s="3">
        <f t="shared" si="430"/>
        <v>4.37</v>
      </c>
      <c r="BN248" s="4">
        <f t="shared" si="431"/>
        <v>4.37</v>
      </c>
      <c r="BO248" s="3">
        <v>3.6</v>
      </c>
      <c r="BP248" s="3">
        <f t="shared" si="432"/>
        <v>3.6</v>
      </c>
      <c r="BQ248" s="4">
        <f t="shared" si="433"/>
        <v>3.6</v>
      </c>
      <c r="BR248" s="3">
        <v>3.09</v>
      </c>
      <c r="BS248" s="3">
        <f t="shared" si="434"/>
        <v>3.09</v>
      </c>
      <c r="BT248" s="4">
        <f t="shared" si="435"/>
        <v>3.09</v>
      </c>
      <c r="BU248" s="3">
        <v>1.62</v>
      </c>
      <c r="BV248" s="3">
        <f t="shared" si="436"/>
        <v>1.62</v>
      </c>
      <c r="BW248" s="4">
        <f t="shared" si="437"/>
        <v>1.62</v>
      </c>
      <c r="BX248" s="3">
        <v>1.23</v>
      </c>
      <c r="BY248" s="3">
        <f t="shared" si="438"/>
        <v>1.23</v>
      </c>
      <c r="BZ248" s="21">
        <f t="shared" si="439"/>
        <v>1.23</v>
      </c>
    </row>
    <row r="249" spans="54:78">
      <c r="BB249" s="20" t="s">
        <v>922</v>
      </c>
      <c r="BC249" s="3">
        <v>3.9</v>
      </c>
      <c r="BD249" s="3">
        <f t="shared" si="424"/>
        <v>3.9</v>
      </c>
      <c r="BE249" s="4">
        <f t="shared" si="425"/>
        <v>3.9</v>
      </c>
      <c r="BF249" s="3">
        <v>4.2699999999999996</v>
      </c>
      <c r="BG249" s="3">
        <f t="shared" si="426"/>
        <v>4.2699999999999996</v>
      </c>
      <c r="BH249" s="4">
        <f t="shared" si="427"/>
        <v>4.2699999999999996</v>
      </c>
      <c r="BI249" s="3">
        <v>2.75</v>
      </c>
      <c r="BJ249" s="3">
        <f t="shared" si="428"/>
        <v>2.75</v>
      </c>
      <c r="BK249" s="4" t="str">
        <f t="shared" si="429"/>
        <v/>
      </c>
      <c r="BL249" s="3">
        <v>4.29</v>
      </c>
      <c r="BM249" s="3">
        <f t="shared" si="430"/>
        <v>4.29</v>
      </c>
      <c r="BN249" s="4">
        <f t="shared" si="431"/>
        <v>4.29</v>
      </c>
      <c r="BO249" s="3">
        <v>3.57</v>
      </c>
      <c r="BP249" s="3">
        <f t="shared" si="432"/>
        <v>3.57</v>
      </c>
      <c r="BQ249" s="4">
        <f t="shared" si="433"/>
        <v>3.57</v>
      </c>
      <c r="BR249" s="3">
        <v>3.15</v>
      </c>
      <c r="BS249" s="3">
        <f t="shared" si="434"/>
        <v>3.15</v>
      </c>
      <c r="BT249" s="4">
        <f t="shared" si="435"/>
        <v>3.15</v>
      </c>
      <c r="BU249" s="3">
        <v>1.65</v>
      </c>
      <c r="BV249" s="3">
        <f t="shared" si="436"/>
        <v>1.65</v>
      </c>
      <c r="BW249" s="4">
        <f t="shared" si="437"/>
        <v>1.65</v>
      </c>
      <c r="BX249" s="3">
        <v>1.29</v>
      </c>
      <c r="BY249" s="3">
        <f t="shared" si="438"/>
        <v>1.29</v>
      </c>
      <c r="BZ249" s="21">
        <f t="shared" si="439"/>
        <v>1.29</v>
      </c>
    </row>
    <row r="250" spans="54:78">
      <c r="BB250" s="20" t="s">
        <v>923</v>
      </c>
      <c r="BC250" s="3">
        <v>3.9</v>
      </c>
      <c r="BD250" s="3">
        <f t="shared" si="424"/>
        <v>3.9</v>
      </c>
      <c r="BE250" s="4">
        <f t="shared" si="425"/>
        <v>3.9</v>
      </c>
      <c r="BF250" s="3">
        <v>4.26</v>
      </c>
      <c r="BG250" s="3">
        <f t="shared" si="426"/>
        <v>4.26</v>
      </c>
      <c r="BH250" s="4">
        <f t="shared" si="427"/>
        <v>4.26</v>
      </c>
      <c r="BI250" s="3">
        <v>4.18</v>
      </c>
      <c r="BJ250" s="3">
        <f t="shared" si="428"/>
        <v>4.18</v>
      </c>
      <c r="BK250" s="4">
        <f t="shared" si="429"/>
        <v>4.18</v>
      </c>
      <c r="BL250" s="3">
        <v>4.29</v>
      </c>
      <c r="BM250" s="3">
        <f t="shared" si="430"/>
        <v>4.29</v>
      </c>
      <c r="BN250" s="4">
        <f t="shared" si="431"/>
        <v>4.29</v>
      </c>
      <c r="BO250" s="3">
        <v>3.58</v>
      </c>
      <c r="BP250" s="3">
        <f t="shared" si="432"/>
        <v>3.58</v>
      </c>
      <c r="BQ250" s="4">
        <f t="shared" si="433"/>
        <v>3.58</v>
      </c>
      <c r="BR250" s="3">
        <v>3.15</v>
      </c>
      <c r="BS250" s="3">
        <f t="shared" si="434"/>
        <v>3.15</v>
      </c>
      <c r="BT250" s="4">
        <f t="shared" si="435"/>
        <v>3.15</v>
      </c>
      <c r="BU250" s="3">
        <v>1.64</v>
      </c>
      <c r="BV250" s="3">
        <f t="shared" si="436"/>
        <v>1.64</v>
      </c>
      <c r="BW250" s="4">
        <f t="shared" si="437"/>
        <v>1.64</v>
      </c>
      <c r="BX250" s="3">
        <v>1.23</v>
      </c>
      <c r="BY250" s="3">
        <f t="shared" si="438"/>
        <v>1.23</v>
      </c>
      <c r="BZ250" s="21">
        <f t="shared" si="439"/>
        <v>1.23</v>
      </c>
    </row>
    <row r="251" spans="54:78">
      <c r="BB251" s="20" t="s">
        <v>924</v>
      </c>
      <c r="BC251" s="3">
        <v>3.89</v>
      </c>
      <c r="BD251" s="3">
        <f t="shared" si="424"/>
        <v>3.89</v>
      </c>
      <c r="BE251" s="4">
        <f t="shared" si="425"/>
        <v>3.89</v>
      </c>
      <c r="BF251" s="3">
        <v>2.29</v>
      </c>
      <c r="BG251" s="3">
        <f t="shared" si="426"/>
        <v>2.29</v>
      </c>
      <c r="BH251" s="4" t="str">
        <f t="shared" si="427"/>
        <v/>
      </c>
      <c r="BI251" s="3">
        <v>4.1100000000000003</v>
      </c>
      <c r="BJ251" s="3">
        <f t="shared" si="428"/>
        <v>4.1100000000000003</v>
      </c>
      <c r="BK251" s="4">
        <f t="shared" si="429"/>
        <v>4.1100000000000003</v>
      </c>
      <c r="BL251" s="3">
        <v>4.29</v>
      </c>
      <c r="BM251" s="3">
        <f t="shared" si="430"/>
        <v>4.29</v>
      </c>
      <c r="BN251" s="4">
        <f t="shared" si="431"/>
        <v>4.29</v>
      </c>
      <c r="BO251" s="3">
        <v>3.59</v>
      </c>
      <c r="BP251" s="3">
        <f t="shared" si="432"/>
        <v>3.59</v>
      </c>
      <c r="BQ251" s="4">
        <f t="shared" si="433"/>
        <v>3.59</v>
      </c>
      <c r="BR251" s="3">
        <v>3.12</v>
      </c>
      <c r="BS251" s="3">
        <f t="shared" si="434"/>
        <v>3.12</v>
      </c>
      <c r="BT251" s="4">
        <f t="shared" si="435"/>
        <v>3.12</v>
      </c>
      <c r="BU251" s="3">
        <v>1.62</v>
      </c>
      <c r="BV251" s="3">
        <f t="shared" si="436"/>
        <v>1.62</v>
      </c>
      <c r="BW251" s="4">
        <f t="shared" si="437"/>
        <v>1.62</v>
      </c>
      <c r="BX251" s="3">
        <v>1.28</v>
      </c>
      <c r="BY251" s="3">
        <f t="shared" si="438"/>
        <v>1.28</v>
      </c>
      <c r="BZ251" s="21">
        <f t="shared" si="439"/>
        <v>1.28</v>
      </c>
    </row>
    <row r="252" spans="54:78">
      <c r="BB252" s="20" t="s">
        <v>925</v>
      </c>
      <c r="BC252" s="3">
        <v>3.92</v>
      </c>
      <c r="BD252" s="3">
        <f t="shared" si="424"/>
        <v>3.92</v>
      </c>
      <c r="BE252" s="4">
        <f t="shared" si="425"/>
        <v>3.92</v>
      </c>
      <c r="BF252" s="3">
        <v>4.28</v>
      </c>
      <c r="BG252" s="3">
        <f t="shared" si="426"/>
        <v>4.28</v>
      </c>
      <c r="BH252" s="4">
        <f t="shared" si="427"/>
        <v>4.28</v>
      </c>
      <c r="BI252" s="3">
        <v>4.1399999999999997</v>
      </c>
      <c r="BJ252" s="3">
        <f t="shared" si="428"/>
        <v>4.1399999999999997</v>
      </c>
      <c r="BK252" s="4">
        <f t="shared" si="429"/>
        <v>4.1399999999999997</v>
      </c>
      <c r="BL252" s="3">
        <v>4.29</v>
      </c>
      <c r="BM252" s="3">
        <f t="shared" si="430"/>
        <v>4.29</v>
      </c>
      <c r="BN252" s="4">
        <f t="shared" si="431"/>
        <v>4.29</v>
      </c>
      <c r="BO252" s="3">
        <v>3.61</v>
      </c>
      <c r="BP252" s="3">
        <f t="shared" si="432"/>
        <v>3.61</v>
      </c>
      <c r="BQ252" s="4">
        <f t="shared" si="433"/>
        <v>3.61</v>
      </c>
      <c r="BR252" s="3">
        <v>3.15</v>
      </c>
      <c r="BS252" s="3">
        <f t="shared" si="434"/>
        <v>3.15</v>
      </c>
      <c r="BT252" s="4">
        <f t="shared" si="435"/>
        <v>3.15</v>
      </c>
      <c r="BU252" s="3">
        <v>1.66</v>
      </c>
      <c r="BV252" s="3">
        <f t="shared" si="436"/>
        <v>1.66</v>
      </c>
      <c r="BW252" s="4">
        <f t="shared" si="437"/>
        <v>1.66</v>
      </c>
      <c r="BX252" s="3">
        <v>1.25</v>
      </c>
      <c r="BY252" s="3">
        <f t="shared" si="438"/>
        <v>1.25</v>
      </c>
      <c r="BZ252" s="21">
        <f t="shared" si="439"/>
        <v>1.25</v>
      </c>
    </row>
    <row r="253" spans="54:78">
      <c r="BB253" s="20" t="s">
        <v>926</v>
      </c>
      <c r="BC253" s="3">
        <v>2.82</v>
      </c>
      <c r="BD253" s="3">
        <f t="shared" si="424"/>
        <v>2.82</v>
      </c>
      <c r="BE253" s="4" t="str">
        <f t="shared" si="425"/>
        <v/>
      </c>
      <c r="BF253" s="3">
        <v>4.34</v>
      </c>
      <c r="BG253" s="3">
        <f t="shared" si="426"/>
        <v>4.34</v>
      </c>
      <c r="BH253" s="4">
        <f t="shared" si="427"/>
        <v>4.34</v>
      </c>
      <c r="BI253" s="3">
        <v>3.21</v>
      </c>
      <c r="BJ253" s="3">
        <f t="shared" si="428"/>
        <v>3.21</v>
      </c>
      <c r="BK253" s="4" t="str">
        <f t="shared" si="429"/>
        <v/>
      </c>
      <c r="BL253" s="3">
        <v>4.28</v>
      </c>
      <c r="BM253" s="3">
        <f t="shared" si="430"/>
        <v>4.28</v>
      </c>
      <c r="BN253" s="4">
        <f t="shared" si="431"/>
        <v>4.28</v>
      </c>
      <c r="BO253" s="3">
        <v>3.6</v>
      </c>
      <c r="BP253" s="3">
        <f t="shared" si="432"/>
        <v>3.6</v>
      </c>
      <c r="BQ253" s="4">
        <f t="shared" si="433"/>
        <v>3.6</v>
      </c>
      <c r="BR253" s="3">
        <v>3.16</v>
      </c>
      <c r="BS253" s="3">
        <f t="shared" si="434"/>
        <v>3.16</v>
      </c>
      <c r="BT253" s="4">
        <f t="shared" si="435"/>
        <v>3.16</v>
      </c>
      <c r="BU253" s="3">
        <v>1.62</v>
      </c>
      <c r="BV253" s="3">
        <f t="shared" si="436"/>
        <v>1.62</v>
      </c>
      <c r="BW253" s="4">
        <f t="shared" si="437"/>
        <v>1.62</v>
      </c>
      <c r="BX253" s="3">
        <v>1.24</v>
      </c>
      <c r="BY253" s="3">
        <f t="shared" si="438"/>
        <v>1.24</v>
      </c>
      <c r="BZ253" s="21">
        <f t="shared" si="439"/>
        <v>1.24</v>
      </c>
    </row>
    <row r="254" spans="54:78">
      <c r="BB254" s="20" t="s">
        <v>927</v>
      </c>
      <c r="BC254" s="3">
        <v>3.9</v>
      </c>
      <c r="BD254" s="3">
        <f t="shared" si="424"/>
        <v>3.9</v>
      </c>
      <c r="BE254" s="4">
        <f t="shared" si="425"/>
        <v>3.9</v>
      </c>
      <c r="BF254" s="3">
        <v>4.28</v>
      </c>
      <c r="BG254" s="3">
        <f t="shared" si="426"/>
        <v>4.28</v>
      </c>
      <c r="BH254" s="4">
        <f t="shared" si="427"/>
        <v>4.28</v>
      </c>
      <c r="BI254" s="3">
        <v>1.1499999999999999</v>
      </c>
      <c r="BJ254" s="3">
        <f t="shared" si="428"/>
        <v>1.1499999999999999</v>
      </c>
      <c r="BK254" s="4" t="str">
        <f t="shared" si="429"/>
        <v/>
      </c>
      <c r="BL254" s="3">
        <v>4.3099999999999996</v>
      </c>
      <c r="BM254" s="3">
        <f t="shared" si="430"/>
        <v>4.3099999999999996</v>
      </c>
      <c r="BN254" s="4">
        <f t="shared" si="431"/>
        <v>4.3099999999999996</v>
      </c>
      <c r="BO254" s="3">
        <v>3.64</v>
      </c>
      <c r="BP254" s="3">
        <f t="shared" si="432"/>
        <v>3.64</v>
      </c>
      <c r="BQ254" s="4">
        <f t="shared" si="433"/>
        <v>3.64</v>
      </c>
      <c r="BR254" s="3">
        <v>3.14</v>
      </c>
      <c r="BS254" s="3">
        <f t="shared" si="434"/>
        <v>3.14</v>
      </c>
      <c r="BT254" s="4">
        <f t="shared" si="435"/>
        <v>3.14</v>
      </c>
      <c r="BU254" s="3">
        <v>1.64</v>
      </c>
      <c r="BV254" s="3">
        <f t="shared" si="436"/>
        <v>1.64</v>
      </c>
      <c r="BW254" s="4">
        <f t="shared" si="437"/>
        <v>1.64</v>
      </c>
      <c r="BX254" s="3">
        <v>1.22</v>
      </c>
      <c r="BY254" s="3">
        <f t="shared" si="438"/>
        <v>1.22</v>
      </c>
      <c r="BZ254" s="21">
        <f t="shared" si="439"/>
        <v>1.22</v>
      </c>
    </row>
    <row r="255" spans="54:78">
      <c r="BB255" s="20" t="s">
        <v>928</v>
      </c>
      <c r="BC255" s="3">
        <v>3.93</v>
      </c>
      <c r="BD255" s="3">
        <f t="shared" si="424"/>
        <v>3.93</v>
      </c>
      <c r="BE255" s="4">
        <f t="shared" si="425"/>
        <v>3.93</v>
      </c>
      <c r="BF255" s="3">
        <v>3.47</v>
      </c>
      <c r="BG255" s="3">
        <f t="shared" si="426"/>
        <v>3.47</v>
      </c>
      <c r="BH255" s="4">
        <f t="shared" si="427"/>
        <v>3.47</v>
      </c>
      <c r="BI255" s="3">
        <v>4.13</v>
      </c>
      <c r="BJ255" s="3">
        <f t="shared" si="428"/>
        <v>4.13</v>
      </c>
      <c r="BK255" s="4">
        <f t="shared" si="429"/>
        <v>4.13</v>
      </c>
      <c r="BL255" s="3">
        <v>3.33</v>
      </c>
      <c r="BM255" s="3">
        <f t="shared" si="430"/>
        <v>3.33</v>
      </c>
      <c r="BN255" s="4" t="str">
        <f t="shared" si="431"/>
        <v/>
      </c>
      <c r="BO255" s="3">
        <v>3.6</v>
      </c>
      <c r="BP255" s="3">
        <f t="shared" si="432"/>
        <v>3.6</v>
      </c>
      <c r="BQ255" s="4">
        <f t="shared" si="433"/>
        <v>3.6</v>
      </c>
      <c r="BR255" s="3">
        <v>3.15</v>
      </c>
      <c r="BS255" s="3">
        <f t="shared" si="434"/>
        <v>3.15</v>
      </c>
      <c r="BT255" s="4">
        <f t="shared" si="435"/>
        <v>3.15</v>
      </c>
      <c r="BU255" s="3">
        <v>1.65</v>
      </c>
      <c r="BV255" s="3">
        <f t="shared" si="436"/>
        <v>1.65</v>
      </c>
      <c r="BW255" s="4">
        <f t="shared" si="437"/>
        <v>1.65</v>
      </c>
      <c r="BX255" s="3">
        <v>1.24</v>
      </c>
      <c r="BY255" s="3">
        <f t="shared" si="438"/>
        <v>1.24</v>
      </c>
      <c r="BZ255" s="21">
        <f t="shared" si="439"/>
        <v>1.24</v>
      </c>
    </row>
    <row r="256" spans="54:78">
      <c r="BB256" s="20" t="s">
        <v>929</v>
      </c>
      <c r="BC256" s="3">
        <v>3.92</v>
      </c>
      <c r="BD256" s="3">
        <f t="shared" si="424"/>
        <v>3.92</v>
      </c>
      <c r="BE256" s="4">
        <f t="shared" si="425"/>
        <v>3.92</v>
      </c>
      <c r="BF256" s="3">
        <v>4.25</v>
      </c>
      <c r="BG256" s="3">
        <f t="shared" si="426"/>
        <v>4.25</v>
      </c>
      <c r="BH256" s="4">
        <f t="shared" si="427"/>
        <v>4.25</v>
      </c>
      <c r="BI256" s="3">
        <v>4.17</v>
      </c>
      <c r="BJ256" s="3">
        <f t="shared" si="428"/>
        <v>4.17</v>
      </c>
      <c r="BK256" s="4">
        <f t="shared" si="429"/>
        <v>4.17</v>
      </c>
      <c r="BL256" s="3">
        <v>4.3099999999999996</v>
      </c>
      <c r="BM256" s="3">
        <f t="shared" si="430"/>
        <v>4.3099999999999996</v>
      </c>
      <c r="BN256" s="4">
        <f t="shared" si="431"/>
        <v>4.3099999999999996</v>
      </c>
      <c r="BO256" s="3">
        <v>3.59</v>
      </c>
      <c r="BP256" s="3">
        <f t="shared" si="432"/>
        <v>3.59</v>
      </c>
      <c r="BQ256" s="4">
        <f t="shared" si="433"/>
        <v>3.59</v>
      </c>
      <c r="BR256" s="3">
        <v>3.14</v>
      </c>
      <c r="BS256" s="3">
        <f t="shared" si="434"/>
        <v>3.14</v>
      </c>
      <c r="BT256" s="4">
        <f t="shared" si="435"/>
        <v>3.14</v>
      </c>
      <c r="BU256" s="3">
        <v>1.62</v>
      </c>
      <c r="BV256" s="3">
        <f t="shared" si="436"/>
        <v>1.62</v>
      </c>
      <c r="BW256" s="4">
        <f t="shared" si="437"/>
        <v>1.62</v>
      </c>
      <c r="BX256" s="3">
        <v>1.27</v>
      </c>
      <c r="BY256" s="3">
        <f t="shared" si="438"/>
        <v>1.27</v>
      </c>
      <c r="BZ256" s="21">
        <f t="shared" si="439"/>
        <v>1.27</v>
      </c>
    </row>
    <row r="257" spans="54:78" ht="15.75" thickBot="1">
      <c r="BB257" s="20" t="s">
        <v>930</v>
      </c>
      <c r="BC257" s="23">
        <v>3.92</v>
      </c>
      <c r="BD257" s="23">
        <f t="shared" si="424"/>
        <v>3.92</v>
      </c>
      <c r="BE257" s="24">
        <f t="shared" si="425"/>
        <v>3.92</v>
      </c>
      <c r="BF257" s="23">
        <v>4.2699999999999996</v>
      </c>
      <c r="BG257" s="23">
        <f t="shared" si="426"/>
        <v>4.2699999999999996</v>
      </c>
      <c r="BH257" s="24">
        <f t="shared" si="427"/>
        <v>4.2699999999999996</v>
      </c>
      <c r="BI257" s="23">
        <v>4.13</v>
      </c>
      <c r="BJ257" s="23">
        <f t="shared" si="428"/>
        <v>4.13</v>
      </c>
      <c r="BK257" s="24">
        <f t="shared" si="429"/>
        <v>4.13</v>
      </c>
      <c r="BL257" s="23">
        <v>4.28</v>
      </c>
      <c r="BM257" s="23">
        <f t="shared" si="430"/>
        <v>4.28</v>
      </c>
      <c r="BN257" s="24">
        <f t="shared" si="431"/>
        <v>4.28</v>
      </c>
      <c r="BO257" s="23">
        <v>3.59</v>
      </c>
      <c r="BP257" s="23">
        <f>IF(AND(BO257 &lt; 99.99, BO257 &gt; 0), BO257, "")</f>
        <v>3.59</v>
      </c>
      <c r="BQ257" s="24">
        <f>IF(AND(BP257 &lt;= BP$260, BP257 &gt;= BP$261), BP257, "")</f>
        <v>3.59</v>
      </c>
      <c r="BR257" s="23">
        <v>3.13</v>
      </c>
      <c r="BS257" s="23">
        <f t="shared" si="434"/>
        <v>3.13</v>
      </c>
      <c r="BT257" s="24">
        <f t="shared" si="435"/>
        <v>3.13</v>
      </c>
      <c r="BU257" s="23">
        <v>1.6</v>
      </c>
      <c r="BV257" s="23">
        <f t="shared" si="436"/>
        <v>1.6</v>
      </c>
      <c r="BW257" s="24">
        <f t="shared" si="437"/>
        <v>1.6</v>
      </c>
      <c r="BX257" s="23">
        <v>1.19</v>
      </c>
      <c r="BY257" s="23">
        <f t="shared" si="438"/>
        <v>1.19</v>
      </c>
      <c r="BZ257" s="25">
        <f t="shared" si="439"/>
        <v>1.19</v>
      </c>
    </row>
    <row r="258" spans="54:78">
      <c r="BB258" s="51" t="s">
        <v>510</v>
      </c>
      <c r="BC258" s="8"/>
      <c r="BD258" s="8">
        <f t="shared" ref="BD258:BZ258" si="444">AVERAGE(BD4:BD257)</f>
        <v>3.7551574803149519</v>
      </c>
      <c r="BE258" s="8">
        <f t="shared" si="444"/>
        <v>3.9142127659574371</v>
      </c>
      <c r="BF258" s="8">
        <f t="shared" si="444"/>
        <v>4.0550787401574704</v>
      </c>
      <c r="BG258" s="8">
        <f t="shared" si="444"/>
        <v>4.0550787401574704</v>
      </c>
      <c r="BH258" s="8">
        <f t="shared" si="444"/>
        <v>4.2569957081544958</v>
      </c>
      <c r="BI258" s="8">
        <f t="shared" si="444"/>
        <v>4.3905118110236199</v>
      </c>
      <c r="BJ258" s="8">
        <f t="shared" si="444"/>
        <v>4.0126482213438681</v>
      </c>
      <c r="BK258" s="8">
        <f t="shared" si="444"/>
        <v>4.1589830508474517</v>
      </c>
      <c r="BL258" s="8">
        <f t="shared" si="444"/>
        <v>4.1868897637795186</v>
      </c>
      <c r="BM258" s="8">
        <f t="shared" si="444"/>
        <v>4.2034387351778566</v>
      </c>
      <c r="BN258" s="8">
        <f t="shared" si="444"/>
        <v>4.3022131147540899</v>
      </c>
      <c r="BO258" s="8">
        <f t="shared" si="444"/>
        <v>3.8247637795275651</v>
      </c>
      <c r="BP258" s="8">
        <f t="shared" si="444"/>
        <v>3.444664031620559</v>
      </c>
      <c r="BQ258" s="8">
        <f t="shared" si="444"/>
        <v>3.5981779661017015</v>
      </c>
      <c r="BR258" s="8">
        <f t="shared" si="444"/>
        <v>2.9988188976377943</v>
      </c>
      <c r="BS258" s="8">
        <f t="shared" si="444"/>
        <v>2.9988188976377943</v>
      </c>
      <c r="BT258" s="8">
        <f t="shared" si="444"/>
        <v>3.1259401709401691</v>
      </c>
      <c r="BU258" s="8">
        <f t="shared" si="444"/>
        <v>1.5999212598425181</v>
      </c>
      <c r="BV258" s="8">
        <f t="shared" si="444"/>
        <v>1.5999212598425181</v>
      </c>
      <c r="BW258" s="8">
        <f t="shared" si="444"/>
        <v>1.6292276422764211</v>
      </c>
      <c r="BX258" s="8">
        <f t="shared" si="444"/>
        <v>1.9972834645669302</v>
      </c>
      <c r="BY258" s="8">
        <f t="shared" si="444"/>
        <v>1.22932</v>
      </c>
      <c r="BZ258" s="9">
        <f t="shared" si="444"/>
        <v>1.243512396694215</v>
      </c>
    </row>
    <row r="259" spans="54:78">
      <c r="BB259" s="52" t="s">
        <v>515</v>
      </c>
      <c r="BC259" s="11"/>
      <c r="BD259" s="11">
        <f>STDEV(BD4:BD257)</f>
        <v>0.61039786059955625</v>
      </c>
      <c r="BE259" s="11">
        <f t="shared" ref="BE259:BY259" si="445">STDEV(BE4:BE257)</f>
        <v>4.5259430792378749E-2</v>
      </c>
      <c r="BF259" s="11">
        <f t="shared" si="445"/>
        <v>0.72245176658402788</v>
      </c>
      <c r="BG259" s="11">
        <f t="shared" si="445"/>
        <v>0.72245176658402788</v>
      </c>
      <c r="BH259" s="11">
        <f t="shared" si="445"/>
        <v>9.4834179140354163E-2</v>
      </c>
      <c r="BI259" s="11">
        <f t="shared" si="445"/>
        <v>6.0525983815088944</v>
      </c>
      <c r="BJ259" s="11">
        <f t="shared" si="445"/>
        <v>0.60750245179370044</v>
      </c>
      <c r="BK259" s="11">
        <f t="shared" si="445"/>
        <v>3.3565175228196471E-2</v>
      </c>
      <c r="BL259" s="11">
        <f t="shared" si="445"/>
        <v>0.60814966860188358</v>
      </c>
      <c r="BM259" s="11">
        <f t="shared" si="445"/>
        <v>0.54906742112254237</v>
      </c>
      <c r="BN259" s="11">
        <f>STDEV(BN4:BN257)</f>
        <v>3.8511658115881156E-2</v>
      </c>
      <c r="BO259" s="11">
        <f t="shared" si="445"/>
        <v>6.087913879033171</v>
      </c>
      <c r="BP259" s="11">
        <f t="shared" si="445"/>
        <v>0.60604395186977467</v>
      </c>
      <c r="BQ259" s="11">
        <f>STDEV(BQ4:BQ257)</f>
        <v>6.0075007209028308E-2</v>
      </c>
      <c r="BR259" s="11">
        <f t="shared" si="445"/>
        <v>0.49743073353105327</v>
      </c>
      <c r="BS259" s="11">
        <f>STDEV(BS4:BS257)</f>
        <v>0.49743073353105327</v>
      </c>
      <c r="BT259" s="11">
        <f t="shared" si="445"/>
        <v>4.0248325873171086E-2</v>
      </c>
      <c r="BU259" s="11">
        <f t="shared" si="445"/>
        <v>0.17557132515924553</v>
      </c>
      <c r="BV259" s="11">
        <f t="shared" si="445"/>
        <v>0.17557132515924553</v>
      </c>
      <c r="BW259" s="11">
        <f t="shared" si="445"/>
        <v>1.7768724189327897E-2</v>
      </c>
      <c r="BX259" s="11">
        <f>STDEV(BX4:BX257)</f>
        <v>8.7486883998545295</v>
      </c>
      <c r="BY259" s="11">
        <f t="shared" si="445"/>
        <v>0.12580000063848726</v>
      </c>
      <c r="BZ259" s="12">
        <f>STDEV(BZ4:BZ257)</f>
        <v>3.3577461246729078E-2</v>
      </c>
    </row>
    <row r="260" spans="54:78">
      <c r="BB260" s="52" t="s">
        <v>520</v>
      </c>
      <c r="BC260" s="11"/>
      <c r="BD260" s="11">
        <f>BD258+BD259</f>
        <v>4.3655553409145078</v>
      </c>
      <c r="BE260" s="11"/>
      <c r="BF260" s="11"/>
      <c r="BG260" s="11">
        <f>BG258+BG259</f>
        <v>4.7775305067414982</v>
      </c>
      <c r="BH260" s="11"/>
      <c r="BI260" s="11"/>
      <c r="BJ260" s="11">
        <f>BJ258+BJ259</f>
        <v>4.6201506731375686</v>
      </c>
      <c r="BK260" s="11"/>
      <c r="BL260" s="11"/>
      <c r="BM260" s="11">
        <f>BM258+BM259</f>
        <v>4.7525061563003987</v>
      </c>
      <c r="BN260" s="11"/>
      <c r="BO260" s="11"/>
      <c r="BP260" s="11">
        <f>BP258+BP259</f>
        <v>4.0507079834903337</v>
      </c>
      <c r="BQ260" s="11"/>
      <c r="BR260" s="11"/>
      <c r="BS260" s="11">
        <f>BS258+BS259</f>
        <v>3.4962496311688476</v>
      </c>
      <c r="BT260" s="11"/>
      <c r="BU260" s="11"/>
      <c r="BV260" s="11">
        <f>BV258+BV259</f>
        <v>1.7754925850017635</v>
      </c>
      <c r="BW260" s="11"/>
      <c r="BX260" s="11"/>
      <c r="BY260" s="11">
        <f>BY258+BY259</f>
        <v>1.3551200006384871</v>
      </c>
      <c r="BZ260" s="12"/>
    </row>
    <row r="261" spans="54:78" ht="15.75" thickBot="1">
      <c r="BB261" s="53" t="s">
        <v>525</v>
      </c>
      <c r="BC261" s="14"/>
      <c r="BD261" s="14">
        <f>BD258-BD259</f>
        <v>3.1447596197153955</v>
      </c>
      <c r="BE261" s="14"/>
      <c r="BF261" s="14"/>
      <c r="BG261" s="14">
        <f>BG258-BG259</f>
        <v>3.3326269735734426</v>
      </c>
      <c r="BH261" s="14"/>
      <c r="BI261" s="14"/>
      <c r="BJ261" s="14">
        <f>BJ258-BJ259</f>
        <v>3.4051457695501677</v>
      </c>
      <c r="BK261" s="14"/>
      <c r="BL261" s="14"/>
      <c r="BM261" s="14">
        <f>BM258-BM259</f>
        <v>3.6543713140553145</v>
      </c>
      <c r="BN261" s="14"/>
      <c r="BO261" s="14"/>
      <c r="BP261" s="14">
        <f>BP258-BP259</f>
        <v>2.8386200797507843</v>
      </c>
      <c r="BQ261" s="14"/>
      <c r="BR261" s="14"/>
      <c r="BS261" s="14">
        <f>BS258-BS259</f>
        <v>2.501388164106741</v>
      </c>
      <c r="BT261" s="14"/>
      <c r="BU261" s="14"/>
      <c r="BV261" s="14">
        <f>BV258-BV259</f>
        <v>1.4243499346832726</v>
      </c>
      <c r="BW261" s="14"/>
      <c r="BX261" s="14"/>
      <c r="BY261" s="14">
        <f>BY258-BY259</f>
        <v>1.1035199993615128</v>
      </c>
      <c r="BZ261" s="15"/>
    </row>
    <row r="262" spans="54:78" ht="15.75" thickBot="1"/>
    <row r="263" spans="54:78" ht="30">
      <c r="BB263" s="81" t="s">
        <v>534</v>
      </c>
      <c r="BC263" s="7"/>
      <c r="BD263" s="8"/>
      <c r="BE263" s="8">
        <v>3.88</v>
      </c>
      <c r="BF263" s="8"/>
      <c r="BG263" s="8"/>
      <c r="BH263" s="8">
        <v>4.2300000000000004</v>
      </c>
      <c r="BI263" s="8"/>
      <c r="BJ263" s="8"/>
      <c r="BK263" s="8">
        <v>3.88</v>
      </c>
      <c r="BL263" s="8"/>
      <c r="BM263" s="8"/>
      <c r="BN263" s="8">
        <v>4.43</v>
      </c>
      <c r="BO263" s="8"/>
      <c r="BP263" s="8"/>
      <c r="BQ263" s="8">
        <v>3.58</v>
      </c>
      <c r="BR263" s="8"/>
      <c r="BS263" s="8"/>
      <c r="BT263" s="8">
        <v>3.17</v>
      </c>
      <c r="BU263" s="8"/>
      <c r="BV263" s="8"/>
      <c r="BW263" s="8">
        <v>1.72</v>
      </c>
      <c r="BX263" s="8"/>
      <c r="BY263" s="8"/>
      <c r="BZ263" s="9">
        <v>1.1399999999999999</v>
      </c>
    </row>
    <row r="264" spans="54:78">
      <c r="BB264" s="10" t="s">
        <v>539</v>
      </c>
      <c r="BC264" s="10"/>
      <c r="BD264" s="11"/>
      <c r="BE264" s="11">
        <f>BE263-BE258</f>
        <v>-3.4212765957437163E-2</v>
      </c>
      <c r="BF264" s="11"/>
      <c r="BG264" s="11"/>
      <c r="BH264" s="11">
        <f>BH263-BH258</f>
        <v>-2.6995708154495368E-2</v>
      </c>
      <c r="BI264" s="11"/>
      <c r="BJ264" s="11"/>
      <c r="BK264" s="11">
        <f>BK263-BK258</f>
        <v>-0.27898305084745179</v>
      </c>
      <c r="BL264" s="11"/>
      <c r="BM264" s="11"/>
      <c r="BN264" s="11">
        <f>BN263-BN258</f>
        <v>0.12778688524590986</v>
      </c>
      <c r="BO264" s="11"/>
      <c r="BP264" s="11"/>
      <c r="BQ264" s="11">
        <f>BQ263-BQ258</f>
        <v>-1.8177966101701415E-2</v>
      </c>
      <c r="BR264" s="11"/>
      <c r="BS264" s="11"/>
      <c r="BT264" s="11">
        <f>BT263-BT258</f>
        <v>4.4059829059830857E-2</v>
      </c>
      <c r="BU264" s="11"/>
      <c r="BV264" s="11"/>
      <c r="BW264" s="11">
        <f>BW263-BW258</f>
        <v>9.0772357723578834E-2</v>
      </c>
      <c r="BX264" s="11"/>
      <c r="BY264" s="11"/>
      <c r="BZ264" s="12">
        <f>BZ263-BZ258</f>
        <v>-0.10351239669421508</v>
      </c>
    </row>
    <row r="265" spans="54:78" ht="15.75" thickBot="1">
      <c r="BB265" s="13" t="s">
        <v>544</v>
      </c>
      <c r="BC265" s="13"/>
      <c r="BD265" s="14"/>
      <c r="BE265" s="14">
        <f>(BE264/BE258)*100</f>
        <v>-0.87406505479189356</v>
      </c>
      <c r="BF265" s="14"/>
      <c r="BG265" s="14"/>
      <c r="BH265" s="14">
        <f>(BH264/BH258)*100</f>
        <v>-0.63414929225283667</v>
      </c>
      <c r="BI265" s="14"/>
      <c r="BJ265" s="14"/>
      <c r="BK265" s="14">
        <f>(BK264/BK258)*100</f>
        <v>-6.7079631591815474</v>
      </c>
      <c r="BL265" s="14"/>
      <c r="BM265" s="14"/>
      <c r="BN265" s="14">
        <f>(BN264/BN258)*100</f>
        <v>2.9702593023036248</v>
      </c>
      <c r="BO265" s="14"/>
      <c r="BP265" s="14"/>
      <c r="BQ265" s="14">
        <f>(BQ264/BQ258)*100</f>
        <v>-0.50519919450775774</v>
      </c>
      <c r="BR265" s="14"/>
      <c r="BS265" s="14"/>
      <c r="BT265" s="14">
        <f>(BT264/BT258)*100</f>
        <v>1.4094904780784483</v>
      </c>
      <c r="BU265" s="14"/>
      <c r="BV265" s="14"/>
      <c r="BW265" s="14">
        <f>(BW264/BW258)*100</f>
        <v>5.5714962948178384</v>
      </c>
      <c r="BX265" s="14"/>
      <c r="BY265" s="14"/>
      <c r="BZ265" s="15">
        <f>(BZ264/BZ258)*100</f>
        <v>-8.3241949955139223</v>
      </c>
    </row>
    <row r="266" spans="54:78" ht="15.75" thickBot="1"/>
    <row r="267" spans="54:78" ht="30">
      <c r="BB267" s="81" t="s">
        <v>553</v>
      </c>
      <c r="BC267" s="7"/>
      <c r="BD267" s="8"/>
      <c r="BE267" s="8">
        <v>3.86</v>
      </c>
      <c r="BF267" s="8"/>
      <c r="BG267" s="8"/>
      <c r="BH267" s="8">
        <v>4.24</v>
      </c>
      <c r="BI267" s="8"/>
      <c r="BJ267" s="8"/>
      <c r="BK267" s="8">
        <v>3.37</v>
      </c>
      <c r="BL267" s="8"/>
      <c r="BM267" s="8"/>
      <c r="BN267" s="8">
        <v>4.38</v>
      </c>
      <c r="BO267" s="8"/>
      <c r="BP267" s="8"/>
      <c r="BQ267" s="8">
        <v>3.57</v>
      </c>
      <c r="BR267" s="8"/>
      <c r="BS267" s="8"/>
      <c r="BT267" s="8">
        <v>3.19</v>
      </c>
      <c r="BU267" s="8"/>
      <c r="BV267" s="8"/>
      <c r="BW267" s="8">
        <v>1.74</v>
      </c>
      <c r="BX267" s="8"/>
      <c r="BY267" s="8"/>
      <c r="BZ267" s="9">
        <v>1.1200000000000001</v>
      </c>
    </row>
    <row r="268" spans="54:78">
      <c r="BB268" s="10" t="s">
        <v>539</v>
      </c>
      <c r="BC268" s="10"/>
      <c r="BD268" s="11"/>
      <c r="BE268" s="11">
        <f>BE267-BE258</f>
        <v>-5.4212765957437181E-2</v>
      </c>
      <c r="BF268" s="11"/>
      <c r="BG268" s="11"/>
      <c r="BH268" s="11">
        <f t="shared" ref="BH268:BZ268" si="446">BH267-BH258</f>
        <v>-1.6995708154495581E-2</v>
      </c>
      <c r="BI268" s="11"/>
      <c r="BJ268" s="11"/>
      <c r="BK268" s="11">
        <f t="shared" si="446"/>
        <v>-0.78898305084745157</v>
      </c>
      <c r="BL268" s="11"/>
      <c r="BM268" s="11"/>
      <c r="BN268" s="11">
        <f t="shared" si="446"/>
        <v>7.7786885245910042E-2</v>
      </c>
      <c r="BO268" s="11"/>
      <c r="BP268" s="11"/>
      <c r="BQ268" s="11">
        <f t="shared" si="446"/>
        <v>-2.8177966101701646E-2</v>
      </c>
      <c r="BR268" s="11"/>
      <c r="BS268" s="11"/>
      <c r="BT268" s="11">
        <f t="shared" si="446"/>
        <v>6.4059829059830875E-2</v>
      </c>
      <c r="BU268" s="11"/>
      <c r="BV268" s="11"/>
      <c r="BW268" s="11">
        <f t="shared" si="446"/>
        <v>0.11077235772357885</v>
      </c>
      <c r="BX268" s="11"/>
      <c r="BY268" s="11"/>
      <c r="BZ268" s="12">
        <f t="shared" si="446"/>
        <v>-0.12351239669421488</v>
      </c>
    </row>
    <row r="269" spans="54:78" ht="15.75" thickBot="1">
      <c r="BB269" s="13" t="s">
        <v>544</v>
      </c>
      <c r="BC269" s="13"/>
      <c r="BD269" s="14"/>
      <c r="BE269" s="14">
        <f>(BE268/BE258)*100</f>
        <v>-1.3850234823445131</v>
      </c>
      <c r="BF269" s="14"/>
      <c r="BG269" s="14"/>
      <c r="BH269" s="14">
        <f>(BH268/BH258)*100</f>
        <v>-0.39924184377116995</v>
      </c>
      <c r="BI269" s="14"/>
      <c r="BJ269" s="14"/>
      <c r="BK269" s="14">
        <f>(BK268/BK258)*100</f>
        <v>-18.970576249082939</v>
      </c>
      <c r="BL269" s="14"/>
      <c r="BM269" s="14"/>
      <c r="BN269" s="14">
        <f>(BN268/BN258)*100</f>
        <v>1.8080667593882378</v>
      </c>
      <c r="BO269" s="14"/>
      <c r="BP269" s="14"/>
      <c r="BQ269" s="14">
        <f>(BQ268/BQ258)*100</f>
        <v>-0.78311763251193245</v>
      </c>
      <c r="BR269" s="14"/>
      <c r="BS269" s="14"/>
      <c r="BT269" s="14">
        <f>(BT268/BT258)*100</f>
        <v>2.0492979889811522</v>
      </c>
      <c r="BU269" s="14"/>
      <c r="BV269" s="14"/>
      <c r="BW269" s="14">
        <f t="shared" ref="BW269" si="447">(BW268/BW258)*100</f>
        <v>6.7990718331296742</v>
      </c>
      <c r="BX269" s="14"/>
      <c r="BY269" s="14"/>
      <c r="BZ269" s="15">
        <f>(BZ268/BZ258)*100</f>
        <v>-9.9325424517329601</v>
      </c>
    </row>
    <row r="270" spans="54:78" ht="15.75" thickBot="1"/>
    <row r="271" spans="54:78" ht="30">
      <c r="BB271" s="81" t="s">
        <v>568</v>
      </c>
      <c r="BC271" s="7"/>
      <c r="BD271" s="8"/>
      <c r="BE271" s="8">
        <v>3.83</v>
      </c>
      <c r="BF271" s="8"/>
      <c r="BG271" s="8"/>
      <c r="BH271" s="8">
        <v>4.29</v>
      </c>
      <c r="BI271" s="8"/>
      <c r="BJ271" s="8"/>
      <c r="BK271" s="8">
        <v>3.95</v>
      </c>
      <c r="BL271" s="8"/>
      <c r="BM271" s="8"/>
      <c r="BN271" s="8">
        <v>4.43</v>
      </c>
      <c r="BO271" s="8"/>
      <c r="BP271" s="8"/>
      <c r="BQ271" s="8">
        <v>3.64</v>
      </c>
      <c r="BR271" s="8"/>
      <c r="BS271" s="8"/>
      <c r="BT271" s="8">
        <v>3.23</v>
      </c>
      <c r="BU271" s="8"/>
      <c r="BV271" s="8"/>
      <c r="BW271" s="8">
        <v>1.7</v>
      </c>
      <c r="BX271" s="8"/>
      <c r="BY271" s="8"/>
      <c r="BZ271" s="9">
        <v>1.1299999999999999</v>
      </c>
    </row>
    <row r="272" spans="54:78">
      <c r="BB272" s="10" t="s">
        <v>539</v>
      </c>
      <c r="BC272" s="10"/>
      <c r="BD272" s="11"/>
      <c r="BE272" s="11">
        <f>BE271-BE258</f>
        <v>-8.4212765957436986E-2</v>
      </c>
      <c r="BF272" s="11"/>
      <c r="BG272" s="11"/>
      <c r="BH272" s="11">
        <f t="shared" ref="BH272:BZ272" si="448">BH271-BH258</f>
        <v>3.3004291845504241E-2</v>
      </c>
      <c r="BI272" s="11"/>
      <c r="BJ272" s="11"/>
      <c r="BK272" s="11">
        <f t="shared" si="448"/>
        <v>-0.2089830508474515</v>
      </c>
      <c r="BL272" s="11"/>
      <c r="BM272" s="11"/>
      <c r="BN272" s="11">
        <f t="shared" si="448"/>
        <v>0.12778688524590986</v>
      </c>
      <c r="BO272" s="11"/>
      <c r="BP272" s="11"/>
      <c r="BQ272" s="11">
        <f t="shared" si="448"/>
        <v>4.1822033898298638E-2</v>
      </c>
      <c r="BR272" s="11"/>
      <c r="BS272" s="11"/>
      <c r="BT272" s="11">
        <f t="shared" si="448"/>
        <v>0.10405982905983091</v>
      </c>
      <c r="BU272" s="11"/>
      <c r="BV272" s="11"/>
      <c r="BW272" s="11">
        <f t="shared" si="448"/>
        <v>7.0772357723578816E-2</v>
      </c>
      <c r="BX272" s="11"/>
      <c r="BY272" s="11"/>
      <c r="BZ272" s="12">
        <f t="shared" si="448"/>
        <v>-0.11351239669421509</v>
      </c>
    </row>
    <row r="273" spans="54:78" ht="15.75" thickBot="1">
      <c r="BB273" s="13" t="s">
        <v>544</v>
      </c>
      <c r="BC273" s="13"/>
      <c r="BD273" s="14"/>
      <c r="BE273" s="14">
        <f>(BE272/BE258)*100</f>
        <v>-2.1514611236734367</v>
      </c>
      <c r="BF273" s="14"/>
      <c r="BG273" s="14"/>
      <c r="BH273" s="14">
        <f t="shared" ref="BH273:BZ273" si="449">(BH272/BH258)*100</f>
        <v>0.77529539863718466</v>
      </c>
      <c r="BI273" s="14"/>
      <c r="BJ273" s="14"/>
      <c r="BK273" s="14">
        <f>(BK272/BK258)*100</f>
        <v>-5.0248594017440933</v>
      </c>
      <c r="BL273" s="14"/>
      <c r="BM273" s="14"/>
      <c r="BN273" s="14">
        <f t="shared" si="449"/>
        <v>2.9702593023036248</v>
      </c>
      <c r="BO273" s="14"/>
      <c r="BP273" s="14"/>
      <c r="BQ273" s="14">
        <f>(BQ272/BQ258)*100</f>
        <v>1.1623114335172535</v>
      </c>
      <c r="BR273" s="14"/>
      <c r="BS273" s="14"/>
      <c r="BT273" s="14">
        <f t="shared" si="449"/>
        <v>3.3289130107865597</v>
      </c>
      <c r="BU273" s="14"/>
      <c r="BV273" s="14"/>
      <c r="BW273" s="14">
        <f>(BW272/BW258)*100</f>
        <v>4.3439207565060016</v>
      </c>
      <c r="BX273" s="14"/>
      <c r="BY273" s="14"/>
      <c r="BZ273" s="15">
        <f t="shared" si="449"/>
        <v>-9.128368723623451</v>
      </c>
    </row>
  </sheetData>
  <mergeCells count="9">
    <mergeCell ref="B1:Z1"/>
    <mergeCell ref="FB2:FX2"/>
    <mergeCell ref="GB2:GX2"/>
    <mergeCell ref="B2:X2"/>
    <mergeCell ref="AB2:AX2"/>
    <mergeCell ref="BB2:BX2"/>
    <mergeCell ref="CB2:CX2"/>
    <mergeCell ref="DB2:DX2"/>
    <mergeCell ref="EB2:E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R80"/>
  <sheetViews>
    <sheetView topLeftCell="AV1" zoomScale="145" zoomScaleNormal="145" workbookViewId="0">
      <pane ySplit="3" topLeftCell="A4" activePane="bottomLeft" state="frozen"/>
      <selection pane="bottomLeft" activeCell="AW59" sqref="AW59:BD59"/>
    </sheetView>
  </sheetViews>
  <sheetFormatPr defaultColWidth="8.85546875" defaultRowHeight="15"/>
  <cols>
    <col min="1" max="1" width="8.85546875" style="40"/>
    <col min="2" max="2" width="19.5703125" style="40" bestFit="1" customWidth="1"/>
    <col min="3" max="3" width="4.7109375" style="40" bestFit="1" customWidth="1"/>
    <col min="4" max="5" width="5.7109375" style="40" bestFit="1" customWidth="1"/>
    <col min="6" max="6" width="4.7109375" style="40" bestFit="1" customWidth="1"/>
    <col min="7" max="8" width="5.7109375" style="40" bestFit="1" customWidth="1"/>
    <col min="9" max="9" width="4.7109375" style="40" bestFit="1" customWidth="1"/>
    <col min="10" max="13" width="5.7109375" style="40" bestFit="1" customWidth="1"/>
    <col min="14" max="14" width="5" style="40" bestFit="1" customWidth="1"/>
    <col min="15" max="15" width="4.7109375" style="40" bestFit="1" customWidth="1"/>
    <col min="16" max="17" width="5.7109375" style="40" bestFit="1" customWidth="1"/>
    <col min="18" max="18" width="4.7109375" style="40" bestFit="1" customWidth="1"/>
    <col min="19" max="20" width="5.7109375" style="40" bestFit="1" customWidth="1"/>
    <col min="21" max="21" width="4.7109375" style="40" bestFit="1" customWidth="1"/>
    <col min="22" max="22" width="5.7109375" style="40" bestFit="1" customWidth="1"/>
    <col min="23" max="23" width="6.7109375" style="40" bestFit="1" customWidth="1"/>
    <col min="24" max="24" width="4.7109375" style="40" bestFit="1" customWidth="1"/>
    <col min="25" max="25" width="5.7109375" style="40" bestFit="1" customWidth="1"/>
    <col min="26" max="26" width="5" style="40" bestFit="1" customWidth="1"/>
    <col min="27" max="27" width="8.85546875" style="40"/>
    <col min="28" max="28" width="19.5703125" style="40" bestFit="1" customWidth="1"/>
    <col min="29" max="29" width="5" style="40" bestFit="1" customWidth="1"/>
    <col min="30" max="31" width="5.7109375" style="40" bestFit="1" customWidth="1"/>
    <col min="32" max="33" width="5" style="40" bestFit="1" customWidth="1"/>
    <col min="34" max="35" width="5.7109375" style="40" bestFit="1" customWidth="1"/>
    <col min="36" max="36" width="6.7109375" style="40" bestFit="1" customWidth="1"/>
    <col min="37" max="37" width="8.85546875" style="40"/>
    <col min="38" max="38" width="19.5703125" style="40" bestFit="1" customWidth="1"/>
    <col min="39" max="40" width="5.7109375" style="40" bestFit="1" customWidth="1"/>
    <col min="41" max="41" width="6.7109375" style="40" bestFit="1" customWidth="1"/>
    <col min="42" max="42" width="5" style="40" bestFit="1" customWidth="1"/>
    <col min="43" max="43" width="5.7109375" style="40" bestFit="1" customWidth="1"/>
    <col min="44" max="45" width="5" style="40" bestFit="1" customWidth="1"/>
    <col min="46" max="46" width="5.7109375" style="40" bestFit="1" customWidth="1"/>
    <col min="47" max="47" width="8.85546875" style="40"/>
    <col min="48" max="48" width="19.5703125" style="40" bestFit="1" customWidth="1"/>
    <col min="49" max="51" width="5.7109375" style="40" bestFit="1" customWidth="1"/>
    <col min="52" max="52" width="5" style="40" bestFit="1" customWidth="1"/>
    <col min="53" max="56" width="5.7109375" style="40" bestFit="1" customWidth="1"/>
    <col min="57" max="57" width="8.85546875" style="40"/>
    <col min="58" max="58" width="10.85546875" style="40" bestFit="1" customWidth="1"/>
    <col min="59" max="66" width="3.140625" style="40" bestFit="1" customWidth="1"/>
    <col min="67" max="67" width="8.85546875" style="40"/>
    <col min="68" max="68" width="19.5703125" style="40" bestFit="1" customWidth="1"/>
    <col min="69" max="69" width="7.28515625" style="40" bestFit="1" customWidth="1"/>
    <col min="70" max="70" width="6.140625" style="40" bestFit="1" customWidth="1"/>
    <col min="71" max="71" width="8.7109375" style="40" bestFit="1" customWidth="1"/>
    <col min="72" max="73" width="7.28515625" style="40" bestFit="1" customWidth="1"/>
    <col min="74" max="74" width="6.140625" style="40" bestFit="1" customWidth="1"/>
    <col min="75" max="76" width="7.28515625" style="40" bestFit="1" customWidth="1"/>
    <col min="77" max="77" width="8.85546875" style="40"/>
    <col min="78" max="78" width="19.5703125" style="40" bestFit="1" customWidth="1"/>
    <col min="79" max="79" width="6.7109375" style="40" bestFit="1" customWidth="1"/>
    <col min="80" max="81" width="7.28515625" style="40" bestFit="1" customWidth="1"/>
    <col min="82" max="82" width="6.140625" style="40" bestFit="1" customWidth="1"/>
    <col min="83" max="83" width="7.28515625" style="40" bestFit="1" customWidth="1"/>
    <col min="84" max="84" width="6.140625" style="40" bestFit="1" customWidth="1"/>
    <col min="85" max="86" width="7.28515625" style="40" bestFit="1" customWidth="1"/>
    <col min="87" max="87" width="8.85546875" style="40"/>
    <col min="88" max="88" width="19.5703125" style="40" bestFit="1" customWidth="1"/>
    <col min="89" max="90" width="7.28515625" style="40" bestFit="1" customWidth="1"/>
    <col min="91" max="91" width="8.7109375" style="40" bestFit="1" customWidth="1"/>
    <col min="92" max="94" width="7.28515625" style="40" bestFit="1" customWidth="1"/>
    <col min="95" max="95" width="8.7109375" style="40" bestFit="1" customWidth="1"/>
    <col min="96" max="96" width="6.140625" style="40" bestFit="1" customWidth="1"/>
    <col min="97" max="16384" width="8.85546875" style="40"/>
  </cols>
  <sheetData>
    <row r="1" spans="2:96" ht="15.75" thickBot="1"/>
    <row r="2" spans="2:96" s="1" customFormat="1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26"/>
      <c r="Z2" s="27"/>
      <c r="AB2" s="85" t="s">
        <v>2</v>
      </c>
      <c r="AC2" s="86"/>
      <c r="AD2" s="86"/>
      <c r="AE2" s="86"/>
      <c r="AF2" s="86"/>
      <c r="AG2" s="86"/>
      <c r="AH2" s="86"/>
      <c r="AI2" s="86"/>
      <c r="AJ2" s="87"/>
      <c r="AL2" s="85" t="s">
        <v>3</v>
      </c>
      <c r="AM2" s="86"/>
      <c r="AN2" s="86"/>
      <c r="AO2" s="86"/>
      <c r="AP2" s="86"/>
      <c r="AQ2" s="86"/>
      <c r="AR2" s="86"/>
      <c r="AS2" s="86"/>
      <c r="AT2" s="87"/>
      <c r="AV2" s="85" t="s">
        <v>4</v>
      </c>
      <c r="AW2" s="86"/>
      <c r="AX2" s="86"/>
      <c r="AY2" s="86"/>
      <c r="AZ2" s="86"/>
      <c r="BA2" s="86"/>
      <c r="BB2" s="86"/>
      <c r="BC2" s="86"/>
      <c r="BD2" s="87"/>
      <c r="BF2" s="85" t="s">
        <v>5</v>
      </c>
      <c r="BG2" s="86"/>
      <c r="BH2" s="86"/>
      <c r="BI2" s="86"/>
      <c r="BJ2" s="86"/>
      <c r="BK2" s="86"/>
      <c r="BL2" s="86"/>
      <c r="BM2" s="86"/>
      <c r="BN2" s="87"/>
      <c r="BP2" s="85" t="s">
        <v>6</v>
      </c>
      <c r="BQ2" s="86"/>
      <c r="BR2" s="86"/>
      <c r="BS2" s="86"/>
      <c r="BT2" s="86"/>
      <c r="BU2" s="86"/>
      <c r="BV2" s="86"/>
      <c r="BW2" s="86"/>
      <c r="BX2" s="87"/>
      <c r="BZ2" s="85" t="s">
        <v>7</v>
      </c>
      <c r="CA2" s="86"/>
      <c r="CB2" s="86"/>
      <c r="CC2" s="86"/>
      <c r="CD2" s="86"/>
      <c r="CE2" s="86"/>
      <c r="CF2" s="86"/>
      <c r="CG2" s="86"/>
      <c r="CH2" s="87"/>
      <c r="CJ2" s="85" t="s">
        <v>8</v>
      </c>
      <c r="CK2" s="86"/>
      <c r="CL2" s="86"/>
      <c r="CM2" s="86"/>
      <c r="CN2" s="86"/>
      <c r="CO2" s="86"/>
      <c r="CP2" s="86"/>
      <c r="CQ2" s="86"/>
      <c r="CR2" s="87"/>
    </row>
    <row r="3" spans="2:96" s="1" customFormat="1" ht="15.75" thickBot="1">
      <c r="B3" s="28" t="s">
        <v>9</v>
      </c>
      <c r="C3" s="29" t="s">
        <v>10</v>
      </c>
      <c r="D3" s="29" t="s">
        <v>11</v>
      </c>
      <c r="E3" s="29" t="s">
        <v>12</v>
      </c>
      <c r="F3" s="29" t="s">
        <v>13</v>
      </c>
      <c r="G3" s="29" t="s">
        <v>14</v>
      </c>
      <c r="H3" s="29" t="s">
        <v>15</v>
      </c>
      <c r="I3" s="29" t="s">
        <v>16</v>
      </c>
      <c r="J3" s="29" t="s">
        <v>17</v>
      </c>
      <c r="K3" s="29" t="s">
        <v>18</v>
      </c>
      <c r="L3" s="29" t="s">
        <v>19</v>
      </c>
      <c r="M3" s="29" t="s">
        <v>20</v>
      </c>
      <c r="N3" s="29" t="s">
        <v>21</v>
      </c>
      <c r="O3" s="29" t="s">
        <v>22</v>
      </c>
      <c r="P3" s="29" t="s">
        <v>23</v>
      </c>
      <c r="Q3" s="29" t="s">
        <v>24</v>
      </c>
      <c r="R3" s="29" t="s">
        <v>25</v>
      </c>
      <c r="S3" s="29" t="s">
        <v>26</v>
      </c>
      <c r="T3" s="29" t="s">
        <v>27</v>
      </c>
      <c r="U3" s="29" t="s">
        <v>28</v>
      </c>
      <c r="V3" s="29" t="s">
        <v>29</v>
      </c>
      <c r="W3" s="29" t="s">
        <v>30</v>
      </c>
      <c r="X3" s="29" t="s">
        <v>31</v>
      </c>
      <c r="Y3" s="29" t="s">
        <v>32</v>
      </c>
      <c r="Z3" s="30" t="s">
        <v>33</v>
      </c>
      <c r="AB3" s="59" t="s">
        <v>9</v>
      </c>
      <c r="AC3" s="29" t="s">
        <v>10</v>
      </c>
      <c r="AD3" s="29" t="s">
        <v>13</v>
      </c>
      <c r="AE3" s="29" t="s">
        <v>16</v>
      </c>
      <c r="AF3" s="29" t="s">
        <v>19</v>
      </c>
      <c r="AG3" s="29" t="s">
        <v>22</v>
      </c>
      <c r="AH3" s="29" t="s">
        <v>25</v>
      </c>
      <c r="AI3" s="29" t="s">
        <v>28</v>
      </c>
      <c r="AJ3" s="30" t="s">
        <v>31</v>
      </c>
      <c r="AL3" s="59" t="s">
        <v>9</v>
      </c>
      <c r="AM3" s="29" t="s">
        <v>10</v>
      </c>
      <c r="AN3" s="29" t="s">
        <v>13</v>
      </c>
      <c r="AO3" s="29" t="s">
        <v>16</v>
      </c>
      <c r="AP3" s="29" t="s">
        <v>19</v>
      </c>
      <c r="AQ3" s="29" t="s">
        <v>22</v>
      </c>
      <c r="AR3" s="29" t="s">
        <v>25</v>
      </c>
      <c r="AS3" s="29" t="s">
        <v>28</v>
      </c>
      <c r="AT3" s="30" t="s">
        <v>31</v>
      </c>
      <c r="AV3" s="59" t="s">
        <v>9</v>
      </c>
      <c r="AW3" s="29" t="s">
        <v>10</v>
      </c>
      <c r="AX3" s="29" t="s">
        <v>13</v>
      </c>
      <c r="AY3" s="29" t="s">
        <v>16</v>
      </c>
      <c r="AZ3" s="29" t="s">
        <v>19</v>
      </c>
      <c r="BA3" s="29" t="s">
        <v>22</v>
      </c>
      <c r="BB3" s="29" t="s">
        <v>25</v>
      </c>
      <c r="BC3" s="29" t="s">
        <v>28</v>
      </c>
      <c r="BD3" s="30" t="s">
        <v>31</v>
      </c>
      <c r="BF3" s="28" t="s">
        <v>9</v>
      </c>
      <c r="BG3" s="29" t="s">
        <v>10</v>
      </c>
      <c r="BH3" s="29" t="s">
        <v>13</v>
      </c>
      <c r="BI3" s="29" t="s">
        <v>16</v>
      </c>
      <c r="BJ3" s="29" t="s">
        <v>19</v>
      </c>
      <c r="BK3" s="29" t="s">
        <v>22</v>
      </c>
      <c r="BL3" s="29" t="s">
        <v>25</v>
      </c>
      <c r="BM3" s="29" t="s">
        <v>28</v>
      </c>
      <c r="BN3" s="30" t="s">
        <v>31</v>
      </c>
      <c r="BP3" s="59" t="s">
        <v>9</v>
      </c>
      <c r="BQ3" s="29" t="s">
        <v>10</v>
      </c>
      <c r="BR3" s="29" t="s">
        <v>13</v>
      </c>
      <c r="BS3" s="29" t="s">
        <v>16</v>
      </c>
      <c r="BT3" s="29" t="s">
        <v>19</v>
      </c>
      <c r="BU3" s="29" t="s">
        <v>22</v>
      </c>
      <c r="BV3" s="29" t="s">
        <v>25</v>
      </c>
      <c r="BW3" s="29" t="s">
        <v>28</v>
      </c>
      <c r="BX3" s="30" t="s">
        <v>31</v>
      </c>
      <c r="BZ3" s="28" t="s">
        <v>9</v>
      </c>
      <c r="CA3" s="29" t="s">
        <v>10</v>
      </c>
      <c r="CB3" s="29" t="s">
        <v>13</v>
      </c>
      <c r="CC3" s="29" t="s">
        <v>16</v>
      </c>
      <c r="CD3" s="29" t="s">
        <v>19</v>
      </c>
      <c r="CE3" s="29" t="s">
        <v>22</v>
      </c>
      <c r="CF3" s="29" t="s">
        <v>25</v>
      </c>
      <c r="CG3" s="29" t="s">
        <v>28</v>
      </c>
      <c r="CH3" s="30" t="s">
        <v>31</v>
      </c>
      <c r="CJ3" s="28" t="s">
        <v>9</v>
      </c>
      <c r="CK3" s="29" t="s">
        <v>10</v>
      </c>
      <c r="CL3" s="29" t="s">
        <v>13</v>
      </c>
      <c r="CM3" s="29" t="s">
        <v>16</v>
      </c>
      <c r="CN3" s="29" t="s">
        <v>19</v>
      </c>
      <c r="CO3" s="29" t="s">
        <v>22</v>
      </c>
      <c r="CP3" s="29" t="s">
        <v>25</v>
      </c>
      <c r="CQ3" s="29" t="s">
        <v>28</v>
      </c>
      <c r="CR3" s="30" t="s">
        <v>31</v>
      </c>
    </row>
    <row r="4" spans="2:96">
      <c r="B4" s="68" t="s">
        <v>931</v>
      </c>
      <c r="C4" s="69">
        <v>3</v>
      </c>
      <c r="D4" s="69">
        <f t="shared" ref="D4:D35" si="0">IF(AND(C4 &lt; 99.99, C4 &gt; 0), C4, "")</f>
        <v>3</v>
      </c>
      <c r="E4" s="70">
        <f t="shared" ref="E4:E35" si="1">IF(AND(D4 &lt;= D$56, D4 &gt;= D$57), D4, "")</f>
        <v>3</v>
      </c>
      <c r="F4" s="69">
        <v>4.4000000000000004</v>
      </c>
      <c r="G4" s="69">
        <f t="shared" ref="G4:G35" si="2">IF(AND(F4 &lt; 99.99, F4 &gt; 0), F4, "")</f>
        <v>4.4000000000000004</v>
      </c>
      <c r="H4" s="70">
        <f t="shared" ref="H4:H35" si="3">IF(AND(G4 &lt;= G$56, G4 &gt;= G$57), G4, "")</f>
        <v>4.4000000000000004</v>
      </c>
      <c r="I4" s="69">
        <v>5.3</v>
      </c>
      <c r="J4" s="69">
        <f t="shared" ref="J4:J35" si="4">IF(AND(I4 &lt; 99.99, I4 &gt; 0), I4, "")</f>
        <v>5.3</v>
      </c>
      <c r="K4" s="70">
        <f t="shared" ref="K4:K35" si="5">IF(AND(J4 &lt;= J$56, J4 &gt;= J$57), J4, "")</f>
        <v>5.3</v>
      </c>
      <c r="L4" s="69">
        <v>5.64</v>
      </c>
      <c r="M4" s="69">
        <f t="shared" ref="M4:M35" si="6">IF(AND(L4 &lt; 99.99, L4 &gt; 0), L4, "")</f>
        <v>5.64</v>
      </c>
      <c r="N4" s="70">
        <f t="shared" ref="N4:N35" si="7">IF(AND(M4 &lt;= M$56, M4 &gt;= M$57), M4, "")</f>
        <v>5.64</v>
      </c>
      <c r="O4" s="69">
        <v>2.23</v>
      </c>
      <c r="P4" s="69">
        <f t="shared" ref="P4:P35" si="8">IF(AND(O4 &lt; 99.99, O4 &gt; 0), O4, "")</f>
        <v>2.23</v>
      </c>
      <c r="Q4" s="70" t="str">
        <f t="shared" ref="Q4:Q35" si="9">IF(AND(P4 &lt;= P$56, P4 &gt;= P$57), P4, "")</f>
        <v/>
      </c>
      <c r="R4" s="69">
        <v>4.8600000000000003</v>
      </c>
      <c r="S4" s="69">
        <f t="shared" ref="S4:S35" si="10">IF(AND(R4 &lt; 99.99, R4 &gt; 0), R4, "")</f>
        <v>4.8600000000000003</v>
      </c>
      <c r="T4" s="70">
        <f t="shared" ref="T4:T35" si="11">IF(AND(S4 &lt;= S$56, S4 &gt;= S$57), S4, "")</f>
        <v>4.8600000000000003</v>
      </c>
      <c r="U4" s="69">
        <v>0.2</v>
      </c>
      <c r="V4" s="69">
        <f t="shared" ref="V4:V35" si="12">IF(AND(U4 &lt; 99.99, U4 &gt; 0), U4, "")</f>
        <v>0.2</v>
      </c>
      <c r="W4" s="70" t="str">
        <f t="shared" ref="W4:W35" si="13">IF(AND(V4 &lt;= V$56, V4 &gt;= V$57), V4, "")</f>
        <v/>
      </c>
      <c r="X4" s="69">
        <v>2.2599999999999998</v>
      </c>
      <c r="Y4" s="69">
        <f t="shared" ref="Y4:Y35" si="14">IF(AND(X4 &lt; 99.99, X4 &gt; 0), X4, "")</f>
        <v>2.2599999999999998</v>
      </c>
      <c r="Z4" s="71">
        <f t="shared" ref="Z4:Z35" si="15">IF(AND(Y4 &lt;= Y$56, Y4 &gt;= Y$57), Y4, "")</f>
        <v>2.2599999999999998</v>
      </c>
      <c r="AB4" s="60" t="s">
        <v>931</v>
      </c>
      <c r="AC4" s="42">
        <v>2.85</v>
      </c>
      <c r="AD4" s="42">
        <v>5.44</v>
      </c>
      <c r="AE4" s="42">
        <v>5.18</v>
      </c>
      <c r="AF4" s="42">
        <v>6.04</v>
      </c>
      <c r="AG4" s="42">
        <v>0</v>
      </c>
      <c r="AH4" s="42">
        <v>3.73</v>
      </c>
      <c r="AI4" s="42">
        <v>3.05</v>
      </c>
      <c r="AJ4" s="46">
        <v>4.62</v>
      </c>
      <c r="AL4" s="60" t="s">
        <v>931</v>
      </c>
      <c r="AM4" s="42">
        <v>3.92</v>
      </c>
      <c r="AN4" s="42">
        <v>4.2699999999999996</v>
      </c>
      <c r="AO4" s="42">
        <v>4.16</v>
      </c>
      <c r="AP4" s="42">
        <v>4.28</v>
      </c>
      <c r="AQ4" s="42">
        <v>3.64</v>
      </c>
      <c r="AR4" s="42">
        <v>3.13</v>
      </c>
      <c r="AS4" s="42">
        <v>1.65</v>
      </c>
      <c r="AT4" s="46">
        <v>1.23</v>
      </c>
      <c r="AV4" s="60" t="s">
        <v>931</v>
      </c>
      <c r="AW4" s="57">
        <v>4.17</v>
      </c>
      <c r="AX4" s="57">
        <v>6.09</v>
      </c>
      <c r="AY4" s="57">
        <v>3.81</v>
      </c>
      <c r="AZ4" s="57">
        <v>5.64</v>
      </c>
      <c r="BA4" s="57">
        <v>5.45</v>
      </c>
      <c r="BB4" s="57">
        <v>1.85</v>
      </c>
      <c r="BC4" s="57">
        <v>3.78</v>
      </c>
      <c r="BD4" s="58">
        <v>3.18</v>
      </c>
      <c r="BP4" s="60" t="s">
        <v>931</v>
      </c>
      <c r="BQ4" s="42">
        <v>0.53</v>
      </c>
      <c r="BR4" s="42">
        <v>4.18</v>
      </c>
      <c r="BS4" s="42">
        <v>0.39</v>
      </c>
      <c r="BT4" s="42">
        <v>1.61</v>
      </c>
      <c r="BU4" s="42">
        <v>17.43</v>
      </c>
      <c r="BV4" s="42">
        <v>1.61</v>
      </c>
      <c r="BW4" s="42">
        <v>0.73</v>
      </c>
      <c r="BX4" s="46">
        <v>1.17</v>
      </c>
      <c r="BZ4" s="44" t="s">
        <v>931</v>
      </c>
      <c r="CA4" s="42">
        <v>12.69</v>
      </c>
      <c r="CB4" s="42">
        <v>1.37</v>
      </c>
      <c r="CC4" s="42">
        <v>1.61</v>
      </c>
      <c r="CD4" s="42">
        <v>3.56</v>
      </c>
      <c r="CE4" s="42">
        <v>1.89</v>
      </c>
      <c r="CF4" s="42">
        <v>2.21</v>
      </c>
      <c r="CG4" s="42">
        <v>0.24</v>
      </c>
      <c r="CH4" s="46">
        <v>0.2</v>
      </c>
      <c r="CJ4" s="44" t="s">
        <v>931</v>
      </c>
      <c r="CK4" s="42">
        <v>0.85</v>
      </c>
      <c r="CL4" s="42">
        <v>0.45</v>
      </c>
      <c r="CM4" s="42">
        <v>0.15</v>
      </c>
      <c r="CN4" s="42">
        <v>1.17</v>
      </c>
      <c r="CO4" s="42">
        <v>2.21</v>
      </c>
      <c r="CP4" s="42">
        <v>0.73</v>
      </c>
      <c r="CQ4" s="42">
        <v>0.33</v>
      </c>
      <c r="CR4" s="46">
        <v>1.61</v>
      </c>
    </row>
    <row r="5" spans="2:96">
      <c r="B5" s="68" t="s">
        <v>931</v>
      </c>
      <c r="C5" s="69">
        <v>3.01</v>
      </c>
      <c r="D5" s="69">
        <f t="shared" si="0"/>
        <v>3.01</v>
      </c>
      <c r="E5" s="70">
        <f t="shared" si="1"/>
        <v>3.01</v>
      </c>
      <c r="F5" s="69">
        <v>4.4400000000000004</v>
      </c>
      <c r="G5" s="69">
        <f t="shared" si="2"/>
        <v>4.4400000000000004</v>
      </c>
      <c r="H5" s="70">
        <f t="shared" si="3"/>
        <v>4.4400000000000004</v>
      </c>
      <c r="I5" s="69">
        <v>5.28</v>
      </c>
      <c r="J5" s="69">
        <f t="shared" si="4"/>
        <v>5.28</v>
      </c>
      <c r="K5" s="70">
        <f t="shared" si="5"/>
        <v>5.28</v>
      </c>
      <c r="L5" s="69">
        <v>5.65</v>
      </c>
      <c r="M5" s="69">
        <f t="shared" si="6"/>
        <v>5.65</v>
      </c>
      <c r="N5" s="70">
        <f t="shared" si="7"/>
        <v>5.65</v>
      </c>
      <c r="O5" s="69">
        <v>4.34</v>
      </c>
      <c r="P5" s="69">
        <f t="shared" si="8"/>
        <v>4.34</v>
      </c>
      <c r="Q5" s="70">
        <f t="shared" si="9"/>
        <v>4.34</v>
      </c>
      <c r="R5" s="69">
        <v>4.8099999999999996</v>
      </c>
      <c r="S5" s="69">
        <f t="shared" si="10"/>
        <v>4.8099999999999996</v>
      </c>
      <c r="T5" s="70">
        <f t="shared" si="11"/>
        <v>4.8099999999999996</v>
      </c>
      <c r="U5" s="69">
        <v>1.8</v>
      </c>
      <c r="V5" s="69">
        <f t="shared" si="12"/>
        <v>1.8</v>
      </c>
      <c r="W5" s="70">
        <f t="shared" si="13"/>
        <v>1.8</v>
      </c>
      <c r="X5" s="69">
        <v>2.25</v>
      </c>
      <c r="Y5" s="69">
        <f t="shared" si="14"/>
        <v>2.25</v>
      </c>
      <c r="Z5" s="71">
        <f t="shared" si="15"/>
        <v>2.25</v>
      </c>
      <c r="AB5" s="61" t="s">
        <v>931</v>
      </c>
      <c r="AC5" s="42">
        <v>0.6</v>
      </c>
      <c r="AD5" s="42">
        <v>5.47</v>
      </c>
      <c r="AE5" s="42">
        <v>5.17</v>
      </c>
      <c r="AF5" s="42">
        <v>6.1</v>
      </c>
      <c r="AG5" s="42">
        <v>0</v>
      </c>
      <c r="AH5" s="42">
        <v>3.74</v>
      </c>
      <c r="AI5" s="42">
        <v>3.05</v>
      </c>
      <c r="AJ5" s="46">
        <v>3.47</v>
      </c>
      <c r="AL5" s="61" t="s">
        <v>931</v>
      </c>
      <c r="AM5" s="42">
        <v>3.95</v>
      </c>
      <c r="AN5" s="42">
        <v>4.28</v>
      </c>
      <c r="AO5" s="42">
        <v>4.1500000000000004</v>
      </c>
      <c r="AP5" s="42">
        <v>4.37</v>
      </c>
      <c r="AQ5" s="42">
        <v>3.59</v>
      </c>
      <c r="AR5" s="42">
        <v>3.11</v>
      </c>
      <c r="AS5" s="42">
        <v>1.61</v>
      </c>
      <c r="AT5" s="46">
        <v>1.22</v>
      </c>
      <c r="AV5" s="61" t="s">
        <v>931</v>
      </c>
      <c r="AW5" s="42">
        <v>0.82</v>
      </c>
      <c r="AX5" s="42">
        <v>6.12</v>
      </c>
      <c r="AY5" s="42">
        <v>3.78</v>
      </c>
      <c r="AZ5" s="42">
        <v>5.16</v>
      </c>
      <c r="BA5" s="42">
        <v>5.48</v>
      </c>
      <c r="BB5" s="42">
        <v>1.89</v>
      </c>
      <c r="BC5" s="42">
        <v>3.76</v>
      </c>
      <c r="BD5" s="46">
        <v>0</v>
      </c>
      <c r="BP5" s="61" t="s">
        <v>931</v>
      </c>
      <c r="BQ5" s="42">
        <v>0.53</v>
      </c>
      <c r="BR5" s="42">
        <v>0.45</v>
      </c>
      <c r="BS5" s="42">
        <v>0.15</v>
      </c>
      <c r="BT5" s="42">
        <v>1.61</v>
      </c>
      <c r="BU5" s="42">
        <v>17.43</v>
      </c>
      <c r="BV5" s="42">
        <v>1.89</v>
      </c>
      <c r="BW5" s="42">
        <v>0.73</v>
      </c>
      <c r="BX5" s="46">
        <v>1.37</v>
      </c>
      <c r="BZ5" s="44" t="s">
        <v>931</v>
      </c>
      <c r="CA5" s="42">
        <v>12.69</v>
      </c>
      <c r="CB5" s="42">
        <v>0.73</v>
      </c>
      <c r="CC5" s="42">
        <v>1.61</v>
      </c>
      <c r="CD5" s="42">
        <v>3.56</v>
      </c>
      <c r="CE5" s="42">
        <v>1.89</v>
      </c>
      <c r="CF5" s="42">
        <v>2.59</v>
      </c>
      <c r="CG5" s="42">
        <v>0.24</v>
      </c>
      <c r="CH5" s="46">
        <v>0.2</v>
      </c>
      <c r="CJ5" s="44" t="s">
        <v>931</v>
      </c>
      <c r="CK5" s="42">
        <v>0.85</v>
      </c>
      <c r="CL5" s="42">
        <v>0.45</v>
      </c>
      <c r="CM5" s="42">
        <v>0.33</v>
      </c>
      <c r="CN5" s="42">
        <v>0</v>
      </c>
      <c r="CO5" s="42">
        <v>1.89</v>
      </c>
      <c r="CP5" s="42">
        <v>0.73</v>
      </c>
      <c r="CQ5" s="42">
        <v>0.28000000000000003</v>
      </c>
      <c r="CR5" s="46">
        <v>1.89</v>
      </c>
    </row>
    <row r="6" spans="2:96">
      <c r="B6" s="68" t="s">
        <v>931</v>
      </c>
      <c r="C6" s="69">
        <v>2.98</v>
      </c>
      <c r="D6" s="69">
        <f t="shared" si="0"/>
        <v>2.98</v>
      </c>
      <c r="E6" s="70">
        <f t="shared" si="1"/>
        <v>2.98</v>
      </c>
      <c r="F6" s="69">
        <v>4.3899999999999997</v>
      </c>
      <c r="G6" s="69">
        <f t="shared" si="2"/>
        <v>4.3899999999999997</v>
      </c>
      <c r="H6" s="70">
        <f t="shared" si="3"/>
        <v>4.3899999999999997</v>
      </c>
      <c r="I6" s="69">
        <v>5.3</v>
      </c>
      <c r="J6" s="69">
        <f t="shared" si="4"/>
        <v>5.3</v>
      </c>
      <c r="K6" s="70">
        <f t="shared" si="5"/>
        <v>5.3</v>
      </c>
      <c r="L6" s="69">
        <v>5.62</v>
      </c>
      <c r="M6" s="69">
        <f t="shared" si="6"/>
        <v>5.62</v>
      </c>
      <c r="N6" s="70">
        <f t="shared" si="7"/>
        <v>5.62</v>
      </c>
      <c r="O6" s="69">
        <v>4.3099999999999996</v>
      </c>
      <c r="P6" s="69">
        <f t="shared" si="8"/>
        <v>4.3099999999999996</v>
      </c>
      <c r="Q6" s="70">
        <f t="shared" si="9"/>
        <v>4.3099999999999996</v>
      </c>
      <c r="R6" s="69">
        <v>4.87</v>
      </c>
      <c r="S6" s="69">
        <f t="shared" si="10"/>
        <v>4.87</v>
      </c>
      <c r="T6" s="70">
        <f t="shared" si="11"/>
        <v>4.87</v>
      </c>
      <c r="U6" s="69">
        <v>1.76</v>
      </c>
      <c r="V6" s="69">
        <f t="shared" si="12"/>
        <v>1.76</v>
      </c>
      <c r="W6" s="70">
        <f t="shared" si="13"/>
        <v>1.76</v>
      </c>
      <c r="X6" s="69">
        <v>2.21</v>
      </c>
      <c r="Y6" s="69">
        <f t="shared" si="14"/>
        <v>2.21</v>
      </c>
      <c r="Z6" s="71">
        <f t="shared" si="15"/>
        <v>2.21</v>
      </c>
      <c r="AB6" s="61" t="s">
        <v>931</v>
      </c>
      <c r="AC6" s="42">
        <v>2.82</v>
      </c>
      <c r="AD6" s="42">
        <v>5.43</v>
      </c>
      <c r="AE6" s="42">
        <v>5.2</v>
      </c>
      <c r="AF6" s="42">
        <v>6.08</v>
      </c>
      <c r="AG6" s="42">
        <v>0</v>
      </c>
      <c r="AH6" s="42">
        <v>3.73</v>
      </c>
      <c r="AI6" s="42">
        <v>2.29</v>
      </c>
      <c r="AJ6" s="46">
        <v>1.8</v>
      </c>
      <c r="AL6" s="61" t="s">
        <v>931</v>
      </c>
      <c r="AM6" s="42">
        <v>3.91</v>
      </c>
      <c r="AN6" s="42">
        <v>4.25</v>
      </c>
      <c r="AO6" s="42">
        <v>4.1399999999999997</v>
      </c>
      <c r="AP6" s="42">
        <v>4.26</v>
      </c>
      <c r="AQ6" s="42">
        <v>3.62</v>
      </c>
      <c r="AR6" s="42">
        <v>3.13</v>
      </c>
      <c r="AS6" s="42">
        <v>1.62</v>
      </c>
      <c r="AT6" s="46">
        <v>1.27</v>
      </c>
      <c r="AV6" s="61" t="s">
        <v>931</v>
      </c>
      <c r="AW6" s="42">
        <v>4.16</v>
      </c>
      <c r="AX6" s="42">
        <v>6.06</v>
      </c>
      <c r="AY6" s="42">
        <v>3.76</v>
      </c>
      <c r="AZ6" s="42">
        <v>5.16</v>
      </c>
      <c r="BA6" s="42">
        <v>5.45</v>
      </c>
      <c r="BB6" s="42">
        <v>1.85</v>
      </c>
      <c r="BC6" s="42">
        <v>3.78</v>
      </c>
      <c r="BD6" s="46">
        <v>0</v>
      </c>
      <c r="BP6" s="61" t="s">
        <v>931</v>
      </c>
      <c r="BQ6" s="42">
        <v>0.53</v>
      </c>
      <c r="BR6" s="42">
        <v>0.45</v>
      </c>
      <c r="BS6" s="42">
        <v>0.15</v>
      </c>
      <c r="BT6" s="42">
        <v>1.37</v>
      </c>
      <c r="BU6" s="42">
        <v>17.43</v>
      </c>
      <c r="BV6" s="42">
        <v>1.61</v>
      </c>
      <c r="BW6" s="42">
        <v>0.45</v>
      </c>
      <c r="BX6" s="46">
        <v>1.37</v>
      </c>
      <c r="BZ6" s="44" t="s">
        <v>931</v>
      </c>
      <c r="CA6" s="42">
        <v>12.69</v>
      </c>
      <c r="CB6" s="42">
        <v>1.37</v>
      </c>
      <c r="CC6" s="42">
        <v>0.24</v>
      </c>
      <c r="CD6" s="42">
        <v>3.56</v>
      </c>
      <c r="CE6" s="42">
        <v>1.89</v>
      </c>
      <c r="CF6" s="42">
        <v>2.21</v>
      </c>
      <c r="CG6" s="42">
        <v>0.2</v>
      </c>
      <c r="CH6" s="46">
        <v>0.2</v>
      </c>
      <c r="CJ6" s="44" t="s">
        <v>931</v>
      </c>
      <c r="CK6" s="42">
        <v>0.85</v>
      </c>
      <c r="CL6" s="42">
        <v>6.72</v>
      </c>
      <c r="CM6" s="42">
        <v>0.15</v>
      </c>
      <c r="CN6" s="42">
        <v>0</v>
      </c>
      <c r="CO6" s="42">
        <v>2.21</v>
      </c>
      <c r="CP6" s="42">
        <v>0.73</v>
      </c>
      <c r="CQ6" s="42">
        <v>0.24</v>
      </c>
      <c r="CR6" s="46">
        <v>1.89</v>
      </c>
    </row>
    <row r="7" spans="2:96">
      <c r="B7" s="68" t="s">
        <v>931</v>
      </c>
      <c r="C7" s="69">
        <v>2.99</v>
      </c>
      <c r="D7" s="69">
        <f t="shared" si="0"/>
        <v>2.99</v>
      </c>
      <c r="E7" s="70">
        <f t="shared" si="1"/>
        <v>2.99</v>
      </c>
      <c r="F7" s="69">
        <v>4.4400000000000004</v>
      </c>
      <c r="G7" s="69">
        <f t="shared" si="2"/>
        <v>4.4400000000000004</v>
      </c>
      <c r="H7" s="70">
        <f t="shared" si="3"/>
        <v>4.4400000000000004</v>
      </c>
      <c r="I7" s="69">
        <v>5.26</v>
      </c>
      <c r="J7" s="69">
        <f t="shared" si="4"/>
        <v>5.26</v>
      </c>
      <c r="K7" s="70">
        <f t="shared" si="5"/>
        <v>5.26</v>
      </c>
      <c r="L7" s="69">
        <v>5.67</v>
      </c>
      <c r="M7" s="69">
        <f t="shared" si="6"/>
        <v>5.67</v>
      </c>
      <c r="N7" s="70">
        <f t="shared" si="7"/>
        <v>5.67</v>
      </c>
      <c r="O7" s="69">
        <v>4.3</v>
      </c>
      <c r="P7" s="69">
        <f t="shared" si="8"/>
        <v>4.3</v>
      </c>
      <c r="Q7" s="70">
        <f t="shared" si="9"/>
        <v>4.3</v>
      </c>
      <c r="R7" s="69">
        <v>2.7</v>
      </c>
      <c r="S7" s="69">
        <f t="shared" si="10"/>
        <v>2.7</v>
      </c>
      <c r="T7" s="70" t="str">
        <f t="shared" si="11"/>
        <v/>
      </c>
      <c r="U7" s="69">
        <v>1.77</v>
      </c>
      <c r="V7" s="69">
        <f t="shared" si="12"/>
        <v>1.77</v>
      </c>
      <c r="W7" s="70">
        <f t="shared" si="13"/>
        <v>1.77</v>
      </c>
      <c r="X7" s="69">
        <v>2.27</v>
      </c>
      <c r="Y7" s="69">
        <f t="shared" si="14"/>
        <v>2.27</v>
      </c>
      <c r="Z7" s="71">
        <f t="shared" si="15"/>
        <v>2.27</v>
      </c>
      <c r="AB7" s="61" t="s">
        <v>931</v>
      </c>
      <c r="AC7" s="42">
        <v>2.82</v>
      </c>
      <c r="AD7" s="42">
        <v>0.53</v>
      </c>
      <c r="AE7" s="42">
        <v>5.22</v>
      </c>
      <c r="AF7" s="42">
        <v>6.1</v>
      </c>
      <c r="AG7" s="42">
        <v>0</v>
      </c>
      <c r="AH7" s="42">
        <v>3.73</v>
      </c>
      <c r="AI7" s="42">
        <v>3.1</v>
      </c>
      <c r="AJ7" s="46">
        <v>3.46</v>
      </c>
      <c r="AL7" s="61" t="s">
        <v>931</v>
      </c>
      <c r="AM7" s="42">
        <v>3.93</v>
      </c>
      <c r="AN7" s="42">
        <v>4.2699999999999996</v>
      </c>
      <c r="AO7" s="42">
        <v>4.17</v>
      </c>
      <c r="AP7" s="42">
        <v>0.12</v>
      </c>
      <c r="AQ7" s="42">
        <v>3.62</v>
      </c>
      <c r="AR7" s="42">
        <v>3.11</v>
      </c>
      <c r="AS7" s="42">
        <v>1.61</v>
      </c>
      <c r="AT7" s="46">
        <v>1.27</v>
      </c>
      <c r="AV7" s="61" t="s">
        <v>931</v>
      </c>
      <c r="AW7" s="42">
        <v>4.17</v>
      </c>
      <c r="AX7" s="42">
        <v>6.14</v>
      </c>
      <c r="AY7" s="42">
        <v>3.79</v>
      </c>
      <c r="AZ7" s="42">
        <v>5.13</v>
      </c>
      <c r="BA7" s="42">
        <v>5.42</v>
      </c>
      <c r="BB7" s="42">
        <v>1.84</v>
      </c>
      <c r="BC7" s="42">
        <v>0.68</v>
      </c>
      <c r="BD7" s="46">
        <v>3.23</v>
      </c>
      <c r="BP7" s="61" t="s">
        <v>931</v>
      </c>
      <c r="BQ7" s="42">
        <v>0.53</v>
      </c>
      <c r="BR7" s="42">
        <v>3.56</v>
      </c>
      <c r="BS7" s="42">
        <v>0.39</v>
      </c>
      <c r="BT7" s="42">
        <v>1.61</v>
      </c>
      <c r="BU7" s="42">
        <v>2.59</v>
      </c>
      <c r="BV7" s="42">
        <v>1.61</v>
      </c>
      <c r="BW7" s="42">
        <v>0.62</v>
      </c>
      <c r="BX7" s="46">
        <v>4.18</v>
      </c>
      <c r="BZ7" s="44" t="s">
        <v>931</v>
      </c>
      <c r="CA7" s="42">
        <v>12.69</v>
      </c>
      <c r="CB7" s="42">
        <v>0.85</v>
      </c>
      <c r="CC7" s="42">
        <v>0.2</v>
      </c>
      <c r="CD7" s="42">
        <v>1.89</v>
      </c>
      <c r="CE7" s="42">
        <v>1.37</v>
      </c>
      <c r="CF7" s="42">
        <v>3.56</v>
      </c>
      <c r="CG7" s="42">
        <v>0</v>
      </c>
      <c r="CH7" s="46">
        <v>0.85</v>
      </c>
      <c r="CJ7" s="44" t="s">
        <v>931</v>
      </c>
      <c r="CK7" s="42">
        <v>0.73</v>
      </c>
      <c r="CL7" s="42">
        <v>0.45</v>
      </c>
      <c r="CM7" s="42">
        <v>0.17</v>
      </c>
      <c r="CN7" s="42">
        <v>1.17</v>
      </c>
      <c r="CO7" s="42">
        <v>1.89</v>
      </c>
      <c r="CP7" s="42">
        <v>0.73</v>
      </c>
      <c r="CQ7" s="42">
        <v>0.28000000000000003</v>
      </c>
      <c r="CR7" s="46">
        <v>1.89</v>
      </c>
    </row>
    <row r="8" spans="2:96">
      <c r="B8" s="68" t="s">
        <v>931</v>
      </c>
      <c r="C8" s="69">
        <v>3.02</v>
      </c>
      <c r="D8" s="69">
        <f t="shared" si="0"/>
        <v>3.02</v>
      </c>
      <c r="E8" s="70">
        <f t="shared" si="1"/>
        <v>3.02</v>
      </c>
      <c r="F8" s="69">
        <v>4.32</v>
      </c>
      <c r="G8" s="69">
        <f t="shared" si="2"/>
        <v>4.32</v>
      </c>
      <c r="H8" s="70">
        <f t="shared" si="3"/>
        <v>4.32</v>
      </c>
      <c r="I8" s="69">
        <v>5.3</v>
      </c>
      <c r="J8" s="69">
        <f t="shared" si="4"/>
        <v>5.3</v>
      </c>
      <c r="K8" s="70">
        <f t="shared" si="5"/>
        <v>5.3</v>
      </c>
      <c r="L8" s="69">
        <v>5.64</v>
      </c>
      <c r="M8" s="69">
        <f t="shared" si="6"/>
        <v>5.64</v>
      </c>
      <c r="N8" s="70">
        <f t="shared" si="7"/>
        <v>5.64</v>
      </c>
      <c r="O8" s="69">
        <v>4.32</v>
      </c>
      <c r="P8" s="69">
        <f t="shared" si="8"/>
        <v>4.32</v>
      </c>
      <c r="Q8" s="70">
        <f t="shared" si="9"/>
        <v>4.32</v>
      </c>
      <c r="R8" s="69">
        <v>4.8600000000000003</v>
      </c>
      <c r="S8" s="69">
        <f t="shared" si="10"/>
        <v>4.8600000000000003</v>
      </c>
      <c r="T8" s="70">
        <f t="shared" si="11"/>
        <v>4.8600000000000003</v>
      </c>
      <c r="U8" s="69">
        <v>1.78</v>
      </c>
      <c r="V8" s="69">
        <f t="shared" si="12"/>
        <v>1.78</v>
      </c>
      <c r="W8" s="70">
        <f t="shared" si="13"/>
        <v>1.78</v>
      </c>
      <c r="X8" s="69">
        <v>2.2599999999999998</v>
      </c>
      <c r="Y8" s="69">
        <f t="shared" si="14"/>
        <v>2.2599999999999998</v>
      </c>
      <c r="Z8" s="71">
        <f t="shared" si="15"/>
        <v>2.2599999999999998</v>
      </c>
      <c r="AB8" s="61" t="s">
        <v>931</v>
      </c>
      <c r="AC8" s="42">
        <v>2.85</v>
      </c>
      <c r="AD8" s="42">
        <v>5.46</v>
      </c>
      <c r="AE8" s="42">
        <v>5.17</v>
      </c>
      <c r="AF8" s="42">
        <v>6.09</v>
      </c>
      <c r="AG8" s="42">
        <v>5.35</v>
      </c>
      <c r="AH8" s="42">
        <v>2.94</v>
      </c>
      <c r="AI8" s="42">
        <v>3.04</v>
      </c>
      <c r="AJ8" s="46">
        <v>2.79</v>
      </c>
      <c r="AL8" s="61" t="s">
        <v>931</v>
      </c>
      <c r="AM8" s="42">
        <v>3.92</v>
      </c>
      <c r="AN8" s="42">
        <v>4.26</v>
      </c>
      <c r="AO8" s="42">
        <v>4.13</v>
      </c>
      <c r="AP8" s="42">
        <v>4.34</v>
      </c>
      <c r="AQ8" s="42">
        <v>3.62</v>
      </c>
      <c r="AR8" s="42">
        <v>3.15</v>
      </c>
      <c r="AS8" s="42">
        <v>1.63</v>
      </c>
      <c r="AT8" s="46">
        <v>0</v>
      </c>
      <c r="AV8" s="61" t="s">
        <v>931</v>
      </c>
      <c r="AW8" s="42">
        <v>4.1500000000000004</v>
      </c>
      <c r="AX8" s="42">
        <v>6.08</v>
      </c>
      <c r="AY8" s="42">
        <v>3.75</v>
      </c>
      <c r="AZ8" s="42">
        <v>5.15</v>
      </c>
      <c r="BA8" s="42">
        <v>5.51</v>
      </c>
      <c r="BB8" s="42">
        <v>1.87</v>
      </c>
      <c r="BC8" s="42">
        <v>3.74</v>
      </c>
      <c r="BD8" s="46">
        <v>3.06</v>
      </c>
      <c r="BP8" s="61" t="s">
        <v>931</v>
      </c>
      <c r="BQ8" s="42">
        <v>0.53</v>
      </c>
      <c r="BR8" s="42">
        <v>3.56</v>
      </c>
      <c r="BS8" s="42">
        <v>0.39</v>
      </c>
      <c r="BT8" s="42">
        <v>1.61</v>
      </c>
      <c r="BU8" s="42">
        <v>2.59</v>
      </c>
      <c r="BV8" s="42">
        <v>1.89</v>
      </c>
      <c r="BW8" s="42">
        <v>0.62</v>
      </c>
      <c r="BX8" s="46">
        <v>1.17</v>
      </c>
      <c r="BZ8" s="44" t="s">
        <v>931</v>
      </c>
      <c r="CA8" s="42">
        <v>12.69</v>
      </c>
      <c r="CB8" s="42">
        <v>1.37</v>
      </c>
      <c r="CC8" s="42">
        <v>1.61</v>
      </c>
      <c r="CD8" s="42">
        <v>3.56</v>
      </c>
      <c r="CE8" s="42">
        <v>1.89</v>
      </c>
      <c r="CF8" s="42">
        <v>2.59</v>
      </c>
      <c r="CG8" s="42">
        <v>0.2</v>
      </c>
      <c r="CH8" s="46">
        <v>0.2</v>
      </c>
      <c r="CJ8" s="44" t="s">
        <v>931</v>
      </c>
      <c r="CK8" s="42">
        <v>0.73</v>
      </c>
      <c r="CL8" s="42">
        <v>0.45</v>
      </c>
      <c r="CM8" s="42">
        <v>0.15</v>
      </c>
      <c r="CN8" s="42">
        <v>1.17</v>
      </c>
      <c r="CO8" s="42">
        <v>2.21</v>
      </c>
      <c r="CP8" s="42">
        <v>0.73</v>
      </c>
      <c r="CQ8" s="42">
        <v>0.33</v>
      </c>
      <c r="CR8" s="46">
        <v>1.89</v>
      </c>
    </row>
    <row r="9" spans="2:96">
      <c r="B9" s="68" t="s">
        <v>932</v>
      </c>
      <c r="C9" s="69">
        <v>2.99</v>
      </c>
      <c r="D9" s="69">
        <f t="shared" si="0"/>
        <v>2.99</v>
      </c>
      <c r="E9" s="70">
        <f t="shared" si="1"/>
        <v>2.99</v>
      </c>
      <c r="F9" s="69">
        <v>0</v>
      </c>
      <c r="G9" s="69" t="str">
        <f t="shared" si="2"/>
        <v/>
      </c>
      <c r="H9" s="70" t="str">
        <f t="shared" si="3"/>
        <v/>
      </c>
      <c r="I9" s="69">
        <v>5.29</v>
      </c>
      <c r="J9" s="69">
        <f t="shared" si="4"/>
        <v>5.29</v>
      </c>
      <c r="K9" s="70">
        <f t="shared" si="5"/>
        <v>5.29</v>
      </c>
      <c r="L9" s="69">
        <v>0.61</v>
      </c>
      <c r="M9" s="69">
        <f t="shared" si="6"/>
        <v>0.61</v>
      </c>
      <c r="N9" s="70" t="str">
        <f t="shared" si="7"/>
        <v/>
      </c>
      <c r="O9" s="69">
        <v>4.33</v>
      </c>
      <c r="P9" s="69">
        <f t="shared" si="8"/>
        <v>4.33</v>
      </c>
      <c r="Q9" s="70">
        <f t="shared" si="9"/>
        <v>4.33</v>
      </c>
      <c r="R9" s="69">
        <v>4.84</v>
      </c>
      <c r="S9" s="69">
        <f t="shared" si="10"/>
        <v>4.84</v>
      </c>
      <c r="T9" s="70">
        <f t="shared" si="11"/>
        <v>4.84</v>
      </c>
      <c r="U9" s="69">
        <v>1.77</v>
      </c>
      <c r="V9" s="69">
        <f t="shared" si="12"/>
        <v>1.77</v>
      </c>
      <c r="W9" s="70">
        <f t="shared" si="13"/>
        <v>1.77</v>
      </c>
      <c r="X9" s="69">
        <v>2.2599999999999998</v>
      </c>
      <c r="Y9" s="69">
        <f t="shared" si="14"/>
        <v>2.2599999999999998</v>
      </c>
      <c r="Z9" s="71">
        <f t="shared" si="15"/>
        <v>2.2599999999999998</v>
      </c>
      <c r="AB9" s="61" t="s">
        <v>932</v>
      </c>
      <c r="AC9" s="42">
        <v>2.84</v>
      </c>
      <c r="AD9" s="42">
        <v>5.47</v>
      </c>
      <c r="AE9" s="42">
        <v>2.63</v>
      </c>
      <c r="AF9" s="42">
        <v>6.09</v>
      </c>
      <c r="AG9" s="42">
        <v>0</v>
      </c>
      <c r="AH9" s="42">
        <v>3.74</v>
      </c>
      <c r="AI9" s="42">
        <v>0.4</v>
      </c>
      <c r="AJ9" s="46">
        <v>2.58</v>
      </c>
      <c r="AL9" s="61" t="s">
        <v>932</v>
      </c>
      <c r="AM9" s="42">
        <v>3.93</v>
      </c>
      <c r="AN9" s="42">
        <v>0.22</v>
      </c>
      <c r="AO9" s="42">
        <v>4.16</v>
      </c>
      <c r="AP9" s="42">
        <v>4.33</v>
      </c>
      <c r="AQ9" s="42">
        <v>3.61</v>
      </c>
      <c r="AR9" s="42">
        <v>3.13</v>
      </c>
      <c r="AS9" s="42">
        <v>1.64</v>
      </c>
      <c r="AT9" s="46">
        <v>1.24</v>
      </c>
      <c r="AV9" s="61" t="s">
        <v>933</v>
      </c>
      <c r="AW9" s="42">
        <v>4.16</v>
      </c>
      <c r="AX9" s="42">
        <v>6.1</v>
      </c>
      <c r="AY9" s="42">
        <v>3.76</v>
      </c>
      <c r="AZ9" s="42">
        <v>5.22</v>
      </c>
      <c r="BA9" s="42">
        <v>5.45</v>
      </c>
      <c r="BB9" s="42">
        <v>1.84</v>
      </c>
      <c r="BC9" s="42">
        <v>3.75</v>
      </c>
      <c r="BD9" s="46">
        <v>3.18</v>
      </c>
      <c r="BP9" s="61" t="s">
        <v>932</v>
      </c>
      <c r="BQ9" s="42">
        <v>0.53</v>
      </c>
      <c r="BR9" s="42">
        <v>3.56</v>
      </c>
      <c r="BS9" s="42">
        <v>0.15</v>
      </c>
      <c r="BT9" s="42">
        <v>1.61</v>
      </c>
      <c r="BU9" s="42">
        <v>0.62</v>
      </c>
      <c r="BV9" s="42">
        <v>1.61</v>
      </c>
      <c r="BW9" s="42">
        <v>0.73</v>
      </c>
      <c r="BX9" s="46">
        <v>1.17</v>
      </c>
      <c r="BZ9" s="44" t="s">
        <v>932</v>
      </c>
      <c r="CA9" s="42">
        <v>12.69</v>
      </c>
      <c r="CB9" s="42">
        <v>1.37</v>
      </c>
      <c r="CC9" s="42">
        <v>0.2</v>
      </c>
      <c r="CD9" s="42">
        <v>3.56</v>
      </c>
      <c r="CE9" s="42">
        <v>1.17</v>
      </c>
      <c r="CF9" s="42">
        <v>3.04</v>
      </c>
      <c r="CG9" s="42">
        <v>0.24</v>
      </c>
      <c r="CH9" s="46">
        <v>0.2</v>
      </c>
      <c r="CJ9" s="44" t="s">
        <v>932</v>
      </c>
      <c r="CK9" s="42">
        <v>0</v>
      </c>
      <c r="CL9" s="42">
        <v>0.45</v>
      </c>
      <c r="CM9" s="42">
        <v>0.13</v>
      </c>
      <c r="CN9" s="42">
        <v>2.21</v>
      </c>
      <c r="CO9" s="42">
        <v>1.89</v>
      </c>
      <c r="CP9" s="42">
        <v>0.53</v>
      </c>
      <c r="CQ9" s="42">
        <v>0.33</v>
      </c>
      <c r="CR9" s="46">
        <v>2.21</v>
      </c>
    </row>
    <row r="10" spans="2:96">
      <c r="B10" s="68" t="s">
        <v>932</v>
      </c>
      <c r="C10" s="69">
        <v>3.03</v>
      </c>
      <c r="D10" s="69">
        <f t="shared" si="0"/>
        <v>3.03</v>
      </c>
      <c r="E10" s="70">
        <f t="shared" si="1"/>
        <v>3.03</v>
      </c>
      <c r="F10" s="69">
        <v>4.38</v>
      </c>
      <c r="G10" s="69">
        <f t="shared" si="2"/>
        <v>4.38</v>
      </c>
      <c r="H10" s="70">
        <f t="shared" si="3"/>
        <v>4.38</v>
      </c>
      <c r="I10" s="69">
        <v>5.31</v>
      </c>
      <c r="J10" s="69">
        <f t="shared" si="4"/>
        <v>5.31</v>
      </c>
      <c r="K10" s="70">
        <f t="shared" si="5"/>
        <v>5.31</v>
      </c>
      <c r="L10" s="69">
        <v>4.3099999999999996</v>
      </c>
      <c r="M10" s="69">
        <f t="shared" si="6"/>
        <v>4.3099999999999996</v>
      </c>
      <c r="N10" s="70">
        <f t="shared" si="7"/>
        <v>4.3099999999999996</v>
      </c>
      <c r="O10" s="69">
        <v>4.32</v>
      </c>
      <c r="P10" s="69">
        <f t="shared" si="8"/>
        <v>4.32</v>
      </c>
      <c r="Q10" s="70">
        <f t="shared" si="9"/>
        <v>4.32</v>
      </c>
      <c r="R10" s="69">
        <v>4.84</v>
      </c>
      <c r="S10" s="69">
        <f t="shared" si="10"/>
        <v>4.84</v>
      </c>
      <c r="T10" s="70">
        <f t="shared" si="11"/>
        <v>4.84</v>
      </c>
      <c r="U10" s="69">
        <v>1.78</v>
      </c>
      <c r="V10" s="69">
        <f t="shared" si="12"/>
        <v>1.78</v>
      </c>
      <c r="W10" s="70">
        <f t="shared" si="13"/>
        <v>1.78</v>
      </c>
      <c r="X10" s="69">
        <v>2.2599999999999998</v>
      </c>
      <c r="Y10" s="69">
        <f t="shared" si="14"/>
        <v>2.2599999999999998</v>
      </c>
      <c r="Z10" s="71">
        <f t="shared" si="15"/>
        <v>2.2599999999999998</v>
      </c>
      <c r="AB10" s="61" t="s">
        <v>932</v>
      </c>
      <c r="AC10" s="42">
        <v>2.84</v>
      </c>
      <c r="AD10" s="42">
        <v>5.43</v>
      </c>
      <c r="AE10" s="42">
        <v>5.19</v>
      </c>
      <c r="AF10" s="42">
        <v>3.6</v>
      </c>
      <c r="AG10" s="42">
        <v>0</v>
      </c>
      <c r="AH10" s="42">
        <v>3.75</v>
      </c>
      <c r="AI10" s="42">
        <v>3.09</v>
      </c>
      <c r="AJ10" s="46">
        <v>3.44</v>
      </c>
      <c r="AL10" s="61" t="s">
        <v>932</v>
      </c>
      <c r="AM10" s="42">
        <v>3.91</v>
      </c>
      <c r="AN10" s="42">
        <v>4.3</v>
      </c>
      <c r="AO10" s="42">
        <v>1.67</v>
      </c>
      <c r="AP10" s="42">
        <v>4.3</v>
      </c>
      <c r="AQ10" s="42">
        <v>3.57</v>
      </c>
      <c r="AR10" s="42">
        <v>3.12</v>
      </c>
      <c r="AS10" s="42">
        <v>1.61</v>
      </c>
      <c r="AT10" s="46">
        <v>1.25</v>
      </c>
      <c r="AV10" s="61" t="s">
        <v>933</v>
      </c>
      <c r="AW10" s="42">
        <v>4.16</v>
      </c>
      <c r="AX10" s="42">
        <v>6.08</v>
      </c>
      <c r="AY10" s="42">
        <v>3.81</v>
      </c>
      <c r="AZ10" s="42">
        <v>5.22</v>
      </c>
      <c r="BA10" s="42">
        <v>5.48</v>
      </c>
      <c r="BB10" s="42">
        <v>1.84</v>
      </c>
      <c r="BC10" s="42">
        <v>3.76</v>
      </c>
      <c r="BD10" s="46">
        <v>3.11</v>
      </c>
      <c r="BP10" s="61" t="s">
        <v>932</v>
      </c>
      <c r="BQ10" s="42">
        <v>0.53</v>
      </c>
      <c r="BR10" s="42">
        <v>0.73</v>
      </c>
      <c r="BS10" s="42">
        <v>0.15</v>
      </c>
      <c r="BT10" s="42">
        <v>1.89</v>
      </c>
      <c r="BU10" s="42">
        <v>2.59</v>
      </c>
      <c r="BV10" s="42">
        <v>1.89</v>
      </c>
      <c r="BW10" s="42">
        <v>0.62</v>
      </c>
      <c r="BX10" s="46">
        <v>1.17</v>
      </c>
      <c r="BZ10" s="44" t="s">
        <v>932</v>
      </c>
      <c r="CA10" s="42">
        <v>12.69</v>
      </c>
      <c r="CB10" s="42">
        <v>0.85</v>
      </c>
      <c r="CC10" s="42">
        <v>1.89</v>
      </c>
      <c r="CD10" s="42">
        <v>3.56</v>
      </c>
      <c r="CE10" s="42">
        <v>1.61</v>
      </c>
      <c r="CF10" s="42">
        <v>2.59</v>
      </c>
      <c r="CG10" s="42">
        <v>0.2</v>
      </c>
      <c r="CH10" s="46">
        <v>0.24</v>
      </c>
      <c r="CJ10" s="44" t="s">
        <v>932</v>
      </c>
      <c r="CK10" s="42">
        <v>0.85</v>
      </c>
      <c r="CL10" s="42">
        <v>0.45</v>
      </c>
      <c r="CM10" s="42">
        <v>0.15</v>
      </c>
      <c r="CN10" s="42">
        <v>0</v>
      </c>
      <c r="CO10" s="42">
        <v>1.89</v>
      </c>
      <c r="CP10" s="42">
        <v>0.73</v>
      </c>
      <c r="CQ10" s="42">
        <v>0.28000000000000003</v>
      </c>
      <c r="CR10" s="46">
        <v>1.89</v>
      </c>
    </row>
    <row r="11" spans="2:96">
      <c r="B11" s="68" t="s">
        <v>932</v>
      </c>
      <c r="C11" s="69">
        <v>3.01</v>
      </c>
      <c r="D11" s="69">
        <f t="shared" si="0"/>
        <v>3.01</v>
      </c>
      <c r="E11" s="70">
        <f t="shared" si="1"/>
        <v>3.01</v>
      </c>
      <c r="F11" s="69">
        <v>4.3899999999999997</v>
      </c>
      <c r="G11" s="69">
        <f t="shared" si="2"/>
        <v>4.3899999999999997</v>
      </c>
      <c r="H11" s="70">
        <f t="shared" si="3"/>
        <v>4.3899999999999997</v>
      </c>
      <c r="I11" s="69">
        <v>5.25</v>
      </c>
      <c r="J11" s="69">
        <f t="shared" si="4"/>
        <v>5.25</v>
      </c>
      <c r="K11" s="70">
        <f t="shared" si="5"/>
        <v>5.25</v>
      </c>
      <c r="L11" s="69">
        <v>5.62</v>
      </c>
      <c r="M11" s="69">
        <f t="shared" si="6"/>
        <v>5.62</v>
      </c>
      <c r="N11" s="70">
        <f t="shared" si="7"/>
        <v>5.62</v>
      </c>
      <c r="O11" s="69">
        <v>4.3099999999999996</v>
      </c>
      <c r="P11" s="69">
        <f t="shared" si="8"/>
        <v>4.3099999999999996</v>
      </c>
      <c r="Q11" s="70">
        <f t="shared" si="9"/>
        <v>4.3099999999999996</v>
      </c>
      <c r="R11" s="69">
        <v>4.8899999999999997</v>
      </c>
      <c r="S11" s="69">
        <f t="shared" si="10"/>
        <v>4.8899999999999997</v>
      </c>
      <c r="T11" s="70">
        <f t="shared" si="11"/>
        <v>4.8899999999999997</v>
      </c>
      <c r="U11" s="69">
        <v>1.81</v>
      </c>
      <c r="V11" s="69">
        <f t="shared" si="12"/>
        <v>1.81</v>
      </c>
      <c r="W11" s="70">
        <f t="shared" si="13"/>
        <v>1.81</v>
      </c>
      <c r="X11" s="69">
        <v>2.27</v>
      </c>
      <c r="Y11" s="69">
        <f t="shared" si="14"/>
        <v>2.27</v>
      </c>
      <c r="Z11" s="71">
        <f t="shared" si="15"/>
        <v>2.27</v>
      </c>
      <c r="AB11" s="61" t="s">
        <v>932</v>
      </c>
      <c r="AC11" s="42">
        <v>2.86</v>
      </c>
      <c r="AD11" s="42">
        <v>5.47</v>
      </c>
      <c r="AE11" s="42">
        <v>5.23</v>
      </c>
      <c r="AF11" s="42">
        <v>6.05</v>
      </c>
      <c r="AG11" s="42">
        <v>0</v>
      </c>
      <c r="AH11" s="42">
        <v>3.75</v>
      </c>
      <c r="AI11" s="42">
        <v>3.09</v>
      </c>
      <c r="AJ11" s="46">
        <v>0.97</v>
      </c>
      <c r="AL11" s="61" t="s">
        <v>932</v>
      </c>
      <c r="AM11" s="42">
        <v>3.91</v>
      </c>
      <c r="AN11" s="42">
        <v>4.25</v>
      </c>
      <c r="AO11" s="42">
        <v>4.13</v>
      </c>
      <c r="AP11" s="42">
        <v>4.32</v>
      </c>
      <c r="AQ11" s="42">
        <v>1.1399999999999999</v>
      </c>
      <c r="AR11" s="42">
        <v>3.12</v>
      </c>
      <c r="AS11" s="42">
        <v>1.62</v>
      </c>
      <c r="AT11" s="46">
        <v>1.27</v>
      </c>
      <c r="AV11" s="61" t="s">
        <v>933</v>
      </c>
      <c r="AW11" s="42">
        <v>4.16</v>
      </c>
      <c r="AX11" s="42">
        <v>6.07</v>
      </c>
      <c r="AY11" s="42">
        <v>3.78</v>
      </c>
      <c r="AZ11" s="42">
        <v>1.45</v>
      </c>
      <c r="BA11" s="42">
        <v>4.75</v>
      </c>
      <c r="BB11" s="42">
        <v>1.83</v>
      </c>
      <c r="BC11" s="42">
        <v>0.56000000000000005</v>
      </c>
      <c r="BD11" s="46">
        <v>0</v>
      </c>
      <c r="BP11" s="61" t="s">
        <v>932</v>
      </c>
      <c r="BQ11" s="42">
        <v>0.62</v>
      </c>
      <c r="BR11" s="42">
        <v>4.18</v>
      </c>
      <c r="BS11" s="42">
        <v>0.39</v>
      </c>
      <c r="BT11" s="42">
        <v>1.61</v>
      </c>
      <c r="BU11" s="42">
        <v>2.59</v>
      </c>
      <c r="BV11" s="42">
        <v>1.61</v>
      </c>
      <c r="BW11" s="42">
        <v>0.73</v>
      </c>
      <c r="BX11" s="46">
        <v>1.17</v>
      </c>
      <c r="BZ11" s="44" t="s">
        <v>932</v>
      </c>
      <c r="CA11" s="42">
        <v>10.83</v>
      </c>
      <c r="CB11" s="42">
        <v>1.37</v>
      </c>
      <c r="CC11" s="42">
        <v>1.61</v>
      </c>
      <c r="CD11" s="42">
        <v>1.89</v>
      </c>
      <c r="CE11" s="42">
        <v>1.89</v>
      </c>
      <c r="CF11" s="42">
        <v>2.21</v>
      </c>
      <c r="CG11" s="42">
        <v>0.24</v>
      </c>
      <c r="CH11" s="46">
        <v>0.2</v>
      </c>
      <c r="CJ11" s="44" t="s">
        <v>932</v>
      </c>
      <c r="CK11" s="42">
        <v>0</v>
      </c>
      <c r="CL11" s="42">
        <v>1.37</v>
      </c>
      <c r="CM11" s="42">
        <v>0.13</v>
      </c>
      <c r="CN11" s="42">
        <v>9.24</v>
      </c>
      <c r="CO11" s="42">
        <v>0.85</v>
      </c>
      <c r="CP11" s="42">
        <v>0.33</v>
      </c>
      <c r="CQ11" s="42">
        <v>0.28000000000000003</v>
      </c>
      <c r="CR11" s="46">
        <v>3.56</v>
      </c>
    </row>
    <row r="12" spans="2:96">
      <c r="B12" s="68" t="s">
        <v>932</v>
      </c>
      <c r="C12" s="69">
        <v>3</v>
      </c>
      <c r="D12" s="69">
        <f t="shared" si="0"/>
        <v>3</v>
      </c>
      <c r="E12" s="70">
        <f t="shared" si="1"/>
        <v>3</v>
      </c>
      <c r="F12" s="69">
        <v>2.58</v>
      </c>
      <c r="G12" s="69">
        <f t="shared" si="2"/>
        <v>2.58</v>
      </c>
      <c r="H12" s="70" t="str">
        <f t="shared" si="3"/>
        <v/>
      </c>
      <c r="I12" s="69">
        <v>5.3</v>
      </c>
      <c r="J12" s="69">
        <f t="shared" si="4"/>
        <v>5.3</v>
      </c>
      <c r="K12" s="70">
        <f t="shared" si="5"/>
        <v>5.3</v>
      </c>
      <c r="L12" s="69">
        <v>5.61</v>
      </c>
      <c r="M12" s="69">
        <f t="shared" si="6"/>
        <v>5.61</v>
      </c>
      <c r="N12" s="70">
        <f t="shared" si="7"/>
        <v>5.61</v>
      </c>
      <c r="O12" s="69">
        <v>4.3099999999999996</v>
      </c>
      <c r="P12" s="69">
        <f t="shared" si="8"/>
        <v>4.3099999999999996</v>
      </c>
      <c r="Q12" s="70">
        <f t="shared" si="9"/>
        <v>4.3099999999999996</v>
      </c>
      <c r="R12" s="69">
        <v>4.84</v>
      </c>
      <c r="S12" s="69">
        <f t="shared" si="10"/>
        <v>4.84</v>
      </c>
      <c r="T12" s="70">
        <f t="shared" si="11"/>
        <v>4.84</v>
      </c>
      <c r="U12" s="69">
        <v>1.79</v>
      </c>
      <c r="V12" s="69">
        <f t="shared" si="12"/>
        <v>1.79</v>
      </c>
      <c r="W12" s="70">
        <f t="shared" si="13"/>
        <v>1.79</v>
      </c>
      <c r="X12" s="69">
        <v>2.23</v>
      </c>
      <c r="Y12" s="69">
        <f t="shared" si="14"/>
        <v>2.23</v>
      </c>
      <c r="Z12" s="71">
        <f t="shared" si="15"/>
        <v>2.23</v>
      </c>
      <c r="AB12" s="61" t="s">
        <v>932</v>
      </c>
      <c r="AC12" s="42">
        <v>2.85</v>
      </c>
      <c r="AD12" s="42">
        <v>5.45</v>
      </c>
      <c r="AE12" s="42">
        <v>5.1100000000000003</v>
      </c>
      <c r="AF12" s="42">
        <v>4.9800000000000004</v>
      </c>
      <c r="AG12" s="42">
        <v>0</v>
      </c>
      <c r="AH12" s="42">
        <v>2.59</v>
      </c>
      <c r="AI12" s="42">
        <v>3.06</v>
      </c>
      <c r="AJ12" s="46">
        <v>3.48</v>
      </c>
      <c r="AL12" s="61" t="s">
        <v>932</v>
      </c>
      <c r="AM12" s="42">
        <v>3.91</v>
      </c>
      <c r="AN12" s="42">
        <v>4.2699999999999996</v>
      </c>
      <c r="AO12" s="42">
        <v>4.13</v>
      </c>
      <c r="AP12" s="42">
        <v>4.32</v>
      </c>
      <c r="AQ12" s="42">
        <v>3.62</v>
      </c>
      <c r="AR12" s="42">
        <v>3.13</v>
      </c>
      <c r="AS12" s="42">
        <v>1.67</v>
      </c>
      <c r="AT12" s="46">
        <v>1.24</v>
      </c>
      <c r="AV12" s="61" t="s">
        <v>933</v>
      </c>
      <c r="AW12" s="42">
        <v>4.16</v>
      </c>
      <c r="AX12" s="42">
        <v>6.17</v>
      </c>
      <c r="AY12" s="42">
        <v>3.75</v>
      </c>
      <c r="AZ12" s="42">
        <v>6.2</v>
      </c>
      <c r="BA12" s="42">
        <v>99.99</v>
      </c>
      <c r="BB12" s="42">
        <v>1.85</v>
      </c>
      <c r="BC12" s="42">
        <v>3.77</v>
      </c>
      <c r="BD12" s="46">
        <v>3.2</v>
      </c>
      <c r="BP12" s="61" t="s">
        <v>932</v>
      </c>
      <c r="BQ12" s="42">
        <v>0.53</v>
      </c>
      <c r="BR12" s="42">
        <v>4.18</v>
      </c>
      <c r="BS12" s="42">
        <v>0.39</v>
      </c>
      <c r="BT12" s="42">
        <v>1.61</v>
      </c>
      <c r="BU12" s="42">
        <v>2.21</v>
      </c>
      <c r="BV12" s="42">
        <v>1.89</v>
      </c>
      <c r="BW12" s="42">
        <v>0.73</v>
      </c>
      <c r="BX12" s="46">
        <v>1.17</v>
      </c>
      <c r="BZ12" s="44" t="s">
        <v>932</v>
      </c>
      <c r="CA12" s="42">
        <v>12.69</v>
      </c>
      <c r="CB12" s="42">
        <v>1.37</v>
      </c>
      <c r="CC12" s="42">
        <v>1.89</v>
      </c>
      <c r="CD12" s="42">
        <v>3.56</v>
      </c>
      <c r="CE12" s="42">
        <v>1.89</v>
      </c>
      <c r="CF12" s="42">
        <v>2.21</v>
      </c>
      <c r="CG12" s="42">
        <v>0.24</v>
      </c>
      <c r="CH12" s="46">
        <v>0.45</v>
      </c>
      <c r="CJ12" s="44" t="s">
        <v>932</v>
      </c>
      <c r="CK12" s="42">
        <v>0.85</v>
      </c>
      <c r="CL12" s="42">
        <v>0.45</v>
      </c>
      <c r="CM12" s="42">
        <v>0.15</v>
      </c>
      <c r="CN12" s="42">
        <v>1.17</v>
      </c>
      <c r="CO12" s="42">
        <v>2.21</v>
      </c>
      <c r="CP12" s="42">
        <v>0.73</v>
      </c>
      <c r="CQ12" s="42">
        <v>0.33</v>
      </c>
      <c r="CR12" s="46">
        <v>2.21</v>
      </c>
    </row>
    <row r="13" spans="2:96" ht="15.75" thickBot="1">
      <c r="B13" s="68" t="s">
        <v>932</v>
      </c>
      <c r="C13" s="69">
        <v>3.02</v>
      </c>
      <c r="D13" s="69">
        <f t="shared" si="0"/>
        <v>3.02</v>
      </c>
      <c r="E13" s="70">
        <f t="shared" si="1"/>
        <v>3.02</v>
      </c>
      <c r="F13" s="69">
        <v>4.3899999999999997</v>
      </c>
      <c r="G13" s="69">
        <f t="shared" si="2"/>
        <v>4.3899999999999997</v>
      </c>
      <c r="H13" s="70">
        <f t="shared" si="3"/>
        <v>4.3899999999999997</v>
      </c>
      <c r="I13" s="69">
        <v>5.27</v>
      </c>
      <c r="J13" s="69">
        <f t="shared" si="4"/>
        <v>5.27</v>
      </c>
      <c r="K13" s="70">
        <f t="shared" si="5"/>
        <v>5.27</v>
      </c>
      <c r="L13" s="69">
        <v>5.64</v>
      </c>
      <c r="M13" s="69">
        <f t="shared" si="6"/>
        <v>5.64</v>
      </c>
      <c r="N13" s="70">
        <f t="shared" si="7"/>
        <v>5.64</v>
      </c>
      <c r="O13" s="69">
        <v>4.3499999999999996</v>
      </c>
      <c r="P13" s="69">
        <f t="shared" si="8"/>
        <v>4.3499999999999996</v>
      </c>
      <c r="Q13" s="70">
        <f t="shared" si="9"/>
        <v>4.3499999999999996</v>
      </c>
      <c r="R13" s="69">
        <v>4.8499999999999996</v>
      </c>
      <c r="S13" s="69">
        <f t="shared" si="10"/>
        <v>4.8499999999999996</v>
      </c>
      <c r="T13" s="70">
        <f t="shared" si="11"/>
        <v>4.8499999999999996</v>
      </c>
      <c r="U13" s="69">
        <v>1.73</v>
      </c>
      <c r="V13" s="69">
        <f t="shared" si="12"/>
        <v>1.73</v>
      </c>
      <c r="W13" s="70">
        <f t="shared" si="13"/>
        <v>1.73</v>
      </c>
      <c r="X13" s="69">
        <v>2.2400000000000002</v>
      </c>
      <c r="Y13" s="69">
        <f t="shared" si="14"/>
        <v>2.2400000000000002</v>
      </c>
      <c r="Z13" s="71">
        <f t="shared" si="15"/>
        <v>2.2400000000000002</v>
      </c>
      <c r="AB13" s="61" t="s">
        <v>932</v>
      </c>
      <c r="AC13" s="42">
        <v>2.86</v>
      </c>
      <c r="AD13" s="42">
        <v>5.44</v>
      </c>
      <c r="AE13" s="42">
        <v>5.21</v>
      </c>
      <c r="AF13" s="42">
        <v>6.05</v>
      </c>
      <c r="AG13" s="42">
        <v>0</v>
      </c>
      <c r="AH13" s="42">
        <v>3.75</v>
      </c>
      <c r="AI13" s="42">
        <v>3.06</v>
      </c>
      <c r="AJ13" s="46">
        <v>3.53</v>
      </c>
      <c r="AL13" s="61" t="s">
        <v>932</v>
      </c>
      <c r="AM13" s="42">
        <v>3.89</v>
      </c>
      <c r="AN13" s="42">
        <v>2.9</v>
      </c>
      <c r="AO13" s="42">
        <v>4.16</v>
      </c>
      <c r="AP13" s="42">
        <v>4.28</v>
      </c>
      <c r="AQ13" s="42">
        <v>3.64</v>
      </c>
      <c r="AR13" s="42">
        <v>3.13</v>
      </c>
      <c r="AS13" s="42">
        <v>1.64</v>
      </c>
      <c r="AT13" s="46">
        <v>1.2</v>
      </c>
      <c r="AV13" s="61" t="s">
        <v>933</v>
      </c>
      <c r="AW13" s="42">
        <v>4.1399999999999997</v>
      </c>
      <c r="AX13" s="42">
        <v>6.06</v>
      </c>
      <c r="AY13" s="42">
        <v>3.77</v>
      </c>
      <c r="AZ13" s="42">
        <v>5.14</v>
      </c>
      <c r="BA13" s="42">
        <v>5.48</v>
      </c>
      <c r="BB13" s="42">
        <v>1.86</v>
      </c>
      <c r="BC13" s="42">
        <v>3.74</v>
      </c>
      <c r="BD13" s="46">
        <v>3.18</v>
      </c>
      <c r="BP13" s="61" t="s">
        <v>932</v>
      </c>
      <c r="BQ13" s="42">
        <v>0.53</v>
      </c>
      <c r="BR13" s="42">
        <v>0.45</v>
      </c>
      <c r="BS13" s="42">
        <v>0.33</v>
      </c>
      <c r="BT13" s="42">
        <v>1.61</v>
      </c>
      <c r="BU13" s="42">
        <v>2.21</v>
      </c>
      <c r="BV13" s="42">
        <v>1.89</v>
      </c>
      <c r="BW13" s="42">
        <v>0.62</v>
      </c>
      <c r="BX13" s="46">
        <v>1.17</v>
      </c>
      <c r="BZ13" s="44" t="s">
        <v>932</v>
      </c>
      <c r="CA13" s="49">
        <v>10.83</v>
      </c>
      <c r="CB13" s="49">
        <v>0.85</v>
      </c>
      <c r="CC13" s="49">
        <v>1.61</v>
      </c>
      <c r="CD13" s="49">
        <v>3.56</v>
      </c>
      <c r="CE13" s="49">
        <v>1.61</v>
      </c>
      <c r="CF13" s="49">
        <v>3.56</v>
      </c>
      <c r="CG13" s="49">
        <v>0.2</v>
      </c>
      <c r="CH13" s="50">
        <v>0.24</v>
      </c>
      <c r="CJ13" s="44" t="s">
        <v>932</v>
      </c>
      <c r="CK13" s="42">
        <v>0.85</v>
      </c>
      <c r="CL13" s="42">
        <v>1.37</v>
      </c>
      <c r="CM13" s="42">
        <v>0.15</v>
      </c>
      <c r="CN13" s="42">
        <v>2.21</v>
      </c>
      <c r="CO13" s="42">
        <v>0.85</v>
      </c>
      <c r="CP13" s="42">
        <v>0.73</v>
      </c>
      <c r="CQ13" s="42">
        <v>0.28000000000000003</v>
      </c>
      <c r="CR13" s="46">
        <v>2.21</v>
      </c>
    </row>
    <row r="14" spans="2:96">
      <c r="B14" s="68" t="s">
        <v>933</v>
      </c>
      <c r="C14" s="69">
        <v>2.99</v>
      </c>
      <c r="D14" s="69">
        <f t="shared" si="0"/>
        <v>2.99</v>
      </c>
      <c r="E14" s="70">
        <f t="shared" si="1"/>
        <v>2.99</v>
      </c>
      <c r="F14" s="69">
        <v>4.4000000000000004</v>
      </c>
      <c r="G14" s="69">
        <f t="shared" si="2"/>
        <v>4.4000000000000004</v>
      </c>
      <c r="H14" s="70">
        <f t="shared" si="3"/>
        <v>4.4000000000000004</v>
      </c>
      <c r="I14" s="69">
        <v>5.3</v>
      </c>
      <c r="J14" s="69">
        <f t="shared" si="4"/>
        <v>5.3</v>
      </c>
      <c r="K14" s="70">
        <f t="shared" si="5"/>
        <v>5.3</v>
      </c>
      <c r="L14" s="69">
        <v>5.65</v>
      </c>
      <c r="M14" s="69">
        <f t="shared" si="6"/>
        <v>5.65</v>
      </c>
      <c r="N14" s="70">
        <f t="shared" si="7"/>
        <v>5.65</v>
      </c>
      <c r="O14" s="69">
        <v>4.34</v>
      </c>
      <c r="P14" s="69">
        <f t="shared" si="8"/>
        <v>4.34</v>
      </c>
      <c r="Q14" s="70">
        <f t="shared" si="9"/>
        <v>4.34</v>
      </c>
      <c r="R14" s="69">
        <v>4.8499999999999996</v>
      </c>
      <c r="S14" s="69">
        <f t="shared" si="10"/>
        <v>4.8499999999999996</v>
      </c>
      <c r="T14" s="70">
        <f t="shared" si="11"/>
        <v>4.8499999999999996</v>
      </c>
      <c r="U14" s="69">
        <v>1.78</v>
      </c>
      <c r="V14" s="69">
        <f t="shared" si="12"/>
        <v>1.78</v>
      </c>
      <c r="W14" s="70">
        <f t="shared" si="13"/>
        <v>1.78</v>
      </c>
      <c r="X14" s="69">
        <v>2.65</v>
      </c>
      <c r="Y14" s="69">
        <f t="shared" si="14"/>
        <v>2.65</v>
      </c>
      <c r="Z14" s="71" t="str">
        <f t="shared" si="15"/>
        <v/>
      </c>
      <c r="AB14" s="61" t="s">
        <v>934</v>
      </c>
      <c r="AC14" s="42">
        <v>2.82</v>
      </c>
      <c r="AD14" s="42">
        <v>5.48</v>
      </c>
      <c r="AE14" s="42">
        <v>5.19</v>
      </c>
      <c r="AF14" s="42">
        <v>3.75</v>
      </c>
      <c r="AG14" s="42">
        <v>0</v>
      </c>
      <c r="AH14" s="42">
        <v>2.88</v>
      </c>
      <c r="AI14" s="42">
        <v>3.09</v>
      </c>
      <c r="AJ14" s="46">
        <v>3.46</v>
      </c>
      <c r="AL14" s="61" t="s">
        <v>933</v>
      </c>
      <c r="AM14" s="42">
        <v>3.93</v>
      </c>
      <c r="AN14" s="42">
        <v>4.3099999999999996</v>
      </c>
      <c r="AO14" s="42">
        <v>4.18</v>
      </c>
      <c r="AP14" s="42">
        <v>4.33</v>
      </c>
      <c r="AQ14" s="42">
        <v>1.7</v>
      </c>
      <c r="AR14" s="42">
        <v>1.45</v>
      </c>
      <c r="AS14" s="42">
        <v>1.65</v>
      </c>
      <c r="AT14" s="46">
        <v>1.25</v>
      </c>
      <c r="AV14" s="61" t="s">
        <v>934</v>
      </c>
      <c r="AW14" s="42">
        <v>4.16</v>
      </c>
      <c r="AX14" s="42">
        <v>6.08</v>
      </c>
      <c r="AY14" s="42">
        <v>3.76</v>
      </c>
      <c r="AZ14" s="42">
        <v>1.21</v>
      </c>
      <c r="BA14" s="42">
        <v>5.47</v>
      </c>
      <c r="BB14" s="42">
        <v>1.83</v>
      </c>
      <c r="BC14" s="42">
        <v>3.74</v>
      </c>
      <c r="BD14" s="46">
        <v>0</v>
      </c>
      <c r="BP14" s="61" t="s">
        <v>935</v>
      </c>
      <c r="BQ14" s="42">
        <v>0.45</v>
      </c>
      <c r="BR14" s="42">
        <v>3.56</v>
      </c>
      <c r="BS14" s="42">
        <v>0.15</v>
      </c>
      <c r="BT14" s="42">
        <v>1.61</v>
      </c>
      <c r="BU14" s="42">
        <v>17.43</v>
      </c>
      <c r="BV14" s="42">
        <v>1.89</v>
      </c>
      <c r="BW14" s="42">
        <v>0.73</v>
      </c>
      <c r="BX14" s="46">
        <v>1.17</v>
      </c>
      <c r="BZ14" s="54" t="s">
        <v>936</v>
      </c>
      <c r="CA14" s="42">
        <v>12.318</v>
      </c>
      <c r="CB14" s="42">
        <v>1.1499999999999999</v>
      </c>
      <c r="CC14" s="42">
        <v>1.2470000000000001</v>
      </c>
      <c r="CD14" s="42">
        <v>3.226</v>
      </c>
      <c r="CE14" s="42">
        <v>1.71</v>
      </c>
      <c r="CF14" s="42">
        <v>2.677</v>
      </c>
      <c r="CG14" s="42">
        <v>0.22222222222222199</v>
      </c>
      <c r="CH14" s="46">
        <v>0.29799999999999999</v>
      </c>
      <c r="CJ14" s="44" t="s">
        <v>933</v>
      </c>
      <c r="CK14" s="42">
        <v>0.73</v>
      </c>
      <c r="CL14" s="42">
        <v>0.39</v>
      </c>
      <c r="CM14" s="42">
        <v>0.09</v>
      </c>
      <c r="CN14" s="42">
        <v>1.17</v>
      </c>
      <c r="CO14" s="42">
        <v>1.89</v>
      </c>
      <c r="CP14" s="42">
        <v>0.73</v>
      </c>
      <c r="CQ14" s="42">
        <v>0.28000000000000003</v>
      </c>
      <c r="CR14" s="46">
        <v>2.21</v>
      </c>
    </row>
    <row r="15" spans="2:96">
      <c r="B15" s="68" t="s">
        <v>933</v>
      </c>
      <c r="C15" s="69">
        <v>3</v>
      </c>
      <c r="D15" s="69">
        <f t="shared" si="0"/>
        <v>3</v>
      </c>
      <c r="E15" s="70">
        <f t="shared" si="1"/>
        <v>3</v>
      </c>
      <c r="F15" s="69">
        <v>4.4000000000000004</v>
      </c>
      <c r="G15" s="69">
        <f t="shared" si="2"/>
        <v>4.4000000000000004</v>
      </c>
      <c r="H15" s="70">
        <f t="shared" si="3"/>
        <v>4.4000000000000004</v>
      </c>
      <c r="I15" s="69">
        <v>5.3</v>
      </c>
      <c r="J15" s="69">
        <f t="shared" si="4"/>
        <v>5.3</v>
      </c>
      <c r="K15" s="70">
        <f t="shared" si="5"/>
        <v>5.3</v>
      </c>
      <c r="L15" s="69">
        <v>4.5599999999999996</v>
      </c>
      <c r="M15" s="69">
        <f t="shared" si="6"/>
        <v>4.5599999999999996</v>
      </c>
      <c r="N15" s="70">
        <f t="shared" si="7"/>
        <v>4.5599999999999996</v>
      </c>
      <c r="O15" s="69">
        <v>4.32</v>
      </c>
      <c r="P15" s="69">
        <f t="shared" si="8"/>
        <v>4.32</v>
      </c>
      <c r="Q15" s="70">
        <f t="shared" si="9"/>
        <v>4.32</v>
      </c>
      <c r="R15" s="69">
        <v>4.82</v>
      </c>
      <c r="S15" s="69">
        <f t="shared" si="10"/>
        <v>4.82</v>
      </c>
      <c r="T15" s="70">
        <f t="shared" si="11"/>
        <v>4.82</v>
      </c>
      <c r="U15" s="69">
        <v>1.77</v>
      </c>
      <c r="V15" s="69">
        <f t="shared" si="12"/>
        <v>1.77</v>
      </c>
      <c r="W15" s="70">
        <f t="shared" si="13"/>
        <v>1.77</v>
      </c>
      <c r="X15" s="69">
        <v>2.39</v>
      </c>
      <c r="Y15" s="69">
        <f t="shared" si="14"/>
        <v>2.39</v>
      </c>
      <c r="Z15" s="71">
        <f t="shared" si="15"/>
        <v>2.39</v>
      </c>
      <c r="AB15" s="61" t="s">
        <v>934</v>
      </c>
      <c r="AC15" s="42">
        <v>2.82</v>
      </c>
      <c r="AD15" s="42">
        <v>5.42</v>
      </c>
      <c r="AE15" s="42">
        <v>5.21</v>
      </c>
      <c r="AF15" s="42">
        <v>4.42</v>
      </c>
      <c r="AG15" s="42">
        <v>0</v>
      </c>
      <c r="AH15" s="42">
        <v>3.73</v>
      </c>
      <c r="AI15" s="42">
        <v>3.04</v>
      </c>
      <c r="AJ15" s="46">
        <v>3.43</v>
      </c>
      <c r="AL15" s="61" t="s">
        <v>933</v>
      </c>
      <c r="AM15" s="42">
        <v>3.93</v>
      </c>
      <c r="AN15" s="42">
        <v>4.2699999999999996</v>
      </c>
      <c r="AO15" s="42">
        <v>4.17</v>
      </c>
      <c r="AP15" s="42">
        <v>4.3</v>
      </c>
      <c r="AQ15" s="42">
        <v>3.64</v>
      </c>
      <c r="AR15" s="42">
        <v>3.12</v>
      </c>
      <c r="AS15" s="42">
        <v>1.63</v>
      </c>
      <c r="AT15" s="46">
        <v>1.29</v>
      </c>
      <c r="AV15" s="61" t="s">
        <v>934</v>
      </c>
      <c r="AW15" s="42">
        <v>4.1500000000000004</v>
      </c>
      <c r="AX15" s="42">
        <v>6.09</v>
      </c>
      <c r="AY15" s="42">
        <v>3.81</v>
      </c>
      <c r="AZ15" s="42">
        <v>5.13</v>
      </c>
      <c r="BA15" s="42">
        <v>5.45</v>
      </c>
      <c r="BB15" s="42">
        <v>1.84</v>
      </c>
      <c r="BC15" s="42">
        <v>3.73</v>
      </c>
      <c r="BD15" s="46">
        <v>3.18</v>
      </c>
      <c r="BP15" s="61" t="s">
        <v>935</v>
      </c>
      <c r="BQ15" s="42">
        <v>0.53</v>
      </c>
      <c r="BR15" s="42">
        <v>4.18</v>
      </c>
      <c r="BS15" s="42">
        <v>0.39</v>
      </c>
      <c r="BT15" s="42">
        <v>1.61</v>
      </c>
      <c r="BU15" s="42">
        <v>2.21</v>
      </c>
      <c r="BV15" s="42">
        <v>1.89</v>
      </c>
      <c r="BW15" s="42">
        <v>0.62</v>
      </c>
      <c r="BX15" s="46">
        <v>1.37</v>
      </c>
      <c r="BZ15" s="55" t="s">
        <v>515</v>
      </c>
      <c r="CA15" s="42">
        <v>0.743999999999999</v>
      </c>
      <c r="CB15" s="42">
        <v>0.271440601237176</v>
      </c>
      <c r="CC15" s="42">
        <v>0.68499708028574802</v>
      </c>
      <c r="CD15" s="42">
        <v>0.66800000000000004</v>
      </c>
      <c r="CE15" s="42">
        <v>0.24931907267595799</v>
      </c>
      <c r="CF15" s="42">
        <v>0.50854793284409205</v>
      </c>
      <c r="CG15" s="42">
        <v>1.98761597999981E-2</v>
      </c>
      <c r="CH15" s="46">
        <v>0.19803030071178401</v>
      </c>
      <c r="CJ15" s="44" t="s">
        <v>933</v>
      </c>
      <c r="CK15" s="42">
        <v>0.85</v>
      </c>
      <c r="CL15" s="42">
        <v>7.88</v>
      </c>
      <c r="CM15" s="42">
        <v>0.15</v>
      </c>
      <c r="CN15" s="42">
        <v>2.21</v>
      </c>
      <c r="CO15" s="42">
        <v>2.21</v>
      </c>
      <c r="CP15" s="42">
        <v>0.73</v>
      </c>
      <c r="CQ15" s="42">
        <v>0.28000000000000003</v>
      </c>
      <c r="CR15" s="46">
        <v>1.89</v>
      </c>
    </row>
    <row r="16" spans="2:96">
      <c r="B16" s="68" t="s">
        <v>933</v>
      </c>
      <c r="C16" s="69">
        <v>3.03</v>
      </c>
      <c r="D16" s="69">
        <f t="shared" si="0"/>
        <v>3.03</v>
      </c>
      <c r="E16" s="70">
        <f t="shared" si="1"/>
        <v>3.03</v>
      </c>
      <c r="F16" s="69">
        <v>4.38</v>
      </c>
      <c r="G16" s="69">
        <f t="shared" si="2"/>
        <v>4.38</v>
      </c>
      <c r="H16" s="70">
        <f t="shared" si="3"/>
        <v>4.38</v>
      </c>
      <c r="I16" s="69">
        <v>5.3</v>
      </c>
      <c r="J16" s="69">
        <f t="shared" si="4"/>
        <v>5.3</v>
      </c>
      <c r="K16" s="70">
        <f t="shared" si="5"/>
        <v>5.3</v>
      </c>
      <c r="L16" s="69">
        <v>4.3</v>
      </c>
      <c r="M16" s="69">
        <f t="shared" si="6"/>
        <v>4.3</v>
      </c>
      <c r="N16" s="70">
        <f t="shared" si="7"/>
        <v>4.3</v>
      </c>
      <c r="O16" s="69">
        <v>4.2699999999999996</v>
      </c>
      <c r="P16" s="69">
        <f t="shared" si="8"/>
        <v>4.2699999999999996</v>
      </c>
      <c r="Q16" s="70">
        <f t="shared" si="9"/>
        <v>4.2699999999999996</v>
      </c>
      <c r="R16" s="69">
        <v>4.8600000000000003</v>
      </c>
      <c r="S16" s="69">
        <f t="shared" si="10"/>
        <v>4.8600000000000003</v>
      </c>
      <c r="T16" s="70">
        <f t="shared" si="11"/>
        <v>4.8600000000000003</v>
      </c>
      <c r="U16" s="69">
        <v>1.74</v>
      </c>
      <c r="V16" s="69">
        <f t="shared" si="12"/>
        <v>1.74</v>
      </c>
      <c r="W16" s="70">
        <f t="shared" si="13"/>
        <v>1.74</v>
      </c>
      <c r="X16" s="69">
        <v>2.15</v>
      </c>
      <c r="Y16" s="69">
        <f t="shared" si="14"/>
        <v>2.15</v>
      </c>
      <c r="Z16" s="71">
        <f t="shared" si="15"/>
        <v>2.15</v>
      </c>
      <c r="AB16" s="61" t="s">
        <v>934</v>
      </c>
      <c r="AC16" s="42">
        <v>2.82</v>
      </c>
      <c r="AD16" s="42">
        <v>5.45</v>
      </c>
      <c r="AE16" s="42">
        <v>5.0999999999999996</v>
      </c>
      <c r="AF16" s="42">
        <v>6.08</v>
      </c>
      <c r="AG16" s="42">
        <v>0</v>
      </c>
      <c r="AH16" s="42">
        <v>3.74</v>
      </c>
      <c r="AI16" s="42">
        <v>2.1800000000000002</v>
      </c>
      <c r="AJ16" s="46">
        <v>3.46</v>
      </c>
      <c r="AL16" s="61" t="s">
        <v>933</v>
      </c>
      <c r="AM16" s="42">
        <v>3.89</v>
      </c>
      <c r="AN16" s="42">
        <v>4.25</v>
      </c>
      <c r="AO16" s="42">
        <v>4.1399999999999997</v>
      </c>
      <c r="AP16" s="42">
        <v>4.3</v>
      </c>
      <c r="AQ16" s="42">
        <v>3.57</v>
      </c>
      <c r="AR16" s="42">
        <v>3.13</v>
      </c>
      <c r="AS16" s="42">
        <v>1.61</v>
      </c>
      <c r="AT16" s="46">
        <v>1.25</v>
      </c>
      <c r="AV16" s="61" t="s">
        <v>934</v>
      </c>
      <c r="AW16" s="42">
        <v>4.1500000000000004</v>
      </c>
      <c r="AX16" s="42">
        <v>6.11</v>
      </c>
      <c r="AY16" s="42">
        <v>3.77</v>
      </c>
      <c r="AZ16" s="42">
        <v>5.17</v>
      </c>
      <c r="BA16" s="42">
        <v>5.46</v>
      </c>
      <c r="BB16" s="42">
        <v>1.86</v>
      </c>
      <c r="BC16" s="42">
        <v>3.74</v>
      </c>
      <c r="BD16" s="46">
        <v>0</v>
      </c>
      <c r="BP16" s="61" t="s">
        <v>935</v>
      </c>
      <c r="BQ16" s="42">
        <v>0.53</v>
      </c>
      <c r="BR16" s="42">
        <v>3.56</v>
      </c>
      <c r="BS16" s="42">
        <v>0.39</v>
      </c>
      <c r="BT16" s="42">
        <v>1.61</v>
      </c>
      <c r="BU16" s="42">
        <v>2.59</v>
      </c>
      <c r="BV16" s="42">
        <v>1.61</v>
      </c>
      <c r="BW16" s="42">
        <v>0.73</v>
      </c>
      <c r="BX16" s="46">
        <v>1.17</v>
      </c>
      <c r="BZ16" s="55" t="s">
        <v>520</v>
      </c>
      <c r="CA16" s="42">
        <v>13.061999999999999</v>
      </c>
      <c r="CB16" s="42">
        <v>1.4214406012371701</v>
      </c>
      <c r="CC16" s="42">
        <v>1.93199708028574</v>
      </c>
      <c r="CD16" s="42">
        <v>3.8940000000000001</v>
      </c>
      <c r="CE16" s="42">
        <v>1.95931907267595</v>
      </c>
      <c r="CF16" s="42">
        <v>3.1855479328440901</v>
      </c>
      <c r="CG16" s="42">
        <v>0.24209838202222</v>
      </c>
      <c r="CH16" s="46">
        <v>0.496030300711785</v>
      </c>
      <c r="CJ16" s="44" t="s">
        <v>933</v>
      </c>
      <c r="CK16" s="42">
        <v>0.73</v>
      </c>
      <c r="CL16" s="42">
        <v>0.45</v>
      </c>
      <c r="CM16" s="42">
        <v>0.15</v>
      </c>
      <c r="CN16" s="42">
        <v>1.17</v>
      </c>
      <c r="CO16" s="42">
        <v>1.61</v>
      </c>
      <c r="CP16" s="42">
        <v>0.73</v>
      </c>
      <c r="CQ16" s="42">
        <v>0.28000000000000003</v>
      </c>
      <c r="CR16" s="46">
        <v>3.56</v>
      </c>
    </row>
    <row r="17" spans="2:96">
      <c r="B17" s="68" t="s">
        <v>933</v>
      </c>
      <c r="C17" s="69">
        <v>3.03</v>
      </c>
      <c r="D17" s="69">
        <f t="shared" si="0"/>
        <v>3.03</v>
      </c>
      <c r="E17" s="70">
        <f t="shared" si="1"/>
        <v>3.03</v>
      </c>
      <c r="F17" s="69">
        <v>4.3899999999999997</v>
      </c>
      <c r="G17" s="69">
        <f t="shared" si="2"/>
        <v>4.3899999999999997</v>
      </c>
      <c r="H17" s="70">
        <f t="shared" si="3"/>
        <v>4.3899999999999997</v>
      </c>
      <c r="I17" s="69">
        <v>5.3</v>
      </c>
      <c r="J17" s="69">
        <f t="shared" si="4"/>
        <v>5.3</v>
      </c>
      <c r="K17" s="70">
        <f t="shared" si="5"/>
        <v>5.3</v>
      </c>
      <c r="L17" s="69">
        <v>4.7300000000000004</v>
      </c>
      <c r="M17" s="69">
        <f t="shared" si="6"/>
        <v>4.7300000000000004</v>
      </c>
      <c r="N17" s="70">
        <f t="shared" si="7"/>
        <v>4.7300000000000004</v>
      </c>
      <c r="O17" s="69">
        <v>4.32</v>
      </c>
      <c r="P17" s="69">
        <f t="shared" si="8"/>
        <v>4.32</v>
      </c>
      <c r="Q17" s="70">
        <f t="shared" si="9"/>
        <v>4.32</v>
      </c>
      <c r="R17" s="69">
        <v>4.8099999999999996</v>
      </c>
      <c r="S17" s="69">
        <f t="shared" si="10"/>
        <v>4.8099999999999996</v>
      </c>
      <c r="T17" s="70">
        <f t="shared" si="11"/>
        <v>4.8099999999999996</v>
      </c>
      <c r="U17" s="69">
        <v>1.78</v>
      </c>
      <c r="V17" s="69">
        <f t="shared" si="12"/>
        <v>1.78</v>
      </c>
      <c r="W17" s="70">
        <f t="shared" si="13"/>
        <v>1.78</v>
      </c>
      <c r="X17" s="69">
        <v>2.27</v>
      </c>
      <c r="Y17" s="69">
        <f t="shared" si="14"/>
        <v>2.27</v>
      </c>
      <c r="Z17" s="71">
        <f t="shared" si="15"/>
        <v>2.27</v>
      </c>
      <c r="AB17" s="61" t="s">
        <v>934</v>
      </c>
      <c r="AC17" s="42">
        <v>2.87</v>
      </c>
      <c r="AD17" s="42">
        <v>5.57</v>
      </c>
      <c r="AE17" s="42">
        <v>5.2</v>
      </c>
      <c r="AF17" s="42">
        <v>5.78</v>
      </c>
      <c r="AG17" s="42">
        <v>0</v>
      </c>
      <c r="AH17" s="42">
        <v>3.75</v>
      </c>
      <c r="AI17" s="42">
        <v>3.04</v>
      </c>
      <c r="AJ17" s="46">
        <v>3.53</v>
      </c>
      <c r="AL17" s="61" t="s">
        <v>933</v>
      </c>
      <c r="AM17" s="42">
        <v>3.91</v>
      </c>
      <c r="AN17" s="42">
        <v>4.28</v>
      </c>
      <c r="AO17" s="42">
        <v>4.16</v>
      </c>
      <c r="AP17" s="42">
        <v>4.3</v>
      </c>
      <c r="AQ17" s="42">
        <v>3.64</v>
      </c>
      <c r="AR17" s="42">
        <v>3.11</v>
      </c>
      <c r="AS17" s="42">
        <v>1.61</v>
      </c>
      <c r="AT17" s="46">
        <v>1.29</v>
      </c>
      <c r="AV17" s="61" t="s">
        <v>934</v>
      </c>
      <c r="AW17" s="42">
        <v>4.16</v>
      </c>
      <c r="AX17" s="42">
        <v>6.07</v>
      </c>
      <c r="AY17" s="42">
        <v>3.79</v>
      </c>
      <c r="AZ17" s="42">
        <v>5.16</v>
      </c>
      <c r="BA17" s="42">
        <v>5.51</v>
      </c>
      <c r="BB17" s="42">
        <v>1.83</v>
      </c>
      <c r="BC17" s="42">
        <v>1.27</v>
      </c>
      <c r="BD17" s="46">
        <v>3.13</v>
      </c>
      <c r="BP17" s="61" t="s">
        <v>935</v>
      </c>
      <c r="BQ17" s="42">
        <v>1.37</v>
      </c>
      <c r="BR17" s="42">
        <v>0.45</v>
      </c>
      <c r="BS17" s="42">
        <v>0.15</v>
      </c>
      <c r="BT17" s="42">
        <v>3.56</v>
      </c>
      <c r="BU17" s="42">
        <v>2.21</v>
      </c>
      <c r="BV17" s="42">
        <v>1.61</v>
      </c>
      <c r="BW17" s="42">
        <v>0.45</v>
      </c>
      <c r="BX17" s="46">
        <v>1.37</v>
      </c>
      <c r="BZ17" s="55" t="s">
        <v>525</v>
      </c>
      <c r="CA17" s="42">
        <v>11.574</v>
      </c>
      <c r="CB17" s="42">
        <v>0.87855939876282296</v>
      </c>
      <c r="CC17" s="42">
        <v>0.56200291971425098</v>
      </c>
      <c r="CD17" s="42">
        <v>2.5579999999999998</v>
      </c>
      <c r="CE17" s="42">
        <v>1.46068092732404</v>
      </c>
      <c r="CF17" s="42">
        <v>2.1684520671559002</v>
      </c>
      <c r="CG17" s="42">
        <v>0.202346062422224</v>
      </c>
      <c r="CH17" s="46">
        <v>9.9969699288215003E-2</v>
      </c>
      <c r="CJ17" s="44" t="s">
        <v>933</v>
      </c>
      <c r="CK17" s="42">
        <v>0</v>
      </c>
      <c r="CL17" s="42">
        <v>7.88</v>
      </c>
      <c r="CM17" s="42">
        <v>0.13</v>
      </c>
      <c r="CN17" s="42">
        <v>2.21</v>
      </c>
      <c r="CO17" s="42">
        <v>0.85</v>
      </c>
      <c r="CP17" s="42">
        <v>0.33</v>
      </c>
      <c r="CQ17" s="42">
        <v>0.33</v>
      </c>
      <c r="CR17" s="46">
        <v>3.56</v>
      </c>
    </row>
    <row r="18" spans="2:96" ht="15.75" thickBot="1">
      <c r="B18" s="68" t="s">
        <v>933</v>
      </c>
      <c r="C18" s="69">
        <v>2.98</v>
      </c>
      <c r="D18" s="69">
        <f t="shared" si="0"/>
        <v>2.98</v>
      </c>
      <c r="E18" s="70">
        <f t="shared" si="1"/>
        <v>2.98</v>
      </c>
      <c r="F18" s="69">
        <v>4.4000000000000004</v>
      </c>
      <c r="G18" s="69">
        <f t="shared" si="2"/>
        <v>4.4000000000000004</v>
      </c>
      <c r="H18" s="70">
        <f t="shared" si="3"/>
        <v>4.4000000000000004</v>
      </c>
      <c r="I18" s="69">
        <v>5.36</v>
      </c>
      <c r="J18" s="69">
        <f t="shared" si="4"/>
        <v>5.36</v>
      </c>
      <c r="K18" s="70">
        <f t="shared" si="5"/>
        <v>5.36</v>
      </c>
      <c r="L18" s="69">
        <v>4.29</v>
      </c>
      <c r="M18" s="69">
        <f t="shared" si="6"/>
        <v>4.29</v>
      </c>
      <c r="N18" s="70">
        <f t="shared" si="7"/>
        <v>4.29</v>
      </c>
      <c r="O18" s="69">
        <v>4.32</v>
      </c>
      <c r="P18" s="69">
        <f t="shared" si="8"/>
        <v>4.32</v>
      </c>
      <c r="Q18" s="70">
        <f t="shared" si="9"/>
        <v>4.32</v>
      </c>
      <c r="R18" s="69">
        <v>4.8099999999999996</v>
      </c>
      <c r="S18" s="69">
        <f t="shared" si="10"/>
        <v>4.8099999999999996</v>
      </c>
      <c r="T18" s="70">
        <f t="shared" si="11"/>
        <v>4.8099999999999996</v>
      </c>
      <c r="U18" s="69">
        <v>1.75</v>
      </c>
      <c r="V18" s="69">
        <f t="shared" si="12"/>
        <v>1.75</v>
      </c>
      <c r="W18" s="70">
        <f t="shared" si="13"/>
        <v>1.75</v>
      </c>
      <c r="X18" s="69">
        <v>3.29</v>
      </c>
      <c r="Y18" s="69">
        <f t="shared" si="14"/>
        <v>3.29</v>
      </c>
      <c r="Z18" s="71" t="str">
        <f t="shared" si="15"/>
        <v/>
      </c>
      <c r="AB18" s="61" t="s">
        <v>934</v>
      </c>
      <c r="AC18" s="42">
        <v>2.83</v>
      </c>
      <c r="AD18" s="42">
        <v>5.43</v>
      </c>
      <c r="AE18" s="42">
        <v>5.17</v>
      </c>
      <c r="AF18" s="42">
        <v>3.81</v>
      </c>
      <c r="AG18" s="42">
        <v>5.34</v>
      </c>
      <c r="AH18" s="42">
        <v>3.75</v>
      </c>
      <c r="AI18" s="42">
        <v>3.12</v>
      </c>
      <c r="AJ18" s="46">
        <v>3.48</v>
      </c>
      <c r="AL18" s="61" t="s">
        <v>933</v>
      </c>
      <c r="AM18" s="42">
        <v>3.92</v>
      </c>
      <c r="AN18" s="42">
        <v>4.26</v>
      </c>
      <c r="AO18" s="42">
        <v>4.1500000000000004</v>
      </c>
      <c r="AP18" s="42">
        <v>4.33</v>
      </c>
      <c r="AQ18" s="42">
        <v>3.62</v>
      </c>
      <c r="AR18" s="42">
        <v>3.13</v>
      </c>
      <c r="AS18" s="42">
        <v>1.63</v>
      </c>
      <c r="AT18" s="46">
        <v>1.2</v>
      </c>
      <c r="AV18" s="61" t="s">
        <v>934</v>
      </c>
      <c r="AW18" s="42">
        <v>4.1500000000000004</v>
      </c>
      <c r="AX18" s="42">
        <v>6.11</v>
      </c>
      <c r="AY18" s="42">
        <v>3.76</v>
      </c>
      <c r="AZ18" s="42">
        <v>5.12</v>
      </c>
      <c r="BA18" s="42">
        <v>5.45</v>
      </c>
      <c r="BB18" s="42">
        <v>1.86</v>
      </c>
      <c r="BC18" s="42">
        <v>3.74</v>
      </c>
      <c r="BD18" s="46">
        <v>3.13</v>
      </c>
      <c r="BP18" s="56" t="s">
        <v>935</v>
      </c>
      <c r="BQ18" s="49">
        <v>0.53</v>
      </c>
      <c r="BR18" s="49">
        <v>0.53</v>
      </c>
      <c r="BS18" s="49">
        <v>0.17</v>
      </c>
      <c r="BT18" s="49">
        <v>1.61</v>
      </c>
      <c r="BU18" s="49">
        <v>0.62</v>
      </c>
      <c r="BV18" s="49">
        <v>1.89</v>
      </c>
      <c r="BW18" s="49">
        <v>0.62</v>
      </c>
      <c r="BX18" s="50">
        <v>1.37</v>
      </c>
      <c r="BZ18" s="56" t="s">
        <v>937</v>
      </c>
      <c r="CA18" s="49">
        <v>12.69</v>
      </c>
      <c r="CB18" s="49">
        <v>1.37</v>
      </c>
      <c r="CC18" s="49">
        <v>1.69</v>
      </c>
      <c r="CD18" s="49">
        <v>3.5599999999999898</v>
      </c>
      <c r="CE18" s="49">
        <v>1.82</v>
      </c>
      <c r="CF18" s="49">
        <v>2.4562499999999998</v>
      </c>
      <c r="CG18" s="49">
        <v>0.24</v>
      </c>
      <c r="CH18" s="50">
        <v>0.236666666666666</v>
      </c>
      <c r="CJ18" s="44" t="s">
        <v>933</v>
      </c>
      <c r="CK18" s="42">
        <v>0</v>
      </c>
      <c r="CL18" s="42">
        <v>0.39</v>
      </c>
      <c r="CM18" s="42">
        <v>0.17</v>
      </c>
      <c r="CN18" s="42">
        <v>0</v>
      </c>
      <c r="CO18" s="42">
        <v>2.21</v>
      </c>
      <c r="CP18" s="42">
        <v>0.73</v>
      </c>
      <c r="CQ18" s="42">
        <v>0.28000000000000003</v>
      </c>
      <c r="CR18" s="46">
        <v>3.56</v>
      </c>
    </row>
    <row r="19" spans="2:96" ht="15.75" thickBot="1">
      <c r="B19" s="68" t="s">
        <v>934</v>
      </c>
      <c r="C19" s="69">
        <v>0.01</v>
      </c>
      <c r="D19" s="69">
        <f t="shared" si="0"/>
        <v>0.01</v>
      </c>
      <c r="E19" s="70" t="str">
        <f t="shared" si="1"/>
        <v/>
      </c>
      <c r="F19" s="69">
        <v>4.42</v>
      </c>
      <c r="G19" s="69">
        <f t="shared" si="2"/>
        <v>4.42</v>
      </c>
      <c r="H19" s="70">
        <f t="shared" si="3"/>
        <v>4.42</v>
      </c>
      <c r="I19" s="69">
        <v>5.31</v>
      </c>
      <c r="J19" s="69">
        <f t="shared" si="4"/>
        <v>5.31</v>
      </c>
      <c r="K19" s="70">
        <f t="shared" si="5"/>
        <v>5.31</v>
      </c>
      <c r="L19" s="69">
        <v>5.65</v>
      </c>
      <c r="M19" s="69">
        <f t="shared" si="6"/>
        <v>5.65</v>
      </c>
      <c r="N19" s="70">
        <f t="shared" si="7"/>
        <v>5.65</v>
      </c>
      <c r="O19" s="69">
        <v>4.3</v>
      </c>
      <c r="P19" s="69">
        <f t="shared" si="8"/>
        <v>4.3</v>
      </c>
      <c r="Q19" s="70">
        <f t="shared" si="9"/>
        <v>4.3</v>
      </c>
      <c r="R19" s="69">
        <v>4.8600000000000003</v>
      </c>
      <c r="S19" s="69">
        <f t="shared" si="10"/>
        <v>4.8600000000000003</v>
      </c>
      <c r="T19" s="70">
        <f t="shared" si="11"/>
        <v>4.8600000000000003</v>
      </c>
      <c r="U19" s="69">
        <v>1.78</v>
      </c>
      <c r="V19" s="69">
        <f t="shared" si="12"/>
        <v>1.78</v>
      </c>
      <c r="W19" s="70">
        <f t="shared" si="13"/>
        <v>1.78</v>
      </c>
      <c r="X19" s="69">
        <v>2.23</v>
      </c>
      <c r="Y19" s="69">
        <f t="shared" si="14"/>
        <v>2.23</v>
      </c>
      <c r="Z19" s="71">
        <f t="shared" si="15"/>
        <v>2.23</v>
      </c>
      <c r="AB19" s="61" t="s">
        <v>938</v>
      </c>
      <c r="AC19" s="42">
        <v>2.85</v>
      </c>
      <c r="AD19" s="42">
        <v>5.44</v>
      </c>
      <c r="AE19" s="42">
        <v>5.16</v>
      </c>
      <c r="AF19" s="42">
        <v>6.06</v>
      </c>
      <c r="AG19" s="42">
        <v>0</v>
      </c>
      <c r="AH19" s="42">
        <v>3.73</v>
      </c>
      <c r="AI19" s="42">
        <v>0.57999999999999996</v>
      </c>
      <c r="AJ19" s="46">
        <v>3.45</v>
      </c>
      <c r="AL19" s="61" t="s">
        <v>938</v>
      </c>
      <c r="AM19" s="42">
        <v>3.94</v>
      </c>
      <c r="AN19" s="42">
        <v>4.3099999999999996</v>
      </c>
      <c r="AO19" s="42">
        <v>4.22</v>
      </c>
      <c r="AP19" s="42">
        <v>4.32</v>
      </c>
      <c r="AQ19" s="42">
        <v>3.62</v>
      </c>
      <c r="AR19" s="42">
        <v>3.12</v>
      </c>
      <c r="AS19" s="42">
        <v>1.62</v>
      </c>
      <c r="AT19" s="46">
        <v>1.27</v>
      </c>
      <c r="AV19" s="61" t="s">
        <v>938</v>
      </c>
      <c r="AW19" s="42">
        <v>4.16</v>
      </c>
      <c r="AX19" s="42">
        <v>6.1</v>
      </c>
      <c r="AY19" s="42">
        <v>3.79</v>
      </c>
      <c r="AZ19" s="42">
        <v>5.17</v>
      </c>
      <c r="BA19" s="42">
        <v>5.43</v>
      </c>
      <c r="BB19" s="42">
        <v>1.85</v>
      </c>
      <c r="BC19" s="42">
        <v>3.73</v>
      </c>
      <c r="BD19" s="46">
        <v>3.22</v>
      </c>
      <c r="BP19" s="55" t="s">
        <v>936</v>
      </c>
      <c r="BQ19" s="42">
        <v>0.586666666666666</v>
      </c>
      <c r="BR19" s="42">
        <v>2.5053333333333301</v>
      </c>
      <c r="BS19" s="42">
        <v>0.27533333333333299</v>
      </c>
      <c r="BT19" s="42">
        <v>1.7426666666666599</v>
      </c>
      <c r="BU19" s="42">
        <v>6.18333333333333</v>
      </c>
      <c r="BV19" s="42">
        <v>1.7593333333333301</v>
      </c>
      <c r="BW19" s="42">
        <v>0.64866666666666595</v>
      </c>
      <c r="BX19" s="46">
        <v>1.43733333333333</v>
      </c>
      <c r="CJ19" s="44" t="s">
        <v>934</v>
      </c>
      <c r="CK19" s="42">
        <v>0.85</v>
      </c>
      <c r="CL19" s="42">
        <v>0.45</v>
      </c>
      <c r="CM19" s="42">
        <v>0.15</v>
      </c>
      <c r="CN19" s="42">
        <v>1.17</v>
      </c>
      <c r="CO19" s="42">
        <v>2.21</v>
      </c>
      <c r="CP19" s="42">
        <v>0.73</v>
      </c>
      <c r="CQ19" s="42">
        <v>0.28000000000000003</v>
      </c>
      <c r="CR19" s="46">
        <v>2.21</v>
      </c>
    </row>
    <row r="20" spans="2:96" ht="45">
      <c r="B20" s="68" t="s">
        <v>934</v>
      </c>
      <c r="C20" s="69">
        <v>3.03</v>
      </c>
      <c r="D20" s="69">
        <f t="shared" si="0"/>
        <v>3.03</v>
      </c>
      <c r="E20" s="70">
        <f t="shared" si="1"/>
        <v>3.03</v>
      </c>
      <c r="F20" s="69">
        <v>4.3899999999999997</v>
      </c>
      <c r="G20" s="69">
        <f t="shared" si="2"/>
        <v>4.3899999999999997</v>
      </c>
      <c r="H20" s="70">
        <f t="shared" si="3"/>
        <v>4.3899999999999997</v>
      </c>
      <c r="I20" s="69">
        <v>4.7300000000000004</v>
      </c>
      <c r="J20" s="69">
        <f t="shared" si="4"/>
        <v>4.7300000000000004</v>
      </c>
      <c r="K20" s="70" t="str">
        <f t="shared" si="5"/>
        <v/>
      </c>
      <c r="L20" s="69">
        <v>5.64</v>
      </c>
      <c r="M20" s="69">
        <f t="shared" si="6"/>
        <v>5.64</v>
      </c>
      <c r="N20" s="70">
        <f t="shared" si="7"/>
        <v>5.64</v>
      </c>
      <c r="O20" s="69">
        <v>4.33</v>
      </c>
      <c r="P20" s="69">
        <f t="shared" si="8"/>
        <v>4.33</v>
      </c>
      <c r="Q20" s="70">
        <f t="shared" si="9"/>
        <v>4.33</v>
      </c>
      <c r="R20" s="69">
        <v>4.8600000000000003</v>
      </c>
      <c r="S20" s="69">
        <f t="shared" si="10"/>
        <v>4.8600000000000003</v>
      </c>
      <c r="T20" s="70">
        <f t="shared" si="11"/>
        <v>4.8600000000000003</v>
      </c>
      <c r="U20" s="69">
        <v>1.73</v>
      </c>
      <c r="V20" s="69">
        <f t="shared" si="12"/>
        <v>1.73</v>
      </c>
      <c r="W20" s="70">
        <f t="shared" si="13"/>
        <v>1.73</v>
      </c>
      <c r="X20" s="69">
        <v>2.2000000000000002</v>
      </c>
      <c r="Y20" s="69">
        <f t="shared" si="14"/>
        <v>2.2000000000000002</v>
      </c>
      <c r="Z20" s="71">
        <f t="shared" si="15"/>
        <v>2.2000000000000002</v>
      </c>
      <c r="AB20" s="61" t="s">
        <v>938</v>
      </c>
      <c r="AC20" s="42">
        <v>2.85</v>
      </c>
      <c r="AD20" s="42">
        <v>5.44</v>
      </c>
      <c r="AE20" s="42">
        <v>5.16</v>
      </c>
      <c r="AF20" s="42">
        <v>6.07</v>
      </c>
      <c r="AG20" s="42">
        <v>0</v>
      </c>
      <c r="AH20" s="42">
        <v>3.73</v>
      </c>
      <c r="AI20" s="42">
        <v>3.06</v>
      </c>
      <c r="AJ20" s="46">
        <v>3.47</v>
      </c>
      <c r="AL20" s="61" t="s">
        <v>938</v>
      </c>
      <c r="AM20" s="42">
        <v>3.03</v>
      </c>
      <c r="AN20" s="42">
        <v>4.25</v>
      </c>
      <c r="AO20" s="42">
        <v>4.18</v>
      </c>
      <c r="AP20" s="42">
        <v>4.33</v>
      </c>
      <c r="AQ20" s="42">
        <v>3.61</v>
      </c>
      <c r="AR20" s="42">
        <v>3.11</v>
      </c>
      <c r="AS20" s="42">
        <v>1.63</v>
      </c>
      <c r="AT20" s="46">
        <v>0.36</v>
      </c>
      <c r="AV20" s="61" t="s">
        <v>938</v>
      </c>
      <c r="AW20" s="42">
        <v>4.1500000000000004</v>
      </c>
      <c r="AX20" s="42">
        <v>6.09</v>
      </c>
      <c r="AY20" s="42">
        <v>2.7</v>
      </c>
      <c r="AZ20" s="42">
        <v>5.15</v>
      </c>
      <c r="BA20" s="42">
        <v>5.45</v>
      </c>
      <c r="BB20" s="42">
        <v>1.85</v>
      </c>
      <c r="BC20" s="42">
        <v>3.28</v>
      </c>
      <c r="BD20" s="46">
        <v>99.99</v>
      </c>
      <c r="BP20" s="55" t="s">
        <v>515</v>
      </c>
      <c r="BQ20" s="42">
        <v>0.21164960561162299</v>
      </c>
      <c r="BR20" s="42">
        <v>1.6478465408593701</v>
      </c>
      <c r="BS20" s="42">
        <v>0.115577775641436</v>
      </c>
      <c r="BT20" s="42">
        <v>0.49494062494628799</v>
      </c>
      <c r="BU20" s="42">
        <v>6.8096066128831696</v>
      </c>
      <c r="BV20" s="42">
        <v>0.13968854243956</v>
      </c>
      <c r="BW20" s="42">
        <v>9.3156976240226994E-2</v>
      </c>
      <c r="BX20" s="46">
        <v>0.73883211143593897</v>
      </c>
      <c r="BZ20" s="82" t="s">
        <v>534</v>
      </c>
      <c r="CA20" s="8">
        <v>3.88</v>
      </c>
      <c r="CB20" s="8">
        <v>4.2300000000000004</v>
      </c>
      <c r="CC20" s="8">
        <v>3.88</v>
      </c>
      <c r="CD20" s="8">
        <v>4.43</v>
      </c>
      <c r="CE20" s="8">
        <v>3.58</v>
      </c>
      <c r="CF20" s="8">
        <v>3.17</v>
      </c>
      <c r="CG20" s="8">
        <v>1.72</v>
      </c>
      <c r="CH20" s="9">
        <v>1.1399999999999999</v>
      </c>
      <c r="CJ20" s="44" t="s">
        <v>934</v>
      </c>
      <c r="CK20" s="42">
        <v>0.85</v>
      </c>
      <c r="CL20" s="42">
        <v>0.45</v>
      </c>
      <c r="CM20" s="42">
        <v>0.13</v>
      </c>
      <c r="CN20" s="42">
        <v>1.17</v>
      </c>
      <c r="CO20" s="42">
        <v>2.21</v>
      </c>
      <c r="CP20" s="42">
        <v>0.33</v>
      </c>
      <c r="CQ20" s="42">
        <v>0.39</v>
      </c>
      <c r="CR20" s="46">
        <v>2.21</v>
      </c>
    </row>
    <row r="21" spans="2:96">
      <c r="B21" s="68" t="s">
        <v>934</v>
      </c>
      <c r="C21" s="69">
        <v>3</v>
      </c>
      <c r="D21" s="69">
        <f t="shared" si="0"/>
        <v>3</v>
      </c>
      <c r="E21" s="70">
        <f t="shared" si="1"/>
        <v>3</v>
      </c>
      <c r="F21" s="69">
        <v>4.41</v>
      </c>
      <c r="G21" s="69">
        <f t="shared" si="2"/>
        <v>4.41</v>
      </c>
      <c r="H21" s="70">
        <f t="shared" si="3"/>
        <v>4.41</v>
      </c>
      <c r="I21" s="69">
        <v>5.24</v>
      </c>
      <c r="J21" s="69">
        <f t="shared" si="4"/>
        <v>5.24</v>
      </c>
      <c r="K21" s="70">
        <f t="shared" si="5"/>
        <v>5.24</v>
      </c>
      <c r="L21" s="69">
        <v>5.6</v>
      </c>
      <c r="M21" s="69">
        <f t="shared" si="6"/>
        <v>5.6</v>
      </c>
      <c r="N21" s="70">
        <f t="shared" si="7"/>
        <v>5.6</v>
      </c>
      <c r="O21" s="69">
        <v>4.32</v>
      </c>
      <c r="P21" s="69">
        <f t="shared" si="8"/>
        <v>4.32</v>
      </c>
      <c r="Q21" s="70">
        <f t="shared" si="9"/>
        <v>4.32</v>
      </c>
      <c r="R21" s="69">
        <v>4.83</v>
      </c>
      <c r="S21" s="69">
        <f t="shared" si="10"/>
        <v>4.83</v>
      </c>
      <c r="T21" s="70">
        <f t="shared" si="11"/>
        <v>4.83</v>
      </c>
      <c r="U21" s="69">
        <v>1.72</v>
      </c>
      <c r="V21" s="69">
        <f t="shared" si="12"/>
        <v>1.72</v>
      </c>
      <c r="W21" s="70">
        <f t="shared" si="13"/>
        <v>1.72</v>
      </c>
      <c r="X21" s="69">
        <v>2.29</v>
      </c>
      <c r="Y21" s="69">
        <f t="shared" si="14"/>
        <v>2.29</v>
      </c>
      <c r="Z21" s="71">
        <f t="shared" si="15"/>
        <v>2.29</v>
      </c>
      <c r="AB21" s="61" t="s">
        <v>938</v>
      </c>
      <c r="AC21" s="42">
        <v>2.85</v>
      </c>
      <c r="AD21" s="42">
        <v>5.47</v>
      </c>
      <c r="AE21" s="42">
        <v>5.14</v>
      </c>
      <c r="AF21" s="42">
        <v>6.06</v>
      </c>
      <c r="AG21" s="42">
        <v>0</v>
      </c>
      <c r="AH21" s="42">
        <v>3.73</v>
      </c>
      <c r="AI21" s="42">
        <v>3.06</v>
      </c>
      <c r="AJ21" s="46">
        <v>3.45</v>
      </c>
      <c r="AL21" s="61" t="s">
        <v>938</v>
      </c>
      <c r="AM21" s="42">
        <v>3.93</v>
      </c>
      <c r="AN21" s="42">
        <v>4.29</v>
      </c>
      <c r="AO21" s="42">
        <v>4.17</v>
      </c>
      <c r="AP21" s="42">
        <v>4.3</v>
      </c>
      <c r="AQ21" s="42">
        <v>3.63</v>
      </c>
      <c r="AR21" s="42">
        <v>3.13</v>
      </c>
      <c r="AS21" s="42">
        <v>1.63</v>
      </c>
      <c r="AT21" s="46">
        <v>1.19</v>
      </c>
      <c r="AV21" s="61" t="s">
        <v>938</v>
      </c>
      <c r="AW21" s="42">
        <v>4.1500000000000004</v>
      </c>
      <c r="AX21" s="42">
        <v>6.08</v>
      </c>
      <c r="AY21" s="42">
        <v>3.79</v>
      </c>
      <c r="AZ21" s="42">
        <v>5.08</v>
      </c>
      <c r="BA21" s="42">
        <v>5.45</v>
      </c>
      <c r="BB21" s="42">
        <v>1.86</v>
      </c>
      <c r="BC21" s="42">
        <v>3.76</v>
      </c>
      <c r="BD21" s="46">
        <v>3.18</v>
      </c>
      <c r="BP21" s="55" t="s">
        <v>520</v>
      </c>
      <c r="BQ21" s="42">
        <v>0.79831627227828905</v>
      </c>
      <c r="BR21" s="42">
        <v>4.15317987419271</v>
      </c>
      <c r="BS21" s="42">
        <v>0.39091110897476899</v>
      </c>
      <c r="BT21" s="42">
        <v>2.2376072916129499</v>
      </c>
      <c r="BU21" s="42">
        <v>12.992939946216501</v>
      </c>
      <c r="BV21" s="42">
        <v>1.8990218757728901</v>
      </c>
      <c r="BW21" s="42">
        <v>0.74182364290689295</v>
      </c>
      <c r="BX21" s="46">
        <v>2.17616544476927</v>
      </c>
      <c r="BZ21" s="52" t="s">
        <v>539</v>
      </c>
      <c r="CA21" s="11">
        <f>CA20-CA18</f>
        <v>-8.8099999999999987</v>
      </c>
      <c r="CB21" s="11">
        <f t="shared" ref="CB21:CH21" si="16">CB20-CB18</f>
        <v>2.8600000000000003</v>
      </c>
      <c r="CC21" s="11">
        <f t="shared" si="16"/>
        <v>2.19</v>
      </c>
      <c r="CD21" s="11">
        <f t="shared" si="16"/>
        <v>0.87000000000000988</v>
      </c>
      <c r="CE21" s="11">
        <f t="shared" si="16"/>
        <v>1.76</v>
      </c>
      <c r="CF21" s="11">
        <f t="shared" si="16"/>
        <v>0.71375000000000011</v>
      </c>
      <c r="CG21" s="11">
        <f t="shared" si="16"/>
        <v>1.48</v>
      </c>
      <c r="CH21" s="12">
        <f t="shared" si="16"/>
        <v>0.90333333333333388</v>
      </c>
      <c r="CJ21" s="44" t="s">
        <v>934</v>
      </c>
      <c r="CK21" s="42">
        <v>0.73</v>
      </c>
      <c r="CL21" s="42">
        <v>0.39</v>
      </c>
      <c r="CM21" s="42">
        <v>0.15</v>
      </c>
      <c r="CN21" s="42">
        <v>0</v>
      </c>
      <c r="CO21" s="42">
        <v>2.21</v>
      </c>
      <c r="CP21" s="42">
        <v>0.73</v>
      </c>
      <c r="CQ21" s="42">
        <v>0.28000000000000003</v>
      </c>
      <c r="CR21" s="46">
        <v>1.89</v>
      </c>
    </row>
    <row r="22" spans="2:96" ht="15.75" thickBot="1">
      <c r="B22" s="68" t="s">
        <v>934</v>
      </c>
      <c r="C22" s="69">
        <v>3.03</v>
      </c>
      <c r="D22" s="69">
        <f t="shared" si="0"/>
        <v>3.03</v>
      </c>
      <c r="E22" s="70">
        <f t="shared" si="1"/>
        <v>3.03</v>
      </c>
      <c r="F22" s="69">
        <v>4.38</v>
      </c>
      <c r="G22" s="69">
        <f t="shared" si="2"/>
        <v>4.38</v>
      </c>
      <c r="H22" s="70">
        <f t="shared" si="3"/>
        <v>4.38</v>
      </c>
      <c r="I22" s="69">
        <v>5.28</v>
      </c>
      <c r="J22" s="69">
        <f t="shared" si="4"/>
        <v>5.28</v>
      </c>
      <c r="K22" s="70">
        <f t="shared" si="5"/>
        <v>5.28</v>
      </c>
      <c r="L22" s="69">
        <v>5.66</v>
      </c>
      <c r="M22" s="69">
        <f t="shared" si="6"/>
        <v>5.66</v>
      </c>
      <c r="N22" s="70">
        <f t="shared" si="7"/>
        <v>5.66</v>
      </c>
      <c r="O22" s="69">
        <v>0.84</v>
      </c>
      <c r="P22" s="69">
        <f t="shared" si="8"/>
        <v>0.84</v>
      </c>
      <c r="Q22" s="70" t="str">
        <f t="shared" si="9"/>
        <v/>
      </c>
      <c r="R22" s="69">
        <v>4.82</v>
      </c>
      <c r="S22" s="69">
        <f t="shared" si="10"/>
        <v>4.82</v>
      </c>
      <c r="T22" s="70">
        <f t="shared" si="11"/>
        <v>4.82</v>
      </c>
      <c r="U22" s="69">
        <v>1.8</v>
      </c>
      <c r="V22" s="69">
        <f t="shared" si="12"/>
        <v>1.8</v>
      </c>
      <c r="W22" s="70">
        <f t="shared" si="13"/>
        <v>1.8</v>
      </c>
      <c r="X22" s="69">
        <v>2.2599999999999998</v>
      </c>
      <c r="Y22" s="69">
        <f t="shared" si="14"/>
        <v>2.2599999999999998</v>
      </c>
      <c r="Z22" s="71">
        <f t="shared" si="15"/>
        <v>2.2599999999999998</v>
      </c>
      <c r="AB22" s="61" t="s">
        <v>938</v>
      </c>
      <c r="AC22" s="42">
        <v>2.77</v>
      </c>
      <c r="AD22" s="42">
        <v>5.47</v>
      </c>
      <c r="AE22" s="42">
        <v>5.23</v>
      </c>
      <c r="AF22" s="42">
        <v>6.02</v>
      </c>
      <c r="AG22" s="42">
        <v>0</v>
      </c>
      <c r="AH22" s="42">
        <v>3.77</v>
      </c>
      <c r="AI22" s="42">
        <v>3.03</v>
      </c>
      <c r="AJ22" s="46">
        <v>3.54</v>
      </c>
      <c r="AL22" s="61" t="s">
        <v>938</v>
      </c>
      <c r="AM22" s="42">
        <v>3.92</v>
      </c>
      <c r="AN22" s="42">
        <v>4.28</v>
      </c>
      <c r="AO22" s="42">
        <v>4.17</v>
      </c>
      <c r="AP22" s="42">
        <v>4.32</v>
      </c>
      <c r="AQ22" s="42">
        <v>3.59</v>
      </c>
      <c r="AR22" s="42">
        <v>3.12</v>
      </c>
      <c r="AS22" s="42">
        <v>1.63</v>
      </c>
      <c r="AT22" s="46">
        <v>1.24</v>
      </c>
      <c r="AV22" s="61" t="s">
        <v>938</v>
      </c>
      <c r="AW22" s="42">
        <v>4.1500000000000004</v>
      </c>
      <c r="AX22" s="42">
        <v>6.07</v>
      </c>
      <c r="AY22" s="42">
        <v>3.78</v>
      </c>
      <c r="AZ22" s="42">
        <v>5.0999999999999996</v>
      </c>
      <c r="BA22" s="42">
        <v>2.65</v>
      </c>
      <c r="BB22" s="42">
        <v>1.85</v>
      </c>
      <c r="BC22" s="42">
        <v>3.7</v>
      </c>
      <c r="BD22" s="46">
        <v>3.22</v>
      </c>
      <c r="BP22" s="55" t="s">
        <v>525</v>
      </c>
      <c r="BQ22" s="42">
        <v>0.37501706105504301</v>
      </c>
      <c r="BR22" s="42">
        <v>0.85748679247395398</v>
      </c>
      <c r="BS22" s="42">
        <v>0.15975555769189601</v>
      </c>
      <c r="BT22" s="42">
        <v>1.2477260417203699</v>
      </c>
      <c r="BU22" s="42">
        <v>-0.62627327954984002</v>
      </c>
      <c r="BV22" s="42">
        <v>1.6196447908937699</v>
      </c>
      <c r="BW22" s="42">
        <v>0.55550969042643905</v>
      </c>
      <c r="BX22" s="46">
        <v>0.69850122189739305</v>
      </c>
      <c r="BZ22" s="53" t="s">
        <v>544</v>
      </c>
      <c r="CA22" s="14">
        <f>(CA21/CA18)*100</f>
        <v>-69.424743892828985</v>
      </c>
      <c r="CB22" s="14">
        <f t="shared" ref="CB22:CF22" si="17">(CB21/CB18)*100</f>
        <v>208.75912408759123</v>
      </c>
      <c r="CC22" s="14">
        <f t="shared" si="17"/>
        <v>129.58579881656803</v>
      </c>
      <c r="CD22" s="14">
        <f>(CD21/CD18)*100</f>
        <v>24.438202247191359</v>
      </c>
      <c r="CE22" s="14">
        <f>(CE21/CE18)*100</f>
        <v>96.703296703296701</v>
      </c>
      <c r="CF22" s="14">
        <f t="shared" si="17"/>
        <v>29.058524173027994</v>
      </c>
      <c r="CG22" s="14">
        <f>(CG21/CG18)*100</f>
        <v>616.66666666666674</v>
      </c>
      <c r="CH22" s="15">
        <f>(CH21/CH18)*100</f>
        <v>381.69014084507171</v>
      </c>
      <c r="CJ22" s="44" t="s">
        <v>934</v>
      </c>
      <c r="CK22" s="42">
        <v>0.85</v>
      </c>
      <c r="CL22" s="42">
        <v>0.45</v>
      </c>
      <c r="CM22" s="42">
        <v>0.15</v>
      </c>
      <c r="CN22" s="42">
        <v>1.17</v>
      </c>
      <c r="CO22" s="42">
        <v>1.89</v>
      </c>
      <c r="CP22" s="42">
        <v>0.73</v>
      </c>
      <c r="CQ22" s="42">
        <v>0.28000000000000003</v>
      </c>
      <c r="CR22" s="46">
        <v>2.59</v>
      </c>
    </row>
    <row r="23" spans="2:96" ht="15.75" thickBot="1">
      <c r="B23" s="68" t="s">
        <v>934</v>
      </c>
      <c r="C23" s="69">
        <v>2.95</v>
      </c>
      <c r="D23" s="69">
        <f t="shared" si="0"/>
        <v>2.95</v>
      </c>
      <c r="E23" s="70">
        <f t="shared" si="1"/>
        <v>2.95</v>
      </c>
      <c r="F23" s="69">
        <v>4.42</v>
      </c>
      <c r="G23" s="69">
        <f t="shared" si="2"/>
        <v>4.42</v>
      </c>
      <c r="H23" s="70">
        <f t="shared" si="3"/>
        <v>4.42</v>
      </c>
      <c r="I23" s="69">
        <v>5.26</v>
      </c>
      <c r="J23" s="69">
        <f t="shared" si="4"/>
        <v>5.26</v>
      </c>
      <c r="K23" s="70">
        <f t="shared" si="5"/>
        <v>5.26</v>
      </c>
      <c r="L23" s="69">
        <v>5.64</v>
      </c>
      <c r="M23" s="69">
        <f t="shared" si="6"/>
        <v>5.64</v>
      </c>
      <c r="N23" s="70">
        <f t="shared" si="7"/>
        <v>5.64</v>
      </c>
      <c r="O23" s="69">
        <v>4.3099999999999996</v>
      </c>
      <c r="P23" s="69">
        <f t="shared" si="8"/>
        <v>4.3099999999999996</v>
      </c>
      <c r="Q23" s="70">
        <f t="shared" si="9"/>
        <v>4.3099999999999996</v>
      </c>
      <c r="R23" s="69">
        <v>4.84</v>
      </c>
      <c r="S23" s="69">
        <f t="shared" si="10"/>
        <v>4.84</v>
      </c>
      <c r="T23" s="70">
        <f t="shared" si="11"/>
        <v>4.84</v>
      </c>
      <c r="U23" s="69">
        <v>1.75</v>
      </c>
      <c r="V23" s="69">
        <f t="shared" si="12"/>
        <v>1.75</v>
      </c>
      <c r="W23" s="70">
        <f t="shared" si="13"/>
        <v>1.75</v>
      </c>
      <c r="X23" s="69">
        <v>1.66</v>
      </c>
      <c r="Y23" s="69">
        <f t="shared" si="14"/>
        <v>1.66</v>
      </c>
      <c r="Z23" s="71" t="str">
        <f t="shared" si="15"/>
        <v/>
      </c>
      <c r="AB23" s="61" t="s">
        <v>938</v>
      </c>
      <c r="AC23" s="42">
        <v>2.82</v>
      </c>
      <c r="AD23" s="42">
        <v>5.45</v>
      </c>
      <c r="AE23" s="42">
        <v>5.18</v>
      </c>
      <c r="AF23" s="42">
        <v>6.04</v>
      </c>
      <c r="AG23" s="42">
        <v>5.16</v>
      </c>
      <c r="AH23" s="42">
        <v>3.77</v>
      </c>
      <c r="AI23" s="42">
        <v>3.07</v>
      </c>
      <c r="AJ23" s="46">
        <v>3.52</v>
      </c>
      <c r="AL23" s="61" t="s">
        <v>938</v>
      </c>
      <c r="AM23" s="42">
        <v>3.92</v>
      </c>
      <c r="AN23" s="42">
        <v>4.3</v>
      </c>
      <c r="AO23" s="42">
        <v>4.12</v>
      </c>
      <c r="AP23" s="42">
        <v>4.3099999999999996</v>
      </c>
      <c r="AQ23" s="42">
        <v>3.56</v>
      </c>
      <c r="AR23" s="42">
        <v>3.13</v>
      </c>
      <c r="AS23" s="42">
        <v>1.64</v>
      </c>
      <c r="AT23" s="46">
        <v>1.22</v>
      </c>
      <c r="AV23" s="61" t="s">
        <v>938</v>
      </c>
      <c r="AW23" s="42">
        <v>4.1399999999999997</v>
      </c>
      <c r="AX23" s="42">
        <v>6.11</v>
      </c>
      <c r="AY23" s="42">
        <v>3.6</v>
      </c>
      <c r="AZ23" s="42">
        <v>4.87</v>
      </c>
      <c r="BA23" s="42">
        <v>3.61</v>
      </c>
      <c r="BB23" s="42">
        <v>1.84</v>
      </c>
      <c r="BC23" s="42">
        <v>3.78</v>
      </c>
      <c r="BD23" s="46">
        <v>3.24</v>
      </c>
      <c r="BP23" s="56" t="s">
        <v>937</v>
      </c>
      <c r="BQ23" s="49">
        <v>0.53071428571428503</v>
      </c>
      <c r="BR23" s="49">
        <v>3.56</v>
      </c>
      <c r="BS23" s="49">
        <v>0.35888888888888798</v>
      </c>
      <c r="BT23" s="49">
        <v>1.6128571428571401</v>
      </c>
      <c r="BU23" s="49">
        <v>2.0936363636363602</v>
      </c>
      <c r="BV23" s="49">
        <v>1.89</v>
      </c>
      <c r="BW23" s="49">
        <v>0.67923076923076897</v>
      </c>
      <c r="BX23" s="50">
        <v>1.24142857142857</v>
      </c>
      <c r="BZ23" s="1"/>
      <c r="CA23" s="1"/>
      <c r="CB23" s="1"/>
      <c r="CC23" s="1"/>
      <c r="CD23" s="1"/>
      <c r="CE23" s="1"/>
      <c r="CF23" s="1"/>
      <c r="CG23" s="1"/>
      <c r="CH23" s="1"/>
      <c r="CJ23" s="44" t="s">
        <v>934</v>
      </c>
      <c r="CK23" s="42">
        <v>0.85</v>
      </c>
      <c r="CL23" s="42">
        <v>0.45</v>
      </c>
      <c r="CM23" s="42">
        <v>0.15</v>
      </c>
      <c r="CN23" s="42">
        <v>1.17</v>
      </c>
      <c r="CO23" s="42">
        <v>2.21</v>
      </c>
      <c r="CP23" s="42">
        <v>0.73</v>
      </c>
      <c r="CQ23" s="42">
        <v>0.45</v>
      </c>
      <c r="CR23" s="46">
        <v>2.21</v>
      </c>
    </row>
    <row r="24" spans="2:96" ht="30.75" thickBot="1">
      <c r="B24" s="68" t="s">
        <v>938</v>
      </c>
      <c r="C24" s="69">
        <v>2.95</v>
      </c>
      <c r="D24" s="69">
        <f t="shared" si="0"/>
        <v>2.95</v>
      </c>
      <c r="E24" s="70">
        <f t="shared" si="1"/>
        <v>2.95</v>
      </c>
      <c r="F24" s="69">
        <v>4.38</v>
      </c>
      <c r="G24" s="69">
        <f t="shared" si="2"/>
        <v>4.38</v>
      </c>
      <c r="H24" s="70">
        <f t="shared" si="3"/>
        <v>4.38</v>
      </c>
      <c r="I24" s="69">
        <v>3.77</v>
      </c>
      <c r="J24" s="69">
        <f t="shared" si="4"/>
        <v>3.77</v>
      </c>
      <c r="K24" s="70" t="str">
        <f t="shared" si="5"/>
        <v/>
      </c>
      <c r="L24" s="69">
        <v>5.62</v>
      </c>
      <c r="M24" s="69">
        <f t="shared" si="6"/>
        <v>5.62</v>
      </c>
      <c r="N24" s="70">
        <f t="shared" si="7"/>
        <v>5.62</v>
      </c>
      <c r="O24" s="69">
        <v>4.32</v>
      </c>
      <c r="P24" s="69">
        <f t="shared" si="8"/>
        <v>4.32</v>
      </c>
      <c r="Q24" s="70">
        <f t="shared" si="9"/>
        <v>4.32</v>
      </c>
      <c r="R24" s="69">
        <v>2.4500000000000002</v>
      </c>
      <c r="S24" s="69">
        <f t="shared" si="10"/>
        <v>2.4500000000000002</v>
      </c>
      <c r="T24" s="70" t="str">
        <f t="shared" si="11"/>
        <v/>
      </c>
      <c r="U24" s="69">
        <v>1.75</v>
      </c>
      <c r="V24" s="69">
        <f t="shared" si="12"/>
        <v>1.75</v>
      </c>
      <c r="W24" s="70">
        <f t="shared" si="13"/>
        <v>1.75</v>
      </c>
      <c r="X24" s="69">
        <v>2.27</v>
      </c>
      <c r="Y24" s="69">
        <f t="shared" si="14"/>
        <v>2.27</v>
      </c>
      <c r="Z24" s="71">
        <f t="shared" si="15"/>
        <v>2.27</v>
      </c>
      <c r="AB24" s="61" t="s">
        <v>939</v>
      </c>
      <c r="AC24" s="42">
        <v>2.82</v>
      </c>
      <c r="AD24" s="42">
        <v>5.47</v>
      </c>
      <c r="AE24" s="42">
        <v>5.12</v>
      </c>
      <c r="AF24" s="42">
        <v>6.05</v>
      </c>
      <c r="AG24" s="42">
        <v>5.1100000000000003</v>
      </c>
      <c r="AH24" s="42">
        <v>3.73</v>
      </c>
      <c r="AI24" s="42">
        <v>3.06</v>
      </c>
      <c r="AJ24" s="46">
        <v>3.44</v>
      </c>
      <c r="AL24" s="61" t="s">
        <v>940</v>
      </c>
      <c r="AM24" s="42">
        <v>3.9</v>
      </c>
      <c r="AN24" s="42">
        <v>4.26</v>
      </c>
      <c r="AO24" s="42">
        <v>4.16</v>
      </c>
      <c r="AP24" s="42">
        <v>4.3099999999999996</v>
      </c>
      <c r="AQ24" s="42">
        <v>3.63</v>
      </c>
      <c r="AR24" s="42">
        <v>3.13</v>
      </c>
      <c r="AS24" s="42">
        <v>1.64</v>
      </c>
      <c r="AT24" s="46">
        <v>1.21</v>
      </c>
      <c r="AV24" s="61" t="s">
        <v>940</v>
      </c>
      <c r="AW24" s="42">
        <v>1.04</v>
      </c>
      <c r="AX24" s="42">
        <v>3.66</v>
      </c>
      <c r="AY24" s="42">
        <v>2.3199999999999998</v>
      </c>
      <c r="AZ24" s="42">
        <v>5.18</v>
      </c>
      <c r="BA24" s="42">
        <v>5.44</v>
      </c>
      <c r="BB24" s="42">
        <v>1.84</v>
      </c>
      <c r="BC24" s="42">
        <v>3.77</v>
      </c>
      <c r="BD24" s="46">
        <v>0</v>
      </c>
      <c r="BZ24" s="82" t="s">
        <v>553</v>
      </c>
      <c r="CA24" s="8">
        <v>3.86</v>
      </c>
      <c r="CB24" s="8">
        <v>4.24</v>
      </c>
      <c r="CC24" s="8">
        <v>3.37</v>
      </c>
      <c r="CD24" s="8">
        <v>4.38</v>
      </c>
      <c r="CE24" s="8">
        <v>3.57</v>
      </c>
      <c r="CF24" s="8">
        <v>3.19</v>
      </c>
      <c r="CG24" s="8">
        <v>1.74</v>
      </c>
      <c r="CH24" s="9">
        <v>1.1200000000000001</v>
      </c>
      <c r="CJ24" s="44" t="s">
        <v>938</v>
      </c>
      <c r="CK24" s="42">
        <v>1.17</v>
      </c>
      <c r="CL24" s="42">
        <v>0.45</v>
      </c>
      <c r="CM24" s="42">
        <v>0.15</v>
      </c>
      <c r="CN24" s="42">
        <v>3.04</v>
      </c>
      <c r="CO24" s="42">
        <v>2.21</v>
      </c>
      <c r="CP24" s="42">
        <v>0.62</v>
      </c>
      <c r="CQ24" s="42">
        <v>0.28000000000000003</v>
      </c>
      <c r="CR24" s="46">
        <v>2.21</v>
      </c>
    </row>
    <row r="25" spans="2:96" ht="45">
      <c r="B25" s="68" t="s">
        <v>938</v>
      </c>
      <c r="C25" s="69">
        <v>3.01</v>
      </c>
      <c r="D25" s="69">
        <f t="shared" si="0"/>
        <v>3.01</v>
      </c>
      <c r="E25" s="70">
        <f t="shared" si="1"/>
        <v>3.01</v>
      </c>
      <c r="F25" s="69">
        <v>4.4000000000000004</v>
      </c>
      <c r="G25" s="69">
        <f t="shared" si="2"/>
        <v>4.4000000000000004</v>
      </c>
      <c r="H25" s="70">
        <f t="shared" si="3"/>
        <v>4.4000000000000004</v>
      </c>
      <c r="I25" s="69">
        <v>5.3</v>
      </c>
      <c r="J25" s="69">
        <f t="shared" si="4"/>
        <v>5.3</v>
      </c>
      <c r="K25" s="70">
        <f t="shared" si="5"/>
        <v>5.3</v>
      </c>
      <c r="L25" s="69">
        <v>5.62</v>
      </c>
      <c r="M25" s="69">
        <f t="shared" si="6"/>
        <v>5.62</v>
      </c>
      <c r="N25" s="70">
        <f t="shared" si="7"/>
        <v>5.62</v>
      </c>
      <c r="O25" s="69">
        <v>4.3499999999999996</v>
      </c>
      <c r="P25" s="69">
        <f t="shared" si="8"/>
        <v>4.3499999999999996</v>
      </c>
      <c r="Q25" s="70">
        <f t="shared" si="9"/>
        <v>4.3499999999999996</v>
      </c>
      <c r="R25" s="69">
        <v>4.84</v>
      </c>
      <c r="S25" s="69">
        <f t="shared" si="10"/>
        <v>4.84</v>
      </c>
      <c r="T25" s="70">
        <f t="shared" si="11"/>
        <v>4.84</v>
      </c>
      <c r="U25" s="69">
        <v>1.77</v>
      </c>
      <c r="V25" s="69">
        <f t="shared" si="12"/>
        <v>1.77</v>
      </c>
      <c r="W25" s="70">
        <f t="shared" si="13"/>
        <v>1.77</v>
      </c>
      <c r="X25" s="69">
        <v>1.33</v>
      </c>
      <c r="Y25" s="69">
        <f t="shared" si="14"/>
        <v>1.33</v>
      </c>
      <c r="Z25" s="71" t="str">
        <f t="shared" si="15"/>
        <v/>
      </c>
      <c r="AB25" s="61" t="s">
        <v>939</v>
      </c>
      <c r="AC25" s="42">
        <v>2.85</v>
      </c>
      <c r="AD25" s="42">
        <v>5.43</v>
      </c>
      <c r="AE25" s="42">
        <v>5.15</v>
      </c>
      <c r="AF25" s="42">
        <v>6.09</v>
      </c>
      <c r="AG25" s="42">
        <v>0</v>
      </c>
      <c r="AH25" s="42">
        <v>3.78</v>
      </c>
      <c r="AI25" s="42">
        <v>3.06</v>
      </c>
      <c r="AJ25" s="46">
        <v>3.5</v>
      </c>
      <c r="AL25" s="61" t="s">
        <v>940</v>
      </c>
      <c r="AM25" s="42">
        <v>3.89</v>
      </c>
      <c r="AN25" s="42">
        <v>4.2699999999999996</v>
      </c>
      <c r="AO25" s="42">
        <v>4.17</v>
      </c>
      <c r="AP25" s="42">
        <v>4.29</v>
      </c>
      <c r="AQ25" s="42">
        <v>3.62</v>
      </c>
      <c r="AR25" s="42">
        <v>3.13</v>
      </c>
      <c r="AS25" s="42">
        <v>1.67</v>
      </c>
      <c r="AT25" s="46">
        <v>1.24</v>
      </c>
      <c r="AV25" s="61" t="s">
        <v>940</v>
      </c>
      <c r="AW25" s="42">
        <v>4.17</v>
      </c>
      <c r="AX25" s="42">
        <v>6.02</v>
      </c>
      <c r="AY25" s="42">
        <v>3.78</v>
      </c>
      <c r="AZ25" s="42">
        <v>5.15</v>
      </c>
      <c r="BA25" s="42">
        <v>5.46</v>
      </c>
      <c r="BB25" s="42">
        <v>1.87</v>
      </c>
      <c r="BC25" s="42">
        <v>3.74</v>
      </c>
      <c r="BD25" s="46">
        <v>3.15</v>
      </c>
      <c r="BP25" s="82" t="s">
        <v>534</v>
      </c>
      <c r="BQ25" s="8">
        <v>2.88</v>
      </c>
      <c r="BR25" s="8">
        <v>5.31</v>
      </c>
      <c r="BS25" s="8">
        <v>5.04</v>
      </c>
      <c r="BT25" s="8">
        <v>6.21</v>
      </c>
      <c r="BU25" s="8">
        <v>5.29</v>
      </c>
      <c r="BV25" s="8">
        <v>3.65</v>
      </c>
      <c r="BW25" s="8">
        <v>2.85</v>
      </c>
      <c r="BX25" s="9">
        <v>3.06</v>
      </c>
      <c r="BZ25" s="52" t="s">
        <v>539</v>
      </c>
      <c r="CA25" s="11">
        <f>CA24-CA18</f>
        <v>-8.83</v>
      </c>
      <c r="CB25" s="11">
        <f t="shared" ref="CB25:CH25" si="18">CB24-CB18</f>
        <v>2.87</v>
      </c>
      <c r="CC25" s="11">
        <f t="shared" si="18"/>
        <v>1.6800000000000002</v>
      </c>
      <c r="CD25" s="11">
        <f>CD24-CD18</f>
        <v>0.82000000000001005</v>
      </c>
      <c r="CE25" s="11">
        <f t="shared" si="18"/>
        <v>1.7499999999999998</v>
      </c>
      <c r="CF25" s="11">
        <f t="shared" si="18"/>
        <v>0.73375000000000012</v>
      </c>
      <c r="CG25" s="11">
        <f t="shared" si="18"/>
        <v>1.5</v>
      </c>
      <c r="CH25" s="12">
        <f t="shared" si="18"/>
        <v>0.88333333333333408</v>
      </c>
      <c r="CJ25" s="44" t="s">
        <v>938</v>
      </c>
      <c r="CK25" s="42">
        <v>0.85</v>
      </c>
      <c r="CL25" s="42">
        <v>0.45</v>
      </c>
      <c r="CM25" s="42">
        <v>0.15</v>
      </c>
      <c r="CN25" s="42">
        <v>1.17</v>
      </c>
      <c r="CO25" s="42">
        <v>1.89</v>
      </c>
      <c r="CP25" s="42">
        <v>0.73</v>
      </c>
      <c r="CQ25" s="42">
        <v>0.28000000000000003</v>
      </c>
      <c r="CR25" s="46">
        <v>3.56</v>
      </c>
    </row>
    <row r="26" spans="2:96" ht="15.75" thickBot="1">
      <c r="B26" s="68" t="s">
        <v>938</v>
      </c>
      <c r="C26" s="69">
        <v>3.02</v>
      </c>
      <c r="D26" s="69">
        <f t="shared" si="0"/>
        <v>3.02</v>
      </c>
      <c r="E26" s="70">
        <f t="shared" si="1"/>
        <v>3.02</v>
      </c>
      <c r="F26" s="69">
        <v>4.4400000000000004</v>
      </c>
      <c r="G26" s="69">
        <f t="shared" si="2"/>
        <v>4.4400000000000004</v>
      </c>
      <c r="H26" s="70">
        <f t="shared" si="3"/>
        <v>4.4400000000000004</v>
      </c>
      <c r="I26" s="69">
        <v>5.27</v>
      </c>
      <c r="J26" s="69">
        <f t="shared" si="4"/>
        <v>5.27</v>
      </c>
      <c r="K26" s="70">
        <f t="shared" si="5"/>
        <v>5.27</v>
      </c>
      <c r="L26" s="69">
        <v>1.86</v>
      </c>
      <c r="M26" s="69">
        <f t="shared" si="6"/>
        <v>1.86</v>
      </c>
      <c r="N26" s="70" t="str">
        <f t="shared" si="7"/>
        <v/>
      </c>
      <c r="O26" s="69">
        <v>2.58</v>
      </c>
      <c r="P26" s="69">
        <f t="shared" si="8"/>
        <v>2.58</v>
      </c>
      <c r="Q26" s="70" t="str">
        <f t="shared" si="9"/>
        <v/>
      </c>
      <c r="R26" s="69">
        <v>4.87</v>
      </c>
      <c r="S26" s="69">
        <f t="shared" si="10"/>
        <v>4.87</v>
      </c>
      <c r="T26" s="70">
        <f t="shared" si="11"/>
        <v>4.87</v>
      </c>
      <c r="U26" s="69">
        <v>1.76</v>
      </c>
      <c r="V26" s="69">
        <f t="shared" si="12"/>
        <v>1.76</v>
      </c>
      <c r="W26" s="70">
        <f t="shared" si="13"/>
        <v>1.76</v>
      </c>
      <c r="X26" s="69">
        <v>2.2599999999999998</v>
      </c>
      <c r="Y26" s="69">
        <f t="shared" si="14"/>
        <v>2.2599999999999998</v>
      </c>
      <c r="Z26" s="71">
        <f t="shared" si="15"/>
        <v>2.2599999999999998</v>
      </c>
      <c r="AB26" s="61" t="s">
        <v>939</v>
      </c>
      <c r="AC26" s="42">
        <v>2.85</v>
      </c>
      <c r="AD26" s="42">
        <v>5.43</v>
      </c>
      <c r="AE26" s="42">
        <v>5.16</v>
      </c>
      <c r="AF26" s="42">
        <v>6.05</v>
      </c>
      <c r="AG26" s="42">
        <v>0</v>
      </c>
      <c r="AH26" s="42">
        <v>3.76</v>
      </c>
      <c r="AI26" s="42">
        <v>3.05</v>
      </c>
      <c r="AJ26" s="46">
        <v>3.47</v>
      </c>
      <c r="AL26" s="61" t="s">
        <v>940</v>
      </c>
      <c r="AM26" s="42">
        <v>3.96</v>
      </c>
      <c r="AN26" s="42">
        <v>4.25</v>
      </c>
      <c r="AO26" s="42">
        <v>4.17</v>
      </c>
      <c r="AP26" s="42">
        <v>4.2699999999999996</v>
      </c>
      <c r="AQ26" s="42">
        <v>2.2799999999999998</v>
      </c>
      <c r="AR26" s="42">
        <v>3.14</v>
      </c>
      <c r="AS26" s="42">
        <v>1.67</v>
      </c>
      <c r="AT26" s="46">
        <v>1.25</v>
      </c>
      <c r="AV26" s="61" t="s">
        <v>940</v>
      </c>
      <c r="AW26" s="42">
        <v>4.16</v>
      </c>
      <c r="AX26" s="42">
        <v>6.06</v>
      </c>
      <c r="AY26" s="42">
        <v>3.72</v>
      </c>
      <c r="AZ26" s="42">
        <v>5.14</v>
      </c>
      <c r="BA26" s="42">
        <v>5.46</v>
      </c>
      <c r="BB26" s="42">
        <v>1.87</v>
      </c>
      <c r="BC26" s="42">
        <v>3.76</v>
      </c>
      <c r="BD26" s="46">
        <v>3.18</v>
      </c>
      <c r="BP26" s="52" t="s">
        <v>539</v>
      </c>
      <c r="BQ26" s="11">
        <f>BQ25-BQ23</f>
        <v>2.3492857142857151</v>
      </c>
      <c r="BR26" s="11">
        <f t="shared" ref="BR26:BX26" si="19">BR25-BR23</f>
        <v>1.7499999999999996</v>
      </c>
      <c r="BS26" s="11">
        <f t="shared" si="19"/>
        <v>4.6811111111111119</v>
      </c>
      <c r="BT26" s="11">
        <f t="shared" si="19"/>
        <v>4.5971428571428596</v>
      </c>
      <c r="BU26" s="11">
        <f t="shared" si="19"/>
        <v>3.1963636363636398</v>
      </c>
      <c r="BV26" s="11">
        <f t="shared" si="19"/>
        <v>1.76</v>
      </c>
      <c r="BW26" s="11">
        <f t="shared" si="19"/>
        <v>2.1707692307692312</v>
      </c>
      <c r="BX26" s="12">
        <f t="shared" si="19"/>
        <v>1.8185714285714301</v>
      </c>
      <c r="BZ26" s="53" t="s">
        <v>544</v>
      </c>
      <c r="CA26" s="14">
        <f>(CA25/CA18)*100</f>
        <v>-69.582348305752561</v>
      </c>
      <c r="CB26" s="14">
        <f t="shared" ref="CB26:CG26" si="20">(CB25/CB18)*100</f>
        <v>209.4890510948905</v>
      </c>
      <c r="CC26" s="14">
        <f>(CC25/CC18)*100</f>
        <v>99.408284023668642</v>
      </c>
      <c r="CD26" s="14">
        <f t="shared" si="20"/>
        <v>23.033707865168886</v>
      </c>
      <c r="CE26" s="14">
        <f t="shared" si="20"/>
        <v>96.153846153846132</v>
      </c>
      <c r="CF26" s="14">
        <f t="shared" si="20"/>
        <v>29.872773536895679</v>
      </c>
      <c r="CG26" s="14">
        <f t="shared" si="20"/>
        <v>625</v>
      </c>
      <c r="CH26" s="15">
        <f>(CH25/CH18)*100</f>
        <v>373.2394366197197</v>
      </c>
      <c r="CJ26" s="44" t="s">
        <v>938</v>
      </c>
      <c r="CK26" s="42">
        <v>0.85</v>
      </c>
      <c r="CL26" s="42">
        <v>0.45</v>
      </c>
      <c r="CM26" s="42">
        <v>0.15</v>
      </c>
      <c r="CN26" s="42">
        <v>0</v>
      </c>
      <c r="CO26" s="42">
        <v>1.89</v>
      </c>
      <c r="CP26" s="42">
        <v>0.73</v>
      </c>
      <c r="CQ26" s="42">
        <v>0.28000000000000003</v>
      </c>
      <c r="CR26" s="46">
        <v>1.89</v>
      </c>
    </row>
    <row r="27" spans="2:96" ht="15.75" thickBot="1">
      <c r="B27" s="68" t="s">
        <v>938</v>
      </c>
      <c r="C27" s="69">
        <v>3.03</v>
      </c>
      <c r="D27" s="69">
        <f t="shared" si="0"/>
        <v>3.03</v>
      </c>
      <c r="E27" s="70">
        <f t="shared" si="1"/>
        <v>3.03</v>
      </c>
      <c r="F27" s="69">
        <v>4.3899999999999997</v>
      </c>
      <c r="G27" s="69">
        <f t="shared" si="2"/>
        <v>4.3899999999999997</v>
      </c>
      <c r="H27" s="70">
        <f t="shared" si="3"/>
        <v>4.3899999999999997</v>
      </c>
      <c r="I27" s="69">
        <v>5.3</v>
      </c>
      <c r="J27" s="69">
        <f t="shared" si="4"/>
        <v>5.3</v>
      </c>
      <c r="K27" s="70">
        <f t="shared" si="5"/>
        <v>5.3</v>
      </c>
      <c r="L27" s="69">
        <v>5.05</v>
      </c>
      <c r="M27" s="69">
        <f t="shared" si="6"/>
        <v>5.05</v>
      </c>
      <c r="N27" s="70">
        <f t="shared" si="7"/>
        <v>5.05</v>
      </c>
      <c r="O27" s="69">
        <v>1.63</v>
      </c>
      <c r="P27" s="69">
        <f t="shared" si="8"/>
        <v>1.63</v>
      </c>
      <c r="Q27" s="70" t="str">
        <f t="shared" si="9"/>
        <v/>
      </c>
      <c r="R27" s="69">
        <v>4.82</v>
      </c>
      <c r="S27" s="69">
        <f t="shared" si="10"/>
        <v>4.82</v>
      </c>
      <c r="T27" s="70">
        <f t="shared" si="11"/>
        <v>4.82</v>
      </c>
      <c r="U27" s="69">
        <v>1.73</v>
      </c>
      <c r="V27" s="69">
        <f t="shared" si="12"/>
        <v>1.73</v>
      </c>
      <c r="W27" s="70">
        <f t="shared" si="13"/>
        <v>1.73</v>
      </c>
      <c r="X27" s="69">
        <v>2.27</v>
      </c>
      <c r="Y27" s="69">
        <f t="shared" si="14"/>
        <v>2.27</v>
      </c>
      <c r="Z27" s="71">
        <f t="shared" si="15"/>
        <v>2.27</v>
      </c>
      <c r="AB27" s="61" t="s">
        <v>939</v>
      </c>
      <c r="AC27" s="42">
        <v>2.84</v>
      </c>
      <c r="AD27" s="42">
        <v>5.45</v>
      </c>
      <c r="AE27" s="42">
        <v>5.22</v>
      </c>
      <c r="AF27" s="42">
        <v>6.08</v>
      </c>
      <c r="AG27" s="42">
        <v>0</v>
      </c>
      <c r="AH27" s="42">
        <v>3.73</v>
      </c>
      <c r="AI27" s="42">
        <v>3.07</v>
      </c>
      <c r="AJ27" s="46">
        <v>3.45</v>
      </c>
      <c r="AL27" s="61" t="s">
        <v>940</v>
      </c>
      <c r="AM27" s="42">
        <v>3.94</v>
      </c>
      <c r="AN27" s="42">
        <v>4.2699999999999996</v>
      </c>
      <c r="AO27" s="42">
        <v>4.12</v>
      </c>
      <c r="AP27" s="42">
        <v>4.33</v>
      </c>
      <c r="AQ27" s="42">
        <v>3.63</v>
      </c>
      <c r="AR27" s="42">
        <v>3.14</v>
      </c>
      <c r="AS27" s="42">
        <v>1.61</v>
      </c>
      <c r="AT27" s="46">
        <v>1.25</v>
      </c>
      <c r="AV27" s="61" t="s">
        <v>940</v>
      </c>
      <c r="AW27" s="42">
        <v>4.1500000000000004</v>
      </c>
      <c r="AX27" s="42">
        <v>3.2</v>
      </c>
      <c r="AY27" s="42">
        <v>3.76</v>
      </c>
      <c r="AZ27" s="42">
        <v>6.25</v>
      </c>
      <c r="BA27" s="42">
        <v>5.46</v>
      </c>
      <c r="BB27" s="42">
        <v>1.86</v>
      </c>
      <c r="BC27" s="42">
        <v>3.76</v>
      </c>
      <c r="BD27" s="46">
        <v>3.16</v>
      </c>
      <c r="BP27" s="53" t="s">
        <v>544</v>
      </c>
      <c r="BQ27" s="14">
        <f>(BQ26/BQ23)*100</f>
        <v>442.66487213997385</v>
      </c>
      <c r="BR27" s="14">
        <f t="shared" ref="BR27:BX27" si="21">(BR26/BR23)*100</f>
        <v>49.157303370786501</v>
      </c>
      <c r="BS27" s="14">
        <f t="shared" si="21"/>
        <v>1304.3343653250811</v>
      </c>
      <c r="BT27" s="14">
        <f t="shared" si="21"/>
        <v>285.03100088574024</v>
      </c>
      <c r="BU27" s="14">
        <f t="shared" si="21"/>
        <v>152.67042987407771</v>
      </c>
      <c r="BV27" s="14">
        <f t="shared" si="21"/>
        <v>93.121693121693127</v>
      </c>
      <c r="BW27" s="14">
        <f t="shared" si="21"/>
        <v>319.59229898074761</v>
      </c>
      <c r="BX27" s="15">
        <f t="shared" si="21"/>
        <v>146.49021864211767</v>
      </c>
      <c r="CJ27" s="44" t="s">
        <v>938</v>
      </c>
      <c r="CK27" s="42">
        <v>0</v>
      </c>
      <c r="CL27" s="42">
        <v>1.37</v>
      </c>
      <c r="CM27" s="42">
        <v>0.15</v>
      </c>
      <c r="CN27" s="42">
        <v>1.17</v>
      </c>
      <c r="CO27" s="42">
        <v>2.21</v>
      </c>
      <c r="CP27" s="42">
        <v>0.73</v>
      </c>
      <c r="CQ27" s="42">
        <v>0.28000000000000003</v>
      </c>
      <c r="CR27" s="46">
        <v>3.04</v>
      </c>
    </row>
    <row r="28" spans="2:96" ht="30.75" thickBot="1">
      <c r="B28" s="68" t="s">
        <v>938</v>
      </c>
      <c r="C28" s="69">
        <v>3.03</v>
      </c>
      <c r="D28" s="69">
        <f t="shared" si="0"/>
        <v>3.03</v>
      </c>
      <c r="E28" s="70">
        <f t="shared" si="1"/>
        <v>3.03</v>
      </c>
      <c r="F28" s="69">
        <v>4.3499999999999996</v>
      </c>
      <c r="G28" s="69">
        <f t="shared" si="2"/>
        <v>4.3499999999999996</v>
      </c>
      <c r="H28" s="70">
        <f t="shared" si="3"/>
        <v>4.3499999999999996</v>
      </c>
      <c r="I28" s="69">
        <v>5.36</v>
      </c>
      <c r="J28" s="69">
        <f t="shared" si="4"/>
        <v>5.36</v>
      </c>
      <c r="K28" s="70">
        <f t="shared" si="5"/>
        <v>5.36</v>
      </c>
      <c r="L28" s="69">
        <v>5.64</v>
      </c>
      <c r="M28" s="69">
        <f t="shared" si="6"/>
        <v>5.64</v>
      </c>
      <c r="N28" s="70">
        <f t="shared" si="7"/>
        <v>5.64</v>
      </c>
      <c r="O28" s="69">
        <v>4.32</v>
      </c>
      <c r="P28" s="69">
        <f t="shared" si="8"/>
        <v>4.32</v>
      </c>
      <c r="Q28" s="70">
        <f t="shared" si="9"/>
        <v>4.32</v>
      </c>
      <c r="R28" s="69">
        <v>4.82</v>
      </c>
      <c r="S28" s="69">
        <f t="shared" si="10"/>
        <v>4.82</v>
      </c>
      <c r="T28" s="70">
        <f t="shared" si="11"/>
        <v>4.82</v>
      </c>
      <c r="U28" s="69">
        <v>1.78</v>
      </c>
      <c r="V28" s="69">
        <f t="shared" si="12"/>
        <v>1.78</v>
      </c>
      <c r="W28" s="70">
        <f t="shared" si="13"/>
        <v>1.78</v>
      </c>
      <c r="X28" s="69">
        <v>2.25</v>
      </c>
      <c r="Y28" s="69">
        <f t="shared" si="14"/>
        <v>2.25</v>
      </c>
      <c r="Z28" s="71">
        <f t="shared" si="15"/>
        <v>2.25</v>
      </c>
      <c r="AB28" s="61" t="s">
        <v>939</v>
      </c>
      <c r="AC28" s="42">
        <v>2.86</v>
      </c>
      <c r="AD28" s="42">
        <v>5.4</v>
      </c>
      <c r="AE28" s="42">
        <v>5.17</v>
      </c>
      <c r="AF28" s="42">
        <v>6.07</v>
      </c>
      <c r="AG28" s="42">
        <v>0</v>
      </c>
      <c r="AH28" s="42">
        <v>3.73</v>
      </c>
      <c r="AI28" s="42">
        <v>3.06</v>
      </c>
      <c r="AJ28" s="46">
        <v>3.51</v>
      </c>
      <c r="AL28" s="61" t="s">
        <v>940</v>
      </c>
      <c r="AM28" s="42">
        <v>3.89</v>
      </c>
      <c r="AN28" s="42">
        <v>4.24</v>
      </c>
      <c r="AO28" s="42">
        <v>4.1399999999999997</v>
      </c>
      <c r="AP28" s="42">
        <v>4.28</v>
      </c>
      <c r="AQ28" s="42">
        <v>3.63</v>
      </c>
      <c r="AR28" s="42">
        <v>3.11</v>
      </c>
      <c r="AS28" s="42">
        <v>1.64</v>
      </c>
      <c r="AT28" s="46">
        <v>1.29</v>
      </c>
      <c r="AV28" s="61" t="s">
        <v>940</v>
      </c>
      <c r="AW28" s="42">
        <v>4.1500000000000004</v>
      </c>
      <c r="AX28" s="42">
        <v>6.12</v>
      </c>
      <c r="AY28" s="42">
        <v>3.76</v>
      </c>
      <c r="AZ28" s="42">
        <v>4.34</v>
      </c>
      <c r="BA28" s="42">
        <v>5.47</v>
      </c>
      <c r="BB28" s="42">
        <v>1.86</v>
      </c>
      <c r="BC28" s="42">
        <v>3.79</v>
      </c>
      <c r="BD28" s="46">
        <v>3.22</v>
      </c>
      <c r="BP28" s="1"/>
      <c r="BQ28" s="1"/>
      <c r="BR28" s="1"/>
      <c r="BS28" s="1"/>
      <c r="BT28" s="1"/>
      <c r="BU28" s="1"/>
      <c r="BV28" s="1"/>
      <c r="BW28" s="1"/>
      <c r="BX28" s="1"/>
      <c r="BZ28" s="82" t="s">
        <v>568</v>
      </c>
      <c r="CA28" s="8">
        <v>3.83</v>
      </c>
      <c r="CB28" s="8">
        <v>4.29</v>
      </c>
      <c r="CC28" s="8">
        <v>3.95</v>
      </c>
      <c r="CD28" s="8">
        <v>4.43</v>
      </c>
      <c r="CE28" s="8">
        <v>3.64</v>
      </c>
      <c r="CF28" s="8">
        <v>3.23</v>
      </c>
      <c r="CG28" s="8">
        <v>1.7</v>
      </c>
      <c r="CH28" s="9">
        <v>1.1299999999999999</v>
      </c>
      <c r="CJ28" s="44" t="s">
        <v>938</v>
      </c>
      <c r="CK28" s="42">
        <v>0.85</v>
      </c>
      <c r="CL28" s="42">
        <v>7.88</v>
      </c>
      <c r="CM28" s="42">
        <v>0.13</v>
      </c>
      <c r="CN28" s="42">
        <v>3.56</v>
      </c>
      <c r="CO28" s="42">
        <v>0</v>
      </c>
      <c r="CP28" s="42">
        <v>0.28000000000000003</v>
      </c>
      <c r="CQ28" s="42">
        <v>0.39</v>
      </c>
      <c r="CR28" s="46">
        <v>3.04</v>
      </c>
    </row>
    <row r="29" spans="2:96" ht="30">
      <c r="B29" s="68" t="s">
        <v>940</v>
      </c>
      <c r="C29" s="69">
        <v>2.02</v>
      </c>
      <c r="D29" s="69">
        <f t="shared" si="0"/>
        <v>2.02</v>
      </c>
      <c r="E29" s="70" t="str">
        <f t="shared" si="1"/>
        <v/>
      </c>
      <c r="F29" s="69">
        <v>4.4400000000000004</v>
      </c>
      <c r="G29" s="69">
        <f t="shared" si="2"/>
        <v>4.4400000000000004</v>
      </c>
      <c r="H29" s="70">
        <f t="shared" si="3"/>
        <v>4.4400000000000004</v>
      </c>
      <c r="I29" s="69">
        <v>5.31</v>
      </c>
      <c r="J29" s="69">
        <f t="shared" si="4"/>
        <v>5.31</v>
      </c>
      <c r="K29" s="70">
        <f t="shared" si="5"/>
        <v>5.31</v>
      </c>
      <c r="L29" s="69">
        <v>4.34</v>
      </c>
      <c r="M29" s="69">
        <f t="shared" si="6"/>
        <v>4.34</v>
      </c>
      <c r="N29" s="70">
        <f t="shared" si="7"/>
        <v>4.34</v>
      </c>
      <c r="O29" s="69">
        <v>4.3</v>
      </c>
      <c r="P29" s="69">
        <f t="shared" si="8"/>
        <v>4.3</v>
      </c>
      <c r="Q29" s="70">
        <f t="shared" si="9"/>
        <v>4.3</v>
      </c>
      <c r="R29" s="69">
        <v>4.84</v>
      </c>
      <c r="S29" s="69">
        <f t="shared" si="10"/>
        <v>4.84</v>
      </c>
      <c r="T29" s="70">
        <f t="shared" si="11"/>
        <v>4.84</v>
      </c>
      <c r="U29" s="69">
        <v>1.74</v>
      </c>
      <c r="V29" s="69">
        <f t="shared" si="12"/>
        <v>1.74</v>
      </c>
      <c r="W29" s="70">
        <f t="shared" si="13"/>
        <v>1.74</v>
      </c>
      <c r="X29" s="69">
        <v>2.2599999999999998</v>
      </c>
      <c r="Y29" s="69">
        <f t="shared" si="14"/>
        <v>2.2599999999999998</v>
      </c>
      <c r="Z29" s="71">
        <f t="shared" si="15"/>
        <v>2.2599999999999998</v>
      </c>
      <c r="AB29" s="61" t="s">
        <v>941</v>
      </c>
      <c r="AC29" s="42">
        <v>0.04</v>
      </c>
      <c r="AD29" s="42">
        <v>5.48</v>
      </c>
      <c r="AE29" s="42">
        <v>5.2</v>
      </c>
      <c r="AF29" s="42">
        <v>3.53</v>
      </c>
      <c r="AG29" s="42">
        <v>0</v>
      </c>
      <c r="AH29" s="42">
        <v>3.76</v>
      </c>
      <c r="AI29" s="42">
        <v>3.04</v>
      </c>
      <c r="AJ29" s="46">
        <v>3.44</v>
      </c>
      <c r="AL29" s="61" t="s">
        <v>942</v>
      </c>
      <c r="AM29" s="42">
        <v>2.61</v>
      </c>
      <c r="AN29" s="42">
        <v>4.2699999999999996</v>
      </c>
      <c r="AO29" s="42">
        <v>4.1100000000000003</v>
      </c>
      <c r="AP29" s="42">
        <v>4.29</v>
      </c>
      <c r="AQ29" s="42">
        <v>3.63</v>
      </c>
      <c r="AR29" s="42">
        <v>3.13</v>
      </c>
      <c r="AS29" s="42">
        <v>1.65</v>
      </c>
      <c r="AT29" s="46">
        <v>1.24</v>
      </c>
      <c r="AV29" s="61" t="s">
        <v>942</v>
      </c>
      <c r="AW29" s="42">
        <v>4.17</v>
      </c>
      <c r="AX29" s="42">
        <v>6.09</v>
      </c>
      <c r="AY29" s="42">
        <v>3.77</v>
      </c>
      <c r="AZ29" s="42">
        <v>5.18</v>
      </c>
      <c r="BA29" s="42">
        <v>5.47</v>
      </c>
      <c r="BB29" s="42">
        <v>1.85</v>
      </c>
      <c r="BC29" s="42">
        <v>3.73</v>
      </c>
      <c r="BD29" s="46">
        <v>3.18</v>
      </c>
      <c r="BP29" s="82" t="s">
        <v>553</v>
      </c>
      <c r="BQ29" s="8">
        <v>2.84</v>
      </c>
      <c r="BR29" s="8">
        <v>5.41</v>
      </c>
      <c r="BS29" s="8">
        <v>5.0999999999999996</v>
      </c>
      <c r="BT29" s="8">
        <v>6.17</v>
      </c>
      <c r="BU29" s="8">
        <v>5.33</v>
      </c>
      <c r="BV29" s="8">
        <v>3.65</v>
      </c>
      <c r="BW29" s="8">
        <v>2.94</v>
      </c>
      <c r="BX29" s="9">
        <v>3.12</v>
      </c>
      <c r="BZ29" s="52" t="s">
        <v>539</v>
      </c>
      <c r="CA29" s="11">
        <f>CA28-CA18</f>
        <v>-8.86</v>
      </c>
      <c r="CB29" s="11">
        <f t="shared" ref="CB29" si="22">CB28-CB18</f>
        <v>2.92</v>
      </c>
      <c r="CC29" s="11">
        <f>CC28-CC18</f>
        <v>2.2600000000000002</v>
      </c>
      <c r="CD29" s="11">
        <f t="shared" ref="CD29" si="23">CD28-CD18</f>
        <v>0.87000000000000988</v>
      </c>
      <c r="CE29" s="11">
        <f>CE28-CE18</f>
        <v>1.82</v>
      </c>
      <c r="CF29" s="11">
        <f t="shared" ref="CF29" si="24">CF28-CF18</f>
        <v>0.77375000000000016</v>
      </c>
      <c r="CG29" s="11">
        <f t="shared" ref="CG29" si="25">CG28-CG18</f>
        <v>1.46</v>
      </c>
      <c r="CH29" s="12">
        <f>CH28-CH18</f>
        <v>0.89333333333333387</v>
      </c>
      <c r="CJ29" s="44" t="s">
        <v>940</v>
      </c>
      <c r="CK29" s="42">
        <v>0.73</v>
      </c>
      <c r="CL29" s="42">
        <v>1.37</v>
      </c>
      <c r="CM29" s="42">
        <v>0.11</v>
      </c>
      <c r="CN29" s="42">
        <v>1.17</v>
      </c>
      <c r="CO29" s="42">
        <v>1.89</v>
      </c>
      <c r="CP29" s="42">
        <v>0.73</v>
      </c>
      <c r="CQ29" s="42">
        <v>0.33</v>
      </c>
      <c r="CR29" s="46">
        <v>2.21</v>
      </c>
    </row>
    <row r="30" spans="2:96" ht="15.75" thickBot="1">
      <c r="B30" s="68" t="s">
        <v>940</v>
      </c>
      <c r="C30" s="69">
        <v>3.01</v>
      </c>
      <c r="D30" s="69">
        <f t="shared" si="0"/>
        <v>3.01</v>
      </c>
      <c r="E30" s="70">
        <f t="shared" si="1"/>
        <v>3.01</v>
      </c>
      <c r="F30" s="69">
        <v>4.38</v>
      </c>
      <c r="G30" s="69">
        <f t="shared" si="2"/>
        <v>4.38</v>
      </c>
      <c r="H30" s="70">
        <f t="shared" si="3"/>
        <v>4.38</v>
      </c>
      <c r="I30" s="69">
        <v>5.28</v>
      </c>
      <c r="J30" s="69">
        <f t="shared" si="4"/>
        <v>5.28</v>
      </c>
      <c r="K30" s="70">
        <f t="shared" si="5"/>
        <v>5.28</v>
      </c>
      <c r="L30" s="69">
        <v>5.64</v>
      </c>
      <c r="M30" s="69">
        <f t="shared" si="6"/>
        <v>5.64</v>
      </c>
      <c r="N30" s="70">
        <f t="shared" si="7"/>
        <v>5.64</v>
      </c>
      <c r="O30" s="69">
        <v>4.32</v>
      </c>
      <c r="P30" s="69">
        <f t="shared" si="8"/>
        <v>4.32</v>
      </c>
      <c r="Q30" s="70">
        <f t="shared" si="9"/>
        <v>4.32</v>
      </c>
      <c r="R30" s="69">
        <v>4.92</v>
      </c>
      <c r="S30" s="69">
        <f t="shared" si="10"/>
        <v>4.92</v>
      </c>
      <c r="T30" s="70">
        <f t="shared" si="11"/>
        <v>4.92</v>
      </c>
      <c r="U30" s="69">
        <v>1.76</v>
      </c>
      <c r="V30" s="69">
        <f t="shared" si="12"/>
        <v>1.76</v>
      </c>
      <c r="W30" s="70">
        <f t="shared" si="13"/>
        <v>1.76</v>
      </c>
      <c r="X30" s="69">
        <v>2.23</v>
      </c>
      <c r="Y30" s="69">
        <f t="shared" si="14"/>
        <v>2.23</v>
      </c>
      <c r="Z30" s="71">
        <f t="shared" si="15"/>
        <v>2.23</v>
      </c>
      <c r="AB30" s="61" t="s">
        <v>941</v>
      </c>
      <c r="AC30" s="42">
        <v>2.84</v>
      </c>
      <c r="AD30" s="42">
        <v>5.45</v>
      </c>
      <c r="AE30" s="42">
        <v>5.19</v>
      </c>
      <c r="AF30" s="42">
        <v>6.11</v>
      </c>
      <c r="AG30" s="42">
        <v>0</v>
      </c>
      <c r="AH30" s="42">
        <v>3.73</v>
      </c>
      <c r="AI30" s="42">
        <v>3.03</v>
      </c>
      <c r="AJ30" s="46">
        <v>3.41</v>
      </c>
      <c r="AL30" s="61" t="s">
        <v>942</v>
      </c>
      <c r="AM30" s="42">
        <v>3.89</v>
      </c>
      <c r="AN30" s="42">
        <v>4.28</v>
      </c>
      <c r="AO30" s="42">
        <v>4.1500000000000004</v>
      </c>
      <c r="AP30" s="42">
        <v>4.3099999999999996</v>
      </c>
      <c r="AQ30" s="42">
        <v>3.63</v>
      </c>
      <c r="AR30" s="42">
        <v>0.44</v>
      </c>
      <c r="AS30" s="42">
        <v>1.62</v>
      </c>
      <c r="AT30" s="46">
        <v>1.21</v>
      </c>
      <c r="AV30" s="61" t="s">
        <v>942</v>
      </c>
      <c r="AW30" s="42">
        <v>4.1399999999999997</v>
      </c>
      <c r="AX30" s="42">
        <v>6.1</v>
      </c>
      <c r="AY30" s="42">
        <v>3.78</v>
      </c>
      <c r="AZ30" s="42">
        <v>5.29</v>
      </c>
      <c r="BA30" s="42">
        <v>5.46</v>
      </c>
      <c r="BB30" s="42">
        <v>1.83</v>
      </c>
      <c r="BC30" s="42">
        <v>1.07</v>
      </c>
      <c r="BD30" s="46">
        <v>3.18</v>
      </c>
      <c r="BP30" s="52" t="s">
        <v>539</v>
      </c>
      <c r="BQ30" s="11">
        <f>BQ29-BQ23</f>
        <v>2.3092857142857151</v>
      </c>
      <c r="BR30" s="11">
        <f t="shared" ref="BR30:BX30" si="26">BR29-BR23</f>
        <v>1.85</v>
      </c>
      <c r="BS30" s="11">
        <f t="shared" si="26"/>
        <v>4.7411111111111115</v>
      </c>
      <c r="BT30" s="11">
        <f t="shared" si="26"/>
        <v>4.5571428571428596</v>
      </c>
      <c r="BU30" s="11">
        <f t="shared" si="26"/>
        <v>3.2363636363636399</v>
      </c>
      <c r="BV30" s="11">
        <f t="shared" si="26"/>
        <v>1.76</v>
      </c>
      <c r="BW30" s="11">
        <f t="shared" si="26"/>
        <v>2.2607692307692311</v>
      </c>
      <c r="BX30" s="12">
        <f t="shared" si="26"/>
        <v>1.8785714285714301</v>
      </c>
      <c r="BZ30" s="53" t="s">
        <v>544</v>
      </c>
      <c r="CA30" s="14">
        <f>(CA29/CA18)*100</f>
        <v>-69.81875492513791</v>
      </c>
      <c r="CB30" s="14">
        <f t="shared" ref="CB30" si="27">(CB29/CB18)*100</f>
        <v>213.13868613138683</v>
      </c>
      <c r="CC30" s="14">
        <f>(CC29/CC18)*100</f>
        <v>133.72781065088759</v>
      </c>
      <c r="CD30" s="14">
        <f t="shared" ref="CD30" si="28">(CD29/CD18)*100</f>
        <v>24.438202247191359</v>
      </c>
      <c r="CE30" s="14">
        <f t="shared" ref="CE30" si="29">(CE29/CE18)*100</f>
        <v>100</v>
      </c>
      <c r="CF30" s="14">
        <f t="shared" ref="CF30" si="30">(CF29/CF18)*100</f>
        <v>31.501272264631051</v>
      </c>
      <c r="CG30" s="14">
        <f>(CG29/CG18)*100</f>
        <v>608.33333333333326</v>
      </c>
      <c r="CH30" s="15">
        <f>(CH29/CH18)*100</f>
        <v>377.46478873239562</v>
      </c>
      <c r="CJ30" s="44" t="s">
        <v>940</v>
      </c>
      <c r="CK30" s="42">
        <v>0.73</v>
      </c>
      <c r="CL30" s="42">
        <v>0.45</v>
      </c>
      <c r="CM30" s="42">
        <v>0.13</v>
      </c>
      <c r="CN30" s="42">
        <v>0</v>
      </c>
      <c r="CO30" s="42">
        <v>2.21</v>
      </c>
      <c r="CP30" s="42">
        <v>0.73</v>
      </c>
      <c r="CQ30" s="42">
        <v>0.33</v>
      </c>
      <c r="CR30" s="46">
        <v>3.04</v>
      </c>
    </row>
    <row r="31" spans="2:96" ht="15.75" thickBot="1">
      <c r="B31" s="68" t="s">
        <v>940</v>
      </c>
      <c r="C31" s="69">
        <v>3.02</v>
      </c>
      <c r="D31" s="69">
        <f t="shared" si="0"/>
        <v>3.02</v>
      </c>
      <c r="E31" s="70">
        <f t="shared" si="1"/>
        <v>3.02</v>
      </c>
      <c r="F31" s="69">
        <v>4.37</v>
      </c>
      <c r="G31" s="69">
        <f t="shared" si="2"/>
        <v>4.37</v>
      </c>
      <c r="H31" s="70">
        <f t="shared" si="3"/>
        <v>4.37</v>
      </c>
      <c r="I31" s="69">
        <v>5.31</v>
      </c>
      <c r="J31" s="69">
        <f t="shared" si="4"/>
        <v>5.31</v>
      </c>
      <c r="K31" s="70">
        <f t="shared" si="5"/>
        <v>5.31</v>
      </c>
      <c r="L31" s="69">
        <v>5.67</v>
      </c>
      <c r="M31" s="69">
        <f t="shared" si="6"/>
        <v>5.67</v>
      </c>
      <c r="N31" s="70">
        <f t="shared" si="7"/>
        <v>5.67</v>
      </c>
      <c r="O31" s="69">
        <v>4.32</v>
      </c>
      <c r="P31" s="69">
        <f t="shared" si="8"/>
        <v>4.32</v>
      </c>
      <c r="Q31" s="70">
        <f t="shared" si="9"/>
        <v>4.32</v>
      </c>
      <c r="R31" s="69">
        <v>4.88</v>
      </c>
      <c r="S31" s="69">
        <f t="shared" si="10"/>
        <v>4.88</v>
      </c>
      <c r="T31" s="70">
        <f t="shared" si="11"/>
        <v>4.88</v>
      </c>
      <c r="U31" s="69">
        <v>1.72</v>
      </c>
      <c r="V31" s="69">
        <f t="shared" si="12"/>
        <v>1.72</v>
      </c>
      <c r="W31" s="70">
        <f t="shared" si="13"/>
        <v>1.72</v>
      </c>
      <c r="X31" s="69">
        <v>2.23</v>
      </c>
      <c r="Y31" s="69">
        <f t="shared" si="14"/>
        <v>2.23</v>
      </c>
      <c r="Z31" s="71">
        <f t="shared" si="15"/>
        <v>2.23</v>
      </c>
      <c r="AB31" s="61" t="s">
        <v>941</v>
      </c>
      <c r="AC31" s="42">
        <v>2.84</v>
      </c>
      <c r="AD31" s="42">
        <v>5.45</v>
      </c>
      <c r="AE31" s="42">
        <v>5.14</v>
      </c>
      <c r="AF31" s="42">
        <v>6.06</v>
      </c>
      <c r="AG31" s="42">
        <v>0</v>
      </c>
      <c r="AH31" s="42">
        <v>0.57999999999999996</v>
      </c>
      <c r="AI31" s="42">
        <v>0.43</v>
      </c>
      <c r="AJ31" s="46">
        <v>2.06</v>
      </c>
      <c r="AL31" s="61" t="s">
        <v>942</v>
      </c>
      <c r="AM31" s="42">
        <v>3.88</v>
      </c>
      <c r="AN31" s="42">
        <v>4.26</v>
      </c>
      <c r="AO31" s="42">
        <v>4.16</v>
      </c>
      <c r="AP31" s="42">
        <v>4.3</v>
      </c>
      <c r="AQ31" s="42">
        <v>3.62</v>
      </c>
      <c r="AR31" s="42">
        <v>3.08</v>
      </c>
      <c r="AS31" s="42">
        <v>1.62</v>
      </c>
      <c r="AT31" s="46">
        <v>1.22</v>
      </c>
      <c r="AV31" s="61" t="s">
        <v>942</v>
      </c>
      <c r="AW31" s="42">
        <v>4.16</v>
      </c>
      <c r="AX31" s="42">
        <v>6.08</v>
      </c>
      <c r="AY31" s="42">
        <v>3.78</v>
      </c>
      <c r="AZ31" s="42">
        <v>5.15</v>
      </c>
      <c r="BA31" s="42">
        <v>5.46</v>
      </c>
      <c r="BB31" s="42">
        <v>1.83</v>
      </c>
      <c r="BC31" s="42">
        <v>0.06</v>
      </c>
      <c r="BD31" s="46">
        <v>3.1</v>
      </c>
      <c r="BP31" s="53" t="s">
        <v>544</v>
      </c>
      <c r="BQ31" s="14">
        <f>(BQ30/BQ23)*100</f>
        <v>435.1278600269186</v>
      </c>
      <c r="BR31" s="14">
        <f t="shared" ref="BR31:BX31" si="31">(BR30/BR23)*100</f>
        <v>51.966292134831463</v>
      </c>
      <c r="BS31" s="14">
        <f t="shared" si="31"/>
        <v>1321.0526315789507</v>
      </c>
      <c r="BT31" s="14">
        <f t="shared" si="31"/>
        <v>282.55093002657281</v>
      </c>
      <c r="BU31" s="14">
        <f t="shared" si="31"/>
        <v>154.58098132870214</v>
      </c>
      <c r="BV31" s="14">
        <f t="shared" si="31"/>
        <v>93.121693121693127</v>
      </c>
      <c r="BW31" s="14">
        <f t="shared" si="31"/>
        <v>332.84258210645544</v>
      </c>
      <c r="BX31" s="15">
        <f t="shared" si="31"/>
        <v>151.32336018411999</v>
      </c>
      <c r="CJ31" s="44" t="s">
        <v>940</v>
      </c>
      <c r="CK31" s="42">
        <v>0.85</v>
      </c>
      <c r="CL31" s="42">
        <v>0.45</v>
      </c>
      <c r="CM31" s="42">
        <v>0.15</v>
      </c>
      <c r="CN31" s="42">
        <v>1.17</v>
      </c>
      <c r="CO31" s="42">
        <v>2.21</v>
      </c>
      <c r="CP31" s="42">
        <v>0.33</v>
      </c>
      <c r="CQ31" s="42">
        <v>0.39</v>
      </c>
      <c r="CR31" s="46">
        <v>2.21</v>
      </c>
    </row>
    <row r="32" spans="2:96" ht="15.75" thickBot="1">
      <c r="B32" s="68" t="s">
        <v>940</v>
      </c>
      <c r="C32" s="69">
        <v>3</v>
      </c>
      <c r="D32" s="69">
        <f t="shared" si="0"/>
        <v>3</v>
      </c>
      <c r="E32" s="70">
        <f t="shared" si="1"/>
        <v>3</v>
      </c>
      <c r="F32" s="69">
        <v>4.4000000000000004</v>
      </c>
      <c r="G32" s="69">
        <f t="shared" si="2"/>
        <v>4.4000000000000004</v>
      </c>
      <c r="H32" s="70">
        <f t="shared" si="3"/>
        <v>4.4000000000000004</v>
      </c>
      <c r="I32" s="69">
        <v>5.3</v>
      </c>
      <c r="J32" s="69">
        <f t="shared" si="4"/>
        <v>5.3</v>
      </c>
      <c r="K32" s="70">
        <f t="shared" si="5"/>
        <v>5.3</v>
      </c>
      <c r="L32" s="69">
        <v>0.99</v>
      </c>
      <c r="M32" s="69">
        <f t="shared" si="6"/>
        <v>0.99</v>
      </c>
      <c r="N32" s="70" t="str">
        <f t="shared" si="7"/>
        <v/>
      </c>
      <c r="O32" s="69">
        <v>1.66</v>
      </c>
      <c r="P32" s="69">
        <f t="shared" si="8"/>
        <v>1.66</v>
      </c>
      <c r="Q32" s="70" t="str">
        <f t="shared" si="9"/>
        <v/>
      </c>
      <c r="R32" s="69">
        <v>4.8899999999999997</v>
      </c>
      <c r="S32" s="69">
        <f t="shared" si="10"/>
        <v>4.8899999999999997</v>
      </c>
      <c r="T32" s="70">
        <f t="shared" si="11"/>
        <v>4.8899999999999997</v>
      </c>
      <c r="U32" s="69">
        <v>1.75</v>
      </c>
      <c r="V32" s="69">
        <f t="shared" si="12"/>
        <v>1.75</v>
      </c>
      <c r="W32" s="70">
        <f t="shared" si="13"/>
        <v>1.75</v>
      </c>
      <c r="X32" s="69">
        <v>2.23</v>
      </c>
      <c r="Y32" s="69">
        <f t="shared" si="14"/>
        <v>2.23</v>
      </c>
      <c r="Z32" s="71">
        <f t="shared" si="15"/>
        <v>2.23</v>
      </c>
      <c r="AB32" s="61" t="s">
        <v>941</v>
      </c>
      <c r="AC32" s="42">
        <v>2.78</v>
      </c>
      <c r="AD32" s="42">
        <v>5.52</v>
      </c>
      <c r="AE32" s="42">
        <v>5.14</v>
      </c>
      <c r="AF32" s="42">
        <v>6.06</v>
      </c>
      <c r="AG32" s="42">
        <v>0</v>
      </c>
      <c r="AH32" s="42">
        <v>3.74</v>
      </c>
      <c r="AI32" s="42">
        <v>3.05</v>
      </c>
      <c r="AJ32" s="46">
        <v>3.46</v>
      </c>
      <c r="AL32" s="61" t="s">
        <v>942</v>
      </c>
      <c r="AM32" s="42">
        <v>3.91</v>
      </c>
      <c r="AN32" s="42">
        <v>4.28</v>
      </c>
      <c r="AO32" s="42">
        <v>4.16</v>
      </c>
      <c r="AP32" s="42">
        <v>4.32</v>
      </c>
      <c r="AQ32" s="42">
        <v>0.18</v>
      </c>
      <c r="AR32" s="42">
        <v>3.14</v>
      </c>
      <c r="AS32" s="42">
        <v>1.67</v>
      </c>
      <c r="AT32" s="46">
        <v>1.22</v>
      </c>
      <c r="AV32" s="61" t="s">
        <v>942</v>
      </c>
      <c r="AW32" s="42">
        <v>4.18</v>
      </c>
      <c r="AX32" s="42">
        <v>6.06</v>
      </c>
      <c r="AY32" s="42">
        <v>3.77</v>
      </c>
      <c r="AZ32" s="42">
        <v>5.61</v>
      </c>
      <c r="BA32" s="42">
        <v>5.45</v>
      </c>
      <c r="BB32" s="42">
        <v>1.84</v>
      </c>
      <c r="BC32" s="42">
        <v>3.75</v>
      </c>
      <c r="BD32" s="46">
        <v>0</v>
      </c>
      <c r="CJ32" s="44" t="s">
        <v>940</v>
      </c>
      <c r="CK32" s="42">
        <v>0.85</v>
      </c>
      <c r="CL32" s="42">
        <v>0.45</v>
      </c>
      <c r="CM32" s="42">
        <v>0.15</v>
      </c>
      <c r="CN32" s="42">
        <v>1.17</v>
      </c>
      <c r="CO32" s="42">
        <v>2.21</v>
      </c>
      <c r="CP32" s="42">
        <v>0.73</v>
      </c>
      <c r="CQ32" s="42">
        <v>0.28000000000000003</v>
      </c>
      <c r="CR32" s="46">
        <v>2.59</v>
      </c>
    </row>
    <row r="33" spans="2:96" ht="30">
      <c r="B33" s="68" t="s">
        <v>940</v>
      </c>
      <c r="C33" s="69">
        <v>2.97</v>
      </c>
      <c r="D33" s="69">
        <f t="shared" si="0"/>
        <v>2.97</v>
      </c>
      <c r="E33" s="70">
        <f t="shared" si="1"/>
        <v>2.97</v>
      </c>
      <c r="F33" s="69">
        <v>4.43</v>
      </c>
      <c r="G33" s="69">
        <f t="shared" si="2"/>
        <v>4.43</v>
      </c>
      <c r="H33" s="70">
        <f t="shared" si="3"/>
        <v>4.43</v>
      </c>
      <c r="I33" s="69">
        <v>5.26</v>
      </c>
      <c r="J33" s="69">
        <f t="shared" si="4"/>
        <v>5.26</v>
      </c>
      <c r="K33" s="70">
        <f t="shared" si="5"/>
        <v>5.26</v>
      </c>
      <c r="L33" s="69">
        <v>5.0999999999999996</v>
      </c>
      <c r="M33" s="69">
        <f t="shared" si="6"/>
        <v>5.0999999999999996</v>
      </c>
      <c r="N33" s="70">
        <f t="shared" si="7"/>
        <v>5.0999999999999996</v>
      </c>
      <c r="O33" s="69">
        <v>4.32</v>
      </c>
      <c r="P33" s="69">
        <f t="shared" si="8"/>
        <v>4.32</v>
      </c>
      <c r="Q33" s="70">
        <f t="shared" si="9"/>
        <v>4.32</v>
      </c>
      <c r="R33" s="69">
        <v>0.18</v>
      </c>
      <c r="S33" s="69">
        <f t="shared" si="10"/>
        <v>0.18</v>
      </c>
      <c r="T33" s="70" t="str">
        <f t="shared" si="11"/>
        <v/>
      </c>
      <c r="U33" s="69">
        <v>1.73</v>
      </c>
      <c r="V33" s="69">
        <f t="shared" si="12"/>
        <v>1.73</v>
      </c>
      <c r="W33" s="70">
        <f t="shared" si="13"/>
        <v>1.73</v>
      </c>
      <c r="X33" s="69">
        <v>2.27</v>
      </c>
      <c r="Y33" s="69">
        <f t="shared" si="14"/>
        <v>2.27</v>
      </c>
      <c r="Z33" s="71">
        <f t="shared" si="15"/>
        <v>2.27</v>
      </c>
      <c r="AB33" s="61" t="s">
        <v>941</v>
      </c>
      <c r="AC33" s="42">
        <v>2.8</v>
      </c>
      <c r="AD33" s="42">
        <v>5.45</v>
      </c>
      <c r="AE33" s="42">
        <v>5.24</v>
      </c>
      <c r="AF33" s="42">
        <v>6.06</v>
      </c>
      <c r="AG33" s="42">
        <v>0</v>
      </c>
      <c r="AH33" s="42">
        <v>3.72</v>
      </c>
      <c r="AI33" s="42">
        <v>3.06</v>
      </c>
      <c r="AJ33" s="46">
        <v>3.47</v>
      </c>
      <c r="AL33" s="61" t="s">
        <v>942</v>
      </c>
      <c r="AM33" s="42">
        <v>3.91</v>
      </c>
      <c r="AN33" s="42">
        <v>4.29</v>
      </c>
      <c r="AO33" s="42">
        <v>4.1399999999999997</v>
      </c>
      <c r="AP33" s="42">
        <v>4.32</v>
      </c>
      <c r="AQ33" s="42">
        <v>3.6</v>
      </c>
      <c r="AR33" s="42">
        <v>3.15</v>
      </c>
      <c r="AS33" s="42">
        <v>1.62</v>
      </c>
      <c r="AT33" s="46">
        <v>1.21</v>
      </c>
      <c r="AV33" s="61" t="s">
        <v>942</v>
      </c>
      <c r="AW33" s="42">
        <v>4.1500000000000004</v>
      </c>
      <c r="AX33" s="42">
        <v>6.09</v>
      </c>
      <c r="AY33" s="42">
        <v>3.77</v>
      </c>
      <c r="AZ33" s="42">
        <v>5.1100000000000003</v>
      </c>
      <c r="BA33" s="42">
        <v>5.43</v>
      </c>
      <c r="BB33" s="42">
        <v>1.85</v>
      </c>
      <c r="BC33" s="42">
        <v>3.74</v>
      </c>
      <c r="BD33" s="46">
        <v>0</v>
      </c>
      <c r="BP33" s="82" t="s">
        <v>568</v>
      </c>
      <c r="BQ33" s="7">
        <v>2.88</v>
      </c>
      <c r="BR33" s="8">
        <v>5.38</v>
      </c>
      <c r="BS33" s="8">
        <v>5.0999999999999996</v>
      </c>
      <c r="BT33" s="8">
        <v>6.21</v>
      </c>
      <c r="BU33" s="8">
        <v>5.33</v>
      </c>
      <c r="BV33" s="8">
        <v>3.71</v>
      </c>
      <c r="BW33" s="8">
        <v>2.87</v>
      </c>
      <c r="BX33" s="9">
        <v>3.05</v>
      </c>
      <c r="CJ33" s="44" t="s">
        <v>940</v>
      </c>
      <c r="CK33" s="42">
        <v>0</v>
      </c>
      <c r="CL33" s="42">
        <v>0.45</v>
      </c>
      <c r="CM33" s="42">
        <v>0.13</v>
      </c>
      <c r="CN33" s="42">
        <v>0</v>
      </c>
      <c r="CO33" s="42">
        <v>1.89</v>
      </c>
      <c r="CP33" s="42">
        <v>0.33</v>
      </c>
      <c r="CQ33" s="42">
        <v>0.33</v>
      </c>
      <c r="CR33" s="46">
        <v>3.04</v>
      </c>
    </row>
    <row r="34" spans="2:96">
      <c r="B34" s="68" t="s">
        <v>942</v>
      </c>
      <c r="C34" s="69">
        <v>2.96</v>
      </c>
      <c r="D34" s="69">
        <f t="shared" si="0"/>
        <v>2.96</v>
      </c>
      <c r="E34" s="70">
        <f t="shared" si="1"/>
        <v>2.96</v>
      </c>
      <c r="F34" s="69">
        <v>0</v>
      </c>
      <c r="G34" s="69" t="str">
        <f t="shared" si="2"/>
        <v/>
      </c>
      <c r="H34" s="70" t="str">
        <f t="shared" si="3"/>
        <v/>
      </c>
      <c r="I34" s="69">
        <v>5.31</v>
      </c>
      <c r="J34" s="69">
        <f t="shared" si="4"/>
        <v>5.31</v>
      </c>
      <c r="K34" s="70">
        <f t="shared" si="5"/>
        <v>5.31</v>
      </c>
      <c r="L34" s="69">
        <v>5.65</v>
      </c>
      <c r="M34" s="69">
        <f t="shared" si="6"/>
        <v>5.65</v>
      </c>
      <c r="N34" s="70">
        <f t="shared" si="7"/>
        <v>5.65</v>
      </c>
      <c r="O34" s="69">
        <v>4.3</v>
      </c>
      <c r="P34" s="69">
        <f t="shared" si="8"/>
        <v>4.3</v>
      </c>
      <c r="Q34" s="70">
        <f t="shared" si="9"/>
        <v>4.3</v>
      </c>
      <c r="R34" s="69">
        <v>4.82</v>
      </c>
      <c r="S34" s="69">
        <f t="shared" si="10"/>
        <v>4.82</v>
      </c>
      <c r="T34" s="70">
        <f t="shared" si="11"/>
        <v>4.82</v>
      </c>
      <c r="U34" s="69">
        <v>1.74</v>
      </c>
      <c r="V34" s="69">
        <f t="shared" si="12"/>
        <v>1.74</v>
      </c>
      <c r="W34" s="70">
        <f t="shared" si="13"/>
        <v>1.74</v>
      </c>
      <c r="X34" s="69">
        <v>3.24</v>
      </c>
      <c r="Y34" s="69">
        <f t="shared" si="14"/>
        <v>3.24</v>
      </c>
      <c r="Z34" s="71" t="str">
        <f t="shared" si="15"/>
        <v/>
      </c>
      <c r="AB34" s="61" t="s">
        <v>943</v>
      </c>
      <c r="AC34" s="42">
        <v>2.84</v>
      </c>
      <c r="AD34" s="42">
        <v>5.51</v>
      </c>
      <c r="AE34" s="42">
        <v>5.18</v>
      </c>
      <c r="AF34" s="42">
        <v>6.05</v>
      </c>
      <c r="AG34" s="42">
        <v>0</v>
      </c>
      <c r="AH34" s="42">
        <v>3.72</v>
      </c>
      <c r="AI34" s="42">
        <v>3.09</v>
      </c>
      <c r="AJ34" s="46">
        <v>4.1100000000000003</v>
      </c>
      <c r="AL34" s="61" t="s">
        <v>939</v>
      </c>
      <c r="AM34" s="42">
        <v>3.9</v>
      </c>
      <c r="AN34" s="42">
        <v>4.2699999999999996</v>
      </c>
      <c r="AO34" s="42">
        <v>4.1900000000000004</v>
      </c>
      <c r="AP34" s="42">
        <v>4.29</v>
      </c>
      <c r="AQ34" s="42">
        <v>3.63</v>
      </c>
      <c r="AR34" s="42">
        <v>3.15</v>
      </c>
      <c r="AS34" s="42">
        <v>1.63</v>
      </c>
      <c r="AT34" s="46">
        <v>1.22</v>
      </c>
      <c r="AV34" s="61" t="s">
        <v>939</v>
      </c>
      <c r="AW34" s="42">
        <v>4.12</v>
      </c>
      <c r="AX34" s="42">
        <v>6.09</v>
      </c>
      <c r="AY34" s="42">
        <v>3.78</v>
      </c>
      <c r="AZ34" s="42">
        <v>5.13</v>
      </c>
      <c r="BA34" s="42">
        <v>5.45</v>
      </c>
      <c r="BB34" s="42">
        <v>1.85</v>
      </c>
      <c r="BC34" s="42">
        <v>3.77</v>
      </c>
      <c r="BD34" s="46">
        <v>0</v>
      </c>
      <c r="BP34" s="52" t="s">
        <v>539</v>
      </c>
      <c r="BQ34" s="10">
        <f>BQ33-BQ23</f>
        <v>2.3492857142857151</v>
      </c>
      <c r="BR34" s="11">
        <f t="shared" ref="BR34" si="32">BR33-BR23</f>
        <v>1.8199999999999998</v>
      </c>
      <c r="BS34" s="11">
        <f t="shared" ref="BS34" si="33">BS33-BS23</f>
        <v>4.7411111111111115</v>
      </c>
      <c r="BT34" s="11">
        <f t="shared" ref="BT34" si="34">BT33-BT23</f>
        <v>4.5971428571428596</v>
      </c>
      <c r="BU34" s="11">
        <f t="shared" ref="BU34" si="35">BU33-BU23</f>
        <v>3.2363636363636399</v>
      </c>
      <c r="BV34" s="11">
        <f t="shared" ref="BV34" si="36">BV33-BV23</f>
        <v>1.82</v>
      </c>
      <c r="BW34" s="11">
        <f t="shared" ref="BW34" si="37">BW33-BW23</f>
        <v>2.1907692307692312</v>
      </c>
      <c r="BX34" s="12">
        <f t="shared" ref="BX34" si="38">BX33-BX23</f>
        <v>1.8085714285714298</v>
      </c>
      <c r="CJ34" s="44" t="s">
        <v>942</v>
      </c>
      <c r="CK34" s="42">
        <v>0.85</v>
      </c>
      <c r="CL34" s="42">
        <v>1.17</v>
      </c>
      <c r="CM34" s="42">
        <v>0.11</v>
      </c>
      <c r="CN34" s="42">
        <v>2.21</v>
      </c>
      <c r="CO34" s="42">
        <v>0.85</v>
      </c>
      <c r="CP34" s="42">
        <v>0.39</v>
      </c>
      <c r="CQ34" s="42">
        <v>0.28000000000000003</v>
      </c>
      <c r="CR34" s="46">
        <v>3.04</v>
      </c>
    </row>
    <row r="35" spans="2:96" ht="15.75" thickBot="1">
      <c r="B35" s="68" t="s">
        <v>942</v>
      </c>
      <c r="C35" s="69">
        <v>3</v>
      </c>
      <c r="D35" s="69">
        <f t="shared" si="0"/>
        <v>3</v>
      </c>
      <c r="E35" s="70">
        <f t="shared" si="1"/>
        <v>3</v>
      </c>
      <c r="F35" s="69">
        <v>4.4000000000000004</v>
      </c>
      <c r="G35" s="69">
        <f t="shared" si="2"/>
        <v>4.4000000000000004</v>
      </c>
      <c r="H35" s="70">
        <f t="shared" si="3"/>
        <v>4.4000000000000004</v>
      </c>
      <c r="I35" s="69">
        <v>5.3</v>
      </c>
      <c r="J35" s="69">
        <f t="shared" si="4"/>
        <v>5.3</v>
      </c>
      <c r="K35" s="70">
        <f t="shared" si="5"/>
        <v>5.3</v>
      </c>
      <c r="L35" s="69">
        <v>5.63</v>
      </c>
      <c r="M35" s="69">
        <f t="shared" si="6"/>
        <v>5.63</v>
      </c>
      <c r="N35" s="70">
        <f t="shared" si="7"/>
        <v>5.63</v>
      </c>
      <c r="O35" s="69">
        <v>4.32</v>
      </c>
      <c r="P35" s="69">
        <f t="shared" si="8"/>
        <v>4.32</v>
      </c>
      <c r="Q35" s="70">
        <f t="shared" si="9"/>
        <v>4.32</v>
      </c>
      <c r="R35" s="69">
        <v>4.8899999999999997</v>
      </c>
      <c r="S35" s="69">
        <f t="shared" si="10"/>
        <v>4.8899999999999997</v>
      </c>
      <c r="T35" s="70">
        <f t="shared" si="11"/>
        <v>4.8899999999999997</v>
      </c>
      <c r="U35" s="69">
        <v>1.74</v>
      </c>
      <c r="V35" s="69">
        <f t="shared" si="12"/>
        <v>1.74</v>
      </c>
      <c r="W35" s="70">
        <f t="shared" si="13"/>
        <v>1.74</v>
      </c>
      <c r="X35" s="69">
        <v>2.31</v>
      </c>
      <c r="Y35" s="69">
        <f t="shared" si="14"/>
        <v>2.31</v>
      </c>
      <c r="Z35" s="71">
        <f t="shared" si="15"/>
        <v>2.31</v>
      </c>
      <c r="AB35" s="61" t="s">
        <v>943</v>
      </c>
      <c r="AC35" s="42">
        <v>2.86</v>
      </c>
      <c r="AD35" s="42">
        <v>5.53</v>
      </c>
      <c r="AE35" s="42">
        <v>5.16</v>
      </c>
      <c r="AF35" s="42">
        <v>4.09</v>
      </c>
      <c r="AG35" s="42">
        <v>0</v>
      </c>
      <c r="AH35" s="42">
        <v>0.76</v>
      </c>
      <c r="AI35" s="42">
        <v>3.05</v>
      </c>
      <c r="AJ35" s="46">
        <v>3.45</v>
      </c>
      <c r="AL35" s="61" t="s">
        <v>939</v>
      </c>
      <c r="AM35" s="42">
        <v>3.91</v>
      </c>
      <c r="AN35" s="42">
        <v>4.26</v>
      </c>
      <c r="AO35" s="42">
        <v>4.1500000000000004</v>
      </c>
      <c r="AP35" s="42">
        <v>4.2699999999999996</v>
      </c>
      <c r="AQ35" s="42">
        <v>3.68</v>
      </c>
      <c r="AR35" s="42">
        <v>3.13</v>
      </c>
      <c r="AS35" s="42">
        <v>1.63</v>
      </c>
      <c r="AT35" s="46">
        <v>1.26</v>
      </c>
      <c r="AV35" s="61" t="s">
        <v>939</v>
      </c>
      <c r="AW35" s="42">
        <v>0.6</v>
      </c>
      <c r="AX35" s="42">
        <v>6.07</v>
      </c>
      <c r="AY35" s="42">
        <v>0.98</v>
      </c>
      <c r="AZ35" s="42">
        <v>5.15</v>
      </c>
      <c r="BA35" s="42">
        <v>5.44</v>
      </c>
      <c r="BB35" s="42">
        <v>1.84</v>
      </c>
      <c r="BC35" s="42">
        <v>3.77</v>
      </c>
      <c r="BD35" s="46">
        <v>3.26</v>
      </c>
      <c r="BP35" s="53" t="s">
        <v>544</v>
      </c>
      <c r="BQ35" s="13">
        <f>(BQ34/BQ23)*100</f>
        <v>442.66487213997385</v>
      </c>
      <c r="BR35" s="14">
        <f t="shared" ref="BR35" si="39">(BR34/BR23)*100</f>
        <v>51.123595505617971</v>
      </c>
      <c r="BS35" s="14">
        <f t="shared" ref="BS35" si="40">(BS34/BS23)*100</f>
        <v>1321.0526315789507</v>
      </c>
      <c r="BT35" s="14">
        <f t="shared" ref="BT35" si="41">(BT34/BT23)*100</f>
        <v>285.03100088574024</v>
      </c>
      <c r="BU35" s="14">
        <f t="shared" ref="BU35" si="42">(BU34/BU23)*100</f>
        <v>154.58098132870214</v>
      </c>
      <c r="BV35" s="14">
        <f t="shared" ref="BV35" si="43">(BV34/BV23)*100</f>
        <v>96.296296296296305</v>
      </c>
      <c r="BW35" s="14">
        <f t="shared" ref="BW35" si="44">(BW34/BW23)*100</f>
        <v>322.53680634201606</v>
      </c>
      <c r="BX35" s="15">
        <f t="shared" ref="BX35" si="45">(BX34/BX23)*100</f>
        <v>145.68469505178393</v>
      </c>
      <c r="CJ35" s="44" t="s">
        <v>942</v>
      </c>
      <c r="CK35" s="42">
        <v>0</v>
      </c>
      <c r="CL35" s="42">
        <v>7.88</v>
      </c>
      <c r="CM35" s="42">
        <v>0.13</v>
      </c>
      <c r="CN35" s="42">
        <v>9.24</v>
      </c>
      <c r="CO35" s="42">
        <v>1.89</v>
      </c>
      <c r="CP35" s="42">
        <v>0.33</v>
      </c>
      <c r="CQ35" s="42">
        <v>0.33</v>
      </c>
      <c r="CR35" s="46">
        <v>3.56</v>
      </c>
    </row>
    <row r="36" spans="2:96">
      <c r="B36" s="68" t="s">
        <v>942</v>
      </c>
      <c r="C36" s="69">
        <v>3.03</v>
      </c>
      <c r="D36" s="69">
        <f t="shared" ref="D36:D53" si="46">IF(AND(C36 &lt; 99.99, C36 &gt; 0), C36, "")</f>
        <v>3.03</v>
      </c>
      <c r="E36" s="70">
        <f t="shared" ref="E36:E53" si="47">IF(AND(D36 &lt;= D$56, D36 &gt;= D$57), D36, "")</f>
        <v>3.03</v>
      </c>
      <c r="F36" s="69">
        <v>4.42</v>
      </c>
      <c r="G36" s="69">
        <f t="shared" ref="G36:G53" si="48">IF(AND(F36 &lt; 99.99, F36 &gt; 0), F36, "")</f>
        <v>4.42</v>
      </c>
      <c r="H36" s="70">
        <f t="shared" ref="H36:H53" si="49">IF(AND(G36 &lt;= G$56, G36 &gt;= G$57), G36, "")</f>
        <v>4.42</v>
      </c>
      <c r="I36" s="69">
        <v>5.29</v>
      </c>
      <c r="J36" s="69">
        <f t="shared" ref="J36:J53" si="50">IF(AND(I36 &lt; 99.99, I36 &gt; 0), I36, "")</f>
        <v>5.29</v>
      </c>
      <c r="K36" s="70">
        <f t="shared" ref="K36:K53" si="51">IF(AND(J36 &lt;= J$56, J36 &gt;= J$57), J36, "")</f>
        <v>5.29</v>
      </c>
      <c r="L36" s="69">
        <v>99.99</v>
      </c>
      <c r="M36" s="69" t="str">
        <f t="shared" ref="M36:M53" si="52">IF(AND(L36 &lt; 99.99, L36 &gt; 0), L36, "")</f>
        <v/>
      </c>
      <c r="N36" s="70" t="str">
        <f t="shared" ref="N36:N53" si="53">IF(AND(M36 &lt;= M$56, M36 &gt;= M$57), M36, "")</f>
        <v/>
      </c>
      <c r="O36" s="69">
        <v>4.33</v>
      </c>
      <c r="P36" s="69">
        <f t="shared" ref="P36:P53" si="54">IF(AND(O36 &lt; 99.99, O36 &gt; 0), O36, "")</f>
        <v>4.33</v>
      </c>
      <c r="Q36" s="70">
        <f t="shared" ref="Q36:Q53" si="55">IF(AND(P36 &lt;= P$56, P36 &gt;= P$57), P36, "")</f>
        <v>4.33</v>
      </c>
      <c r="R36" s="69">
        <v>4.71</v>
      </c>
      <c r="S36" s="69">
        <f t="shared" ref="S36:S53" si="56">IF(AND(R36 &lt; 99.99, R36 &gt; 0), R36, "")</f>
        <v>4.71</v>
      </c>
      <c r="T36" s="70">
        <f t="shared" ref="T36:T53" si="57">IF(AND(S36 &lt;= S$56, S36 &gt;= S$57), S36, "")</f>
        <v>4.71</v>
      </c>
      <c r="U36" s="69">
        <v>1.74</v>
      </c>
      <c r="V36" s="69">
        <f t="shared" ref="V36:V53" si="58">IF(AND(U36 &lt; 99.99, U36 &gt; 0), U36, "")</f>
        <v>1.74</v>
      </c>
      <c r="W36" s="70">
        <f t="shared" ref="W36:W53" si="59">IF(AND(V36 &lt;= V$56, V36 &gt;= V$57), V36, "")</f>
        <v>1.74</v>
      </c>
      <c r="X36" s="69">
        <v>2.2400000000000002</v>
      </c>
      <c r="Y36" s="69">
        <f t="shared" ref="Y36:Y53" si="60">IF(AND(X36 &lt; 99.99, X36 &gt; 0), X36, "")</f>
        <v>2.2400000000000002</v>
      </c>
      <c r="Z36" s="71">
        <f t="shared" ref="Z36:Z53" si="61">IF(AND(Y36 &lt;= Y$56, Y36 &gt;= Y$57), Y36, "")</f>
        <v>2.2400000000000002</v>
      </c>
      <c r="AB36" s="61" t="s">
        <v>943</v>
      </c>
      <c r="AC36" s="42">
        <v>2.84</v>
      </c>
      <c r="AD36" s="42">
        <v>5.48</v>
      </c>
      <c r="AE36" s="42">
        <v>5.19</v>
      </c>
      <c r="AF36" s="42">
        <v>6.01</v>
      </c>
      <c r="AG36" s="42">
        <v>5.13</v>
      </c>
      <c r="AH36" s="42">
        <v>3.72</v>
      </c>
      <c r="AI36" s="42">
        <v>3.02</v>
      </c>
      <c r="AJ36" s="46">
        <v>2.57</v>
      </c>
      <c r="AL36" s="61" t="s">
        <v>939</v>
      </c>
      <c r="AM36" s="42">
        <v>3.93</v>
      </c>
      <c r="AN36" s="42">
        <v>4.25</v>
      </c>
      <c r="AO36" s="42">
        <v>4.16</v>
      </c>
      <c r="AP36" s="42">
        <v>4.3499999999999996</v>
      </c>
      <c r="AQ36" s="42">
        <v>3.62</v>
      </c>
      <c r="AR36" s="42">
        <v>3.11</v>
      </c>
      <c r="AS36" s="42">
        <v>1.62</v>
      </c>
      <c r="AT36" s="46">
        <v>1.23</v>
      </c>
      <c r="AV36" s="61" t="s">
        <v>939</v>
      </c>
      <c r="AW36" s="42">
        <v>4.16</v>
      </c>
      <c r="AX36" s="42">
        <v>6.08</v>
      </c>
      <c r="AY36" s="42">
        <v>3.78</v>
      </c>
      <c r="AZ36" s="42">
        <v>5.45</v>
      </c>
      <c r="BA36" s="42">
        <v>5</v>
      </c>
      <c r="BB36" s="42">
        <v>1.83</v>
      </c>
      <c r="BC36" s="42">
        <v>3.78</v>
      </c>
      <c r="BD36" s="46">
        <v>3.11</v>
      </c>
      <c r="CJ36" s="44" t="s">
        <v>942</v>
      </c>
      <c r="CK36" s="42">
        <v>0.73</v>
      </c>
      <c r="CL36" s="42">
        <v>0.45</v>
      </c>
      <c r="CM36" s="42">
        <v>0.15</v>
      </c>
      <c r="CN36" s="42">
        <v>1.17</v>
      </c>
      <c r="CO36" s="42">
        <v>0</v>
      </c>
      <c r="CP36" s="42">
        <v>0.28000000000000003</v>
      </c>
      <c r="CQ36" s="42">
        <v>0.24</v>
      </c>
      <c r="CR36" s="46">
        <v>1.89</v>
      </c>
    </row>
    <row r="37" spans="2:96">
      <c r="B37" s="68" t="s">
        <v>942</v>
      </c>
      <c r="C37" s="69">
        <v>3.04</v>
      </c>
      <c r="D37" s="69">
        <f t="shared" si="46"/>
        <v>3.04</v>
      </c>
      <c r="E37" s="70">
        <f t="shared" si="47"/>
        <v>3.04</v>
      </c>
      <c r="F37" s="69">
        <v>4.41</v>
      </c>
      <c r="G37" s="69">
        <f t="shared" si="48"/>
        <v>4.41</v>
      </c>
      <c r="H37" s="70">
        <f t="shared" si="49"/>
        <v>4.41</v>
      </c>
      <c r="I37" s="69">
        <v>5.25</v>
      </c>
      <c r="J37" s="69">
        <f t="shared" si="50"/>
        <v>5.25</v>
      </c>
      <c r="K37" s="70">
        <f t="shared" si="51"/>
        <v>5.25</v>
      </c>
      <c r="L37" s="69">
        <v>5.64</v>
      </c>
      <c r="M37" s="69">
        <f t="shared" si="52"/>
        <v>5.64</v>
      </c>
      <c r="N37" s="70">
        <f t="shared" si="53"/>
        <v>5.64</v>
      </c>
      <c r="O37" s="69">
        <v>4.33</v>
      </c>
      <c r="P37" s="69">
        <f t="shared" si="54"/>
        <v>4.33</v>
      </c>
      <c r="Q37" s="70">
        <f t="shared" si="55"/>
        <v>4.33</v>
      </c>
      <c r="R37" s="69">
        <v>3.77</v>
      </c>
      <c r="S37" s="69">
        <f t="shared" si="56"/>
        <v>3.77</v>
      </c>
      <c r="T37" s="70">
        <f t="shared" si="57"/>
        <v>3.77</v>
      </c>
      <c r="U37" s="69">
        <v>1.75</v>
      </c>
      <c r="V37" s="69">
        <f t="shared" si="58"/>
        <v>1.75</v>
      </c>
      <c r="W37" s="70">
        <f t="shared" si="59"/>
        <v>1.75</v>
      </c>
      <c r="X37" s="69">
        <v>2.23</v>
      </c>
      <c r="Y37" s="69">
        <f t="shared" si="60"/>
        <v>2.23</v>
      </c>
      <c r="Z37" s="71">
        <f t="shared" si="61"/>
        <v>2.23</v>
      </c>
      <c r="AB37" s="61" t="s">
        <v>943</v>
      </c>
      <c r="AC37" s="42">
        <v>2.09</v>
      </c>
      <c r="AD37" s="42">
        <v>5.48</v>
      </c>
      <c r="AE37" s="42">
        <v>5.2</v>
      </c>
      <c r="AF37" s="42">
        <v>6.06</v>
      </c>
      <c r="AG37" s="42">
        <v>0</v>
      </c>
      <c r="AH37" s="42">
        <v>3.73</v>
      </c>
      <c r="AI37" s="42">
        <v>3.04</v>
      </c>
      <c r="AJ37" s="46">
        <v>3.39</v>
      </c>
      <c r="AL37" s="61" t="s">
        <v>939</v>
      </c>
      <c r="AM37" s="42">
        <v>3.94</v>
      </c>
      <c r="AN37" s="42">
        <v>4.28</v>
      </c>
      <c r="AO37" s="42">
        <v>4.16</v>
      </c>
      <c r="AP37" s="42">
        <v>4.3</v>
      </c>
      <c r="AQ37" s="42">
        <v>3.56</v>
      </c>
      <c r="AR37" s="42">
        <v>3.12</v>
      </c>
      <c r="AS37" s="42">
        <v>1.6</v>
      </c>
      <c r="AT37" s="46">
        <v>1.24</v>
      </c>
      <c r="AV37" s="61" t="s">
        <v>939</v>
      </c>
      <c r="AW37" s="42">
        <v>4.1399999999999997</v>
      </c>
      <c r="AX37" s="42">
        <v>6.08</v>
      </c>
      <c r="AY37" s="42">
        <v>3.77</v>
      </c>
      <c r="AZ37" s="42">
        <v>5.13</v>
      </c>
      <c r="BA37" s="42">
        <v>5.46</v>
      </c>
      <c r="BB37" s="42">
        <v>1.85</v>
      </c>
      <c r="BC37" s="42">
        <v>3.77</v>
      </c>
      <c r="BD37" s="46">
        <v>4.01</v>
      </c>
      <c r="CJ37" s="44" t="s">
        <v>942</v>
      </c>
      <c r="CK37" s="42">
        <v>0</v>
      </c>
      <c r="CL37" s="42">
        <v>0.45</v>
      </c>
      <c r="CM37" s="42">
        <v>0.15</v>
      </c>
      <c r="CN37" s="42">
        <v>0</v>
      </c>
      <c r="CO37" s="42">
        <v>1.89</v>
      </c>
      <c r="CP37" s="42">
        <v>0.73</v>
      </c>
      <c r="CQ37" s="42">
        <v>0.28000000000000003</v>
      </c>
      <c r="CR37" s="46">
        <v>2.21</v>
      </c>
    </row>
    <row r="38" spans="2:96">
      <c r="B38" s="68" t="s">
        <v>942</v>
      </c>
      <c r="C38" s="69">
        <v>2.99</v>
      </c>
      <c r="D38" s="69">
        <f t="shared" si="46"/>
        <v>2.99</v>
      </c>
      <c r="E38" s="70">
        <f t="shared" si="47"/>
        <v>2.99</v>
      </c>
      <c r="F38" s="69">
        <v>4.43</v>
      </c>
      <c r="G38" s="69">
        <f t="shared" si="48"/>
        <v>4.43</v>
      </c>
      <c r="H38" s="70">
        <f t="shared" si="49"/>
        <v>4.43</v>
      </c>
      <c r="I38" s="69">
        <v>5.31</v>
      </c>
      <c r="J38" s="69">
        <f t="shared" si="50"/>
        <v>5.31</v>
      </c>
      <c r="K38" s="70">
        <f t="shared" si="51"/>
        <v>5.31</v>
      </c>
      <c r="L38" s="69">
        <v>5.65</v>
      </c>
      <c r="M38" s="69">
        <f t="shared" si="52"/>
        <v>5.65</v>
      </c>
      <c r="N38" s="70">
        <f t="shared" si="53"/>
        <v>5.65</v>
      </c>
      <c r="O38" s="69">
        <v>4.34</v>
      </c>
      <c r="P38" s="69">
        <f t="shared" si="54"/>
        <v>4.34</v>
      </c>
      <c r="Q38" s="70">
        <f t="shared" si="55"/>
        <v>4.34</v>
      </c>
      <c r="R38" s="69">
        <v>4.8099999999999996</v>
      </c>
      <c r="S38" s="69">
        <f t="shared" si="56"/>
        <v>4.8099999999999996</v>
      </c>
      <c r="T38" s="70">
        <f t="shared" si="57"/>
        <v>4.8099999999999996</v>
      </c>
      <c r="U38" s="69">
        <v>1.75</v>
      </c>
      <c r="V38" s="69">
        <f t="shared" si="58"/>
        <v>1.75</v>
      </c>
      <c r="W38" s="70">
        <f t="shared" si="59"/>
        <v>1.75</v>
      </c>
      <c r="X38" s="69">
        <v>2.2400000000000002</v>
      </c>
      <c r="Y38" s="69">
        <f t="shared" si="60"/>
        <v>2.2400000000000002</v>
      </c>
      <c r="Z38" s="71">
        <f t="shared" si="61"/>
        <v>2.2400000000000002</v>
      </c>
      <c r="AB38" s="61" t="s">
        <v>943</v>
      </c>
      <c r="AC38" s="42">
        <v>2.84</v>
      </c>
      <c r="AD38" s="42">
        <v>5.48</v>
      </c>
      <c r="AE38" s="42">
        <v>5.2</v>
      </c>
      <c r="AF38" s="42">
        <v>6.14</v>
      </c>
      <c r="AG38" s="42">
        <v>0</v>
      </c>
      <c r="AH38" s="42">
        <v>3.73</v>
      </c>
      <c r="AI38" s="42">
        <v>1.75</v>
      </c>
      <c r="AJ38" s="46">
        <v>0</v>
      </c>
      <c r="AL38" s="61" t="s">
        <v>939</v>
      </c>
      <c r="AM38" s="42">
        <v>0.9</v>
      </c>
      <c r="AN38" s="42">
        <v>4.3099999999999996</v>
      </c>
      <c r="AO38" s="42">
        <v>4.13</v>
      </c>
      <c r="AP38" s="42">
        <v>4.3</v>
      </c>
      <c r="AQ38" s="42">
        <v>3.61</v>
      </c>
      <c r="AR38" s="42">
        <v>3.13</v>
      </c>
      <c r="AS38" s="42">
        <v>1.61</v>
      </c>
      <c r="AT38" s="46">
        <v>1.2</v>
      </c>
      <c r="AV38" s="61" t="s">
        <v>939</v>
      </c>
      <c r="AW38" s="42">
        <v>4.1500000000000004</v>
      </c>
      <c r="AX38" s="42">
        <v>6.05</v>
      </c>
      <c r="AY38" s="42">
        <v>3.78</v>
      </c>
      <c r="AZ38" s="42">
        <v>5.15</v>
      </c>
      <c r="BA38" s="42">
        <v>5.44</v>
      </c>
      <c r="BB38" s="42">
        <v>0.87</v>
      </c>
      <c r="BC38" s="42">
        <v>1.68</v>
      </c>
      <c r="BD38" s="46">
        <v>3.14</v>
      </c>
      <c r="CJ38" s="44" t="s">
        <v>942</v>
      </c>
      <c r="CK38" s="42">
        <v>0.85</v>
      </c>
      <c r="CL38" s="42">
        <v>0.45</v>
      </c>
      <c r="CM38" s="42">
        <v>0.15</v>
      </c>
      <c r="CN38" s="42">
        <v>1.17</v>
      </c>
      <c r="CO38" s="42">
        <v>1.89</v>
      </c>
      <c r="CP38" s="42">
        <v>0.73</v>
      </c>
      <c r="CQ38" s="42">
        <v>0.24</v>
      </c>
      <c r="CR38" s="46">
        <v>3.56</v>
      </c>
    </row>
    <row r="39" spans="2:96">
      <c r="B39" s="68" t="s">
        <v>943</v>
      </c>
      <c r="C39" s="69">
        <v>3.01</v>
      </c>
      <c r="D39" s="69">
        <f t="shared" si="46"/>
        <v>3.01</v>
      </c>
      <c r="E39" s="70">
        <f t="shared" si="47"/>
        <v>3.01</v>
      </c>
      <c r="F39" s="69">
        <v>4.3899999999999997</v>
      </c>
      <c r="G39" s="69">
        <f t="shared" si="48"/>
        <v>4.3899999999999997</v>
      </c>
      <c r="H39" s="70">
        <f t="shared" si="49"/>
        <v>4.3899999999999997</v>
      </c>
      <c r="I39" s="69">
        <v>5.28</v>
      </c>
      <c r="J39" s="69">
        <f t="shared" si="50"/>
        <v>5.28</v>
      </c>
      <c r="K39" s="70">
        <f t="shared" si="51"/>
        <v>5.28</v>
      </c>
      <c r="L39" s="69">
        <v>5.61</v>
      </c>
      <c r="M39" s="69">
        <f t="shared" si="52"/>
        <v>5.61</v>
      </c>
      <c r="N39" s="70">
        <f t="shared" si="53"/>
        <v>5.61</v>
      </c>
      <c r="O39" s="69">
        <v>4.3499999999999996</v>
      </c>
      <c r="P39" s="69">
        <f t="shared" si="54"/>
        <v>4.3499999999999996</v>
      </c>
      <c r="Q39" s="70">
        <f t="shared" si="55"/>
        <v>4.3499999999999996</v>
      </c>
      <c r="R39" s="69">
        <v>4.84</v>
      </c>
      <c r="S39" s="69">
        <f t="shared" si="56"/>
        <v>4.84</v>
      </c>
      <c r="T39" s="70">
        <f t="shared" si="57"/>
        <v>4.84</v>
      </c>
      <c r="U39" s="69">
        <v>1.79</v>
      </c>
      <c r="V39" s="69">
        <f t="shared" si="58"/>
        <v>1.79</v>
      </c>
      <c r="W39" s="70">
        <f t="shared" si="59"/>
        <v>1.79</v>
      </c>
      <c r="X39" s="69">
        <v>2.29</v>
      </c>
      <c r="Y39" s="69">
        <f t="shared" si="60"/>
        <v>2.29</v>
      </c>
      <c r="Z39" s="71">
        <f t="shared" si="61"/>
        <v>2.29</v>
      </c>
      <c r="AB39" s="61" t="s">
        <v>944</v>
      </c>
      <c r="AC39" s="42">
        <v>2.85</v>
      </c>
      <c r="AD39" s="42">
        <v>5.49</v>
      </c>
      <c r="AE39" s="42">
        <v>5.19</v>
      </c>
      <c r="AF39" s="42">
        <v>6.06</v>
      </c>
      <c r="AG39" s="42">
        <v>0</v>
      </c>
      <c r="AH39" s="42">
        <v>0.62</v>
      </c>
      <c r="AI39" s="42">
        <v>3.02</v>
      </c>
      <c r="AJ39" s="46">
        <v>3.44</v>
      </c>
      <c r="AL39" s="61" t="s">
        <v>941</v>
      </c>
      <c r="AM39" s="42">
        <v>3.89</v>
      </c>
      <c r="AN39" s="42">
        <v>4.29</v>
      </c>
      <c r="AO39" s="42">
        <v>4.17</v>
      </c>
      <c r="AP39" s="42">
        <v>0.9</v>
      </c>
      <c r="AQ39" s="42">
        <v>3.63</v>
      </c>
      <c r="AR39" s="42">
        <v>3.14</v>
      </c>
      <c r="AS39" s="42">
        <v>1.62</v>
      </c>
      <c r="AT39" s="46">
        <v>1.28</v>
      </c>
      <c r="AV39" s="61" t="s">
        <v>941</v>
      </c>
      <c r="AW39" s="42">
        <v>4.1500000000000004</v>
      </c>
      <c r="AX39" s="42">
        <v>6.11</v>
      </c>
      <c r="AY39" s="42">
        <v>3.77</v>
      </c>
      <c r="AZ39" s="42">
        <v>5.21</v>
      </c>
      <c r="BA39" s="42">
        <v>5.45</v>
      </c>
      <c r="BB39" s="42">
        <v>1.84</v>
      </c>
      <c r="BC39" s="42">
        <v>3.76</v>
      </c>
      <c r="BD39" s="46">
        <v>3.26</v>
      </c>
      <c r="CJ39" s="44" t="s">
        <v>939</v>
      </c>
      <c r="CK39" s="42">
        <v>0.73</v>
      </c>
      <c r="CL39" s="42">
        <v>0.45</v>
      </c>
      <c r="CM39" s="42">
        <v>0.15</v>
      </c>
      <c r="CN39" s="42">
        <v>1.17</v>
      </c>
      <c r="CO39" s="42">
        <v>0.85</v>
      </c>
      <c r="CP39" s="42">
        <v>0.73</v>
      </c>
      <c r="CQ39" s="42">
        <v>0.24</v>
      </c>
      <c r="CR39" s="46">
        <v>1.89</v>
      </c>
    </row>
    <row r="40" spans="2:96">
      <c r="B40" s="68" t="s">
        <v>943</v>
      </c>
      <c r="C40" s="69">
        <v>3.03</v>
      </c>
      <c r="D40" s="69">
        <f t="shared" si="46"/>
        <v>3.03</v>
      </c>
      <c r="E40" s="70">
        <f t="shared" si="47"/>
        <v>3.03</v>
      </c>
      <c r="F40" s="69">
        <v>4.4000000000000004</v>
      </c>
      <c r="G40" s="69">
        <f t="shared" si="48"/>
        <v>4.4000000000000004</v>
      </c>
      <c r="H40" s="70">
        <f t="shared" si="49"/>
        <v>4.4000000000000004</v>
      </c>
      <c r="I40" s="69">
        <v>5.3</v>
      </c>
      <c r="J40" s="69">
        <f t="shared" si="50"/>
        <v>5.3</v>
      </c>
      <c r="K40" s="70">
        <f t="shared" si="51"/>
        <v>5.3</v>
      </c>
      <c r="L40" s="69">
        <v>3.93</v>
      </c>
      <c r="M40" s="69">
        <f t="shared" si="52"/>
        <v>3.93</v>
      </c>
      <c r="N40" s="70">
        <f t="shared" si="53"/>
        <v>3.93</v>
      </c>
      <c r="O40" s="69">
        <v>4.34</v>
      </c>
      <c r="P40" s="69">
        <f t="shared" si="54"/>
        <v>4.34</v>
      </c>
      <c r="Q40" s="70">
        <f t="shared" si="55"/>
        <v>4.34</v>
      </c>
      <c r="R40" s="69">
        <v>4.8</v>
      </c>
      <c r="S40" s="69">
        <f t="shared" si="56"/>
        <v>4.8</v>
      </c>
      <c r="T40" s="70">
        <f t="shared" si="57"/>
        <v>4.8</v>
      </c>
      <c r="U40" s="69">
        <v>1.76</v>
      </c>
      <c r="V40" s="69">
        <f t="shared" si="58"/>
        <v>1.76</v>
      </c>
      <c r="W40" s="70">
        <f t="shared" si="59"/>
        <v>1.76</v>
      </c>
      <c r="X40" s="69">
        <v>2.23</v>
      </c>
      <c r="Y40" s="69">
        <f t="shared" si="60"/>
        <v>2.23</v>
      </c>
      <c r="Z40" s="71">
        <f t="shared" si="61"/>
        <v>2.23</v>
      </c>
      <c r="AB40" s="61" t="s">
        <v>944</v>
      </c>
      <c r="AC40" s="42">
        <v>2.85</v>
      </c>
      <c r="AD40" s="42">
        <v>5.4</v>
      </c>
      <c r="AE40" s="42">
        <v>5.17</v>
      </c>
      <c r="AF40" s="42">
        <v>0.24</v>
      </c>
      <c r="AG40" s="42">
        <v>0</v>
      </c>
      <c r="AH40" s="42">
        <v>3.73</v>
      </c>
      <c r="AI40" s="42">
        <v>3.05</v>
      </c>
      <c r="AJ40" s="46">
        <v>3.46</v>
      </c>
      <c r="AL40" s="61" t="s">
        <v>941</v>
      </c>
      <c r="AM40" s="42">
        <v>3.95</v>
      </c>
      <c r="AN40" s="42">
        <v>4.29</v>
      </c>
      <c r="AO40" s="42">
        <v>4.2</v>
      </c>
      <c r="AP40" s="42">
        <v>4.2699999999999996</v>
      </c>
      <c r="AQ40" s="42">
        <v>3.6</v>
      </c>
      <c r="AR40" s="42">
        <v>3.12</v>
      </c>
      <c r="AS40" s="42">
        <v>1.62</v>
      </c>
      <c r="AT40" s="46">
        <v>1.39</v>
      </c>
      <c r="AV40" s="61" t="s">
        <v>941</v>
      </c>
      <c r="AW40" s="42">
        <v>4.1399999999999997</v>
      </c>
      <c r="AX40" s="42">
        <v>6.11</v>
      </c>
      <c r="AY40" s="42">
        <v>3.83</v>
      </c>
      <c r="AZ40" s="42">
        <v>5.12</v>
      </c>
      <c r="BA40" s="42">
        <v>5.45</v>
      </c>
      <c r="BB40" s="42">
        <v>0.97</v>
      </c>
      <c r="BC40" s="42">
        <v>3.76</v>
      </c>
      <c r="BD40" s="46">
        <v>3.14</v>
      </c>
      <c r="CJ40" s="44" t="s">
        <v>939</v>
      </c>
      <c r="CK40" s="42">
        <v>0.73</v>
      </c>
      <c r="CL40" s="42">
        <v>0.45</v>
      </c>
      <c r="CM40" s="42">
        <v>0.17</v>
      </c>
      <c r="CN40" s="42">
        <v>0</v>
      </c>
      <c r="CO40" s="42">
        <v>1.89</v>
      </c>
      <c r="CP40" s="42">
        <v>0.53</v>
      </c>
      <c r="CQ40" s="42">
        <v>0.28000000000000003</v>
      </c>
      <c r="CR40" s="46">
        <v>2.21</v>
      </c>
    </row>
    <row r="41" spans="2:96">
      <c r="B41" s="68" t="s">
        <v>943</v>
      </c>
      <c r="C41" s="69">
        <v>1.9</v>
      </c>
      <c r="D41" s="69">
        <f t="shared" si="46"/>
        <v>1.9</v>
      </c>
      <c r="E41" s="70" t="str">
        <f t="shared" si="47"/>
        <v/>
      </c>
      <c r="F41" s="69">
        <v>1.08</v>
      </c>
      <c r="G41" s="69">
        <f t="shared" si="48"/>
        <v>1.08</v>
      </c>
      <c r="H41" s="70" t="str">
        <f t="shared" si="49"/>
        <v/>
      </c>
      <c r="I41" s="69">
        <v>5.32</v>
      </c>
      <c r="J41" s="69">
        <f t="shared" si="50"/>
        <v>5.32</v>
      </c>
      <c r="K41" s="70">
        <f t="shared" si="51"/>
        <v>5.32</v>
      </c>
      <c r="L41" s="69">
        <v>5.64</v>
      </c>
      <c r="M41" s="69">
        <f t="shared" si="52"/>
        <v>5.64</v>
      </c>
      <c r="N41" s="70">
        <f t="shared" si="53"/>
        <v>5.64</v>
      </c>
      <c r="O41" s="69">
        <v>2.8</v>
      </c>
      <c r="P41" s="69">
        <f t="shared" si="54"/>
        <v>2.8</v>
      </c>
      <c r="Q41" s="70" t="str">
        <f t="shared" si="55"/>
        <v/>
      </c>
      <c r="R41" s="69">
        <v>2.04</v>
      </c>
      <c r="S41" s="69">
        <f t="shared" si="56"/>
        <v>2.04</v>
      </c>
      <c r="T41" s="70" t="str">
        <f t="shared" si="57"/>
        <v/>
      </c>
      <c r="U41" s="69">
        <v>1.77</v>
      </c>
      <c r="V41" s="69">
        <f t="shared" si="58"/>
        <v>1.77</v>
      </c>
      <c r="W41" s="70">
        <f t="shared" si="59"/>
        <v>1.77</v>
      </c>
      <c r="X41" s="69">
        <v>2.23</v>
      </c>
      <c r="Y41" s="69">
        <f t="shared" si="60"/>
        <v>2.23</v>
      </c>
      <c r="Z41" s="71">
        <f t="shared" si="61"/>
        <v>2.23</v>
      </c>
      <c r="AB41" s="61" t="s">
        <v>944</v>
      </c>
      <c r="AC41" s="42">
        <v>2.83</v>
      </c>
      <c r="AD41" s="42">
        <v>5.51</v>
      </c>
      <c r="AE41" s="42">
        <v>5.13</v>
      </c>
      <c r="AF41" s="42">
        <v>5.12</v>
      </c>
      <c r="AG41" s="42">
        <v>0</v>
      </c>
      <c r="AH41" s="42">
        <v>1.07</v>
      </c>
      <c r="AI41" s="42">
        <v>3.05</v>
      </c>
      <c r="AJ41" s="46">
        <v>3.45</v>
      </c>
      <c r="AL41" s="61" t="s">
        <v>941</v>
      </c>
      <c r="AM41" s="42">
        <v>3.96</v>
      </c>
      <c r="AN41" s="42">
        <v>4.29</v>
      </c>
      <c r="AO41" s="42">
        <v>4.16</v>
      </c>
      <c r="AP41" s="42">
        <v>4.26</v>
      </c>
      <c r="AQ41" s="42">
        <v>3.58</v>
      </c>
      <c r="AR41" s="42">
        <v>3.12</v>
      </c>
      <c r="AS41" s="42">
        <v>1.64</v>
      </c>
      <c r="AT41" s="46">
        <v>1.23</v>
      </c>
      <c r="AV41" s="61" t="s">
        <v>941</v>
      </c>
      <c r="AW41" s="42">
        <v>4.1399999999999997</v>
      </c>
      <c r="AX41" s="42">
        <v>6.06</v>
      </c>
      <c r="AY41" s="42">
        <v>3.22</v>
      </c>
      <c r="AZ41" s="42">
        <v>5.13</v>
      </c>
      <c r="BA41" s="42">
        <v>5.48</v>
      </c>
      <c r="BB41" s="42">
        <v>1.85</v>
      </c>
      <c r="BC41" s="42">
        <v>3.76</v>
      </c>
      <c r="BD41" s="46">
        <v>3.12</v>
      </c>
      <c r="CJ41" s="44" t="s">
        <v>939</v>
      </c>
      <c r="CK41" s="42">
        <v>0.73</v>
      </c>
      <c r="CL41" s="42">
        <v>0.53</v>
      </c>
      <c r="CM41" s="42">
        <v>0.15</v>
      </c>
      <c r="CN41" s="42">
        <v>1.17</v>
      </c>
      <c r="CO41" s="42">
        <v>2.21</v>
      </c>
      <c r="CP41" s="42">
        <v>0.73</v>
      </c>
      <c r="CQ41" s="42">
        <v>0.39</v>
      </c>
      <c r="CR41" s="46">
        <v>2.21</v>
      </c>
    </row>
    <row r="42" spans="2:96">
      <c r="B42" s="68" t="s">
        <v>943</v>
      </c>
      <c r="C42" s="69">
        <v>2.99</v>
      </c>
      <c r="D42" s="69">
        <f t="shared" si="46"/>
        <v>2.99</v>
      </c>
      <c r="E42" s="70">
        <f t="shared" si="47"/>
        <v>2.99</v>
      </c>
      <c r="F42" s="69">
        <v>4.41</v>
      </c>
      <c r="G42" s="69">
        <f t="shared" si="48"/>
        <v>4.41</v>
      </c>
      <c r="H42" s="70">
        <f t="shared" si="49"/>
        <v>4.41</v>
      </c>
      <c r="I42" s="69">
        <v>5.32</v>
      </c>
      <c r="J42" s="69">
        <f t="shared" si="50"/>
        <v>5.32</v>
      </c>
      <c r="K42" s="70">
        <f t="shared" si="51"/>
        <v>5.32</v>
      </c>
      <c r="L42" s="69">
        <v>4.6100000000000003</v>
      </c>
      <c r="M42" s="69">
        <f t="shared" si="52"/>
        <v>4.6100000000000003</v>
      </c>
      <c r="N42" s="70">
        <f t="shared" si="53"/>
        <v>4.6100000000000003</v>
      </c>
      <c r="O42" s="69">
        <v>4.37</v>
      </c>
      <c r="P42" s="69">
        <f t="shared" si="54"/>
        <v>4.37</v>
      </c>
      <c r="Q42" s="70">
        <f t="shared" si="55"/>
        <v>4.37</v>
      </c>
      <c r="R42" s="69">
        <v>4.83</v>
      </c>
      <c r="S42" s="69">
        <f t="shared" si="56"/>
        <v>4.83</v>
      </c>
      <c r="T42" s="70">
        <f t="shared" si="57"/>
        <v>4.83</v>
      </c>
      <c r="U42" s="69">
        <v>1.74</v>
      </c>
      <c r="V42" s="69">
        <f t="shared" si="58"/>
        <v>1.74</v>
      </c>
      <c r="W42" s="70">
        <f t="shared" si="59"/>
        <v>1.74</v>
      </c>
      <c r="X42" s="69">
        <v>2.2400000000000002</v>
      </c>
      <c r="Y42" s="69">
        <f t="shared" si="60"/>
        <v>2.2400000000000002</v>
      </c>
      <c r="Z42" s="71">
        <f t="shared" si="61"/>
        <v>2.2400000000000002</v>
      </c>
      <c r="AB42" s="61" t="s">
        <v>944</v>
      </c>
      <c r="AC42" s="42">
        <v>2.85</v>
      </c>
      <c r="AD42" s="42">
        <v>5.45</v>
      </c>
      <c r="AE42" s="42">
        <v>5.14</v>
      </c>
      <c r="AF42" s="42">
        <v>6.05</v>
      </c>
      <c r="AG42" s="42">
        <v>0</v>
      </c>
      <c r="AH42" s="42">
        <v>3.73</v>
      </c>
      <c r="AI42" s="42">
        <v>2.93</v>
      </c>
      <c r="AJ42" s="46">
        <v>2.81</v>
      </c>
      <c r="AL42" s="61" t="s">
        <v>941</v>
      </c>
      <c r="AM42" s="42">
        <v>3.93</v>
      </c>
      <c r="AN42" s="42">
        <v>4.2699999999999996</v>
      </c>
      <c r="AO42" s="42">
        <v>4.13</v>
      </c>
      <c r="AP42" s="42">
        <v>4.32</v>
      </c>
      <c r="AQ42" s="42">
        <v>3.64</v>
      </c>
      <c r="AR42" s="42">
        <v>3.13</v>
      </c>
      <c r="AS42" s="42">
        <v>1.59</v>
      </c>
      <c r="AT42" s="46">
        <v>1.26</v>
      </c>
      <c r="AV42" s="61" t="s">
        <v>941</v>
      </c>
      <c r="AW42" s="42">
        <v>4.16</v>
      </c>
      <c r="AX42" s="42">
        <v>6.2</v>
      </c>
      <c r="AY42" s="42">
        <v>3.79</v>
      </c>
      <c r="AZ42" s="42">
        <v>5.18</v>
      </c>
      <c r="BA42" s="42">
        <v>5.48</v>
      </c>
      <c r="BB42" s="42">
        <v>1.85</v>
      </c>
      <c r="BC42" s="42">
        <v>3.77</v>
      </c>
      <c r="BD42" s="46">
        <v>3.11</v>
      </c>
      <c r="CJ42" s="44" t="s">
        <v>939</v>
      </c>
      <c r="CK42" s="42">
        <v>0.85</v>
      </c>
      <c r="CL42" s="42">
        <v>0.53</v>
      </c>
      <c r="CM42" s="42">
        <v>0.15</v>
      </c>
      <c r="CN42" s="42">
        <v>1.17</v>
      </c>
      <c r="CO42" s="42">
        <v>2.21</v>
      </c>
      <c r="CP42" s="42">
        <v>0.73</v>
      </c>
      <c r="CQ42" s="42">
        <v>0.28000000000000003</v>
      </c>
      <c r="CR42" s="46">
        <v>1.89</v>
      </c>
    </row>
    <row r="43" spans="2:96">
      <c r="B43" s="68" t="s">
        <v>943</v>
      </c>
      <c r="C43" s="69">
        <v>2.99</v>
      </c>
      <c r="D43" s="69">
        <f t="shared" si="46"/>
        <v>2.99</v>
      </c>
      <c r="E43" s="70">
        <f t="shared" si="47"/>
        <v>2.99</v>
      </c>
      <c r="F43" s="69">
        <v>4.3600000000000003</v>
      </c>
      <c r="G43" s="69">
        <f t="shared" si="48"/>
        <v>4.3600000000000003</v>
      </c>
      <c r="H43" s="70">
        <f t="shared" si="49"/>
        <v>4.3600000000000003</v>
      </c>
      <c r="I43" s="69">
        <v>5.3</v>
      </c>
      <c r="J43" s="69">
        <f t="shared" si="50"/>
        <v>5.3</v>
      </c>
      <c r="K43" s="70">
        <f t="shared" si="51"/>
        <v>5.3</v>
      </c>
      <c r="L43" s="69">
        <v>5.64</v>
      </c>
      <c r="M43" s="69">
        <f t="shared" si="52"/>
        <v>5.64</v>
      </c>
      <c r="N43" s="70">
        <f t="shared" si="53"/>
        <v>5.64</v>
      </c>
      <c r="O43" s="69">
        <v>4.34</v>
      </c>
      <c r="P43" s="69">
        <f t="shared" si="54"/>
        <v>4.34</v>
      </c>
      <c r="Q43" s="70">
        <f t="shared" si="55"/>
        <v>4.34</v>
      </c>
      <c r="R43" s="69">
        <v>4.8600000000000003</v>
      </c>
      <c r="S43" s="69">
        <f t="shared" si="56"/>
        <v>4.8600000000000003</v>
      </c>
      <c r="T43" s="70">
        <f t="shared" si="57"/>
        <v>4.8600000000000003</v>
      </c>
      <c r="U43" s="69">
        <v>1.76</v>
      </c>
      <c r="V43" s="69">
        <f t="shared" si="58"/>
        <v>1.76</v>
      </c>
      <c r="W43" s="70">
        <f t="shared" si="59"/>
        <v>1.76</v>
      </c>
      <c r="X43" s="69">
        <v>2.2599999999999998</v>
      </c>
      <c r="Y43" s="69">
        <f t="shared" si="60"/>
        <v>2.2599999999999998</v>
      </c>
      <c r="Z43" s="71">
        <f t="shared" si="61"/>
        <v>2.2599999999999998</v>
      </c>
      <c r="AB43" s="61" t="s">
        <v>944</v>
      </c>
      <c r="AC43" s="42">
        <v>2.85</v>
      </c>
      <c r="AD43" s="42">
        <v>5.43</v>
      </c>
      <c r="AE43" s="42">
        <v>5.16</v>
      </c>
      <c r="AF43" s="42">
        <v>6.01</v>
      </c>
      <c r="AG43" s="42">
        <v>0</v>
      </c>
      <c r="AH43" s="42">
        <v>3.72</v>
      </c>
      <c r="AI43" s="42">
        <v>3.06</v>
      </c>
      <c r="AJ43" s="46">
        <v>2.4300000000000002</v>
      </c>
      <c r="AL43" s="61" t="s">
        <v>941</v>
      </c>
      <c r="AM43" s="42">
        <v>3.93</v>
      </c>
      <c r="AN43" s="42">
        <v>4.25</v>
      </c>
      <c r="AO43" s="42">
        <v>4.1399999999999997</v>
      </c>
      <c r="AP43" s="42">
        <v>4.29</v>
      </c>
      <c r="AQ43" s="42">
        <v>3.58</v>
      </c>
      <c r="AR43" s="42">
        <v>3.1</v>
      </c>
      <c r="AS43" s="42">
        <v>1.69</v>
      </c>
      <c r="AT43" s="46">
        <v>1.2</v>
      </c>
      <c r="AV43" s="61" t="s">
        <v>941</v>
      </c>
      <c r="AW43" s="42">
        <v>4.17</v>
      </c>
      <c r="AX43" s="42">
        <v>6.08</v>
      </c>
      <c r="AY43" s="42">
        <v>3.75</v>
      </c>
      <c r="AZ43" s="42">
        <v>5.19</v>
      </c>
      <c r="BA43" s="42">
        <v>4.78</v>
      </c>
      <c r="BB43" s="42">
        <v>1.83</v>
      </c>
      <c r="BC43" s="42">
        <v>3.78</v>
      </c>
      <c r="BD43" s="46">
        <v>3.11</v>
      </c>
      <c r="CJ43" s="44" t="s">
        <v>939</v>
      </c>
      <c r="CK43" s="42">
        <v>0.85</v>
      </c>
      <c r="CL43" s="42">
        <v>0.45</v>
      </c>
      <c r="CM43" s="42">
        <v>0.15</v>
      </c>
      <c r="CN43" s="42">
        <v>1.17</v>
      </c>
      <c r="CO43" s="42">
        <v>1.89</v>
      </c>
      <c r="CP43" s="42">
        <v>0.73</v>
      </c>
      <c r="CQ43" s="42">
        <v>0.33</v>
      </c>
      <c r="CR43" s="46">
        <v>1.89</v>
      </c>
    </row>
    <row r="44" spans="2:96">
      <c r="B44" s="68" t="s">
        <v>944</v>
      </c>
      <c r="C44" s="69">
        <v>2.09</v>
      </c>
      <c r="D44" s="69">
        <f t="shared" si="46"/>
        <v>2.09</v>
      </c>
      <c r="E44" s="70" t="str">
        <f t="shared" si="47"/>
        <v/>
      </c>
      <c r="F44" s="69">
        <v>4.3899999999999997</v>
      </c>
      <c r="G44" s="69">
        <f t="shared" si="48"/>
        <v>4.3899999999999997</v>
      </c>
      <c r="H44" s="70">
        <f t="shared" si="49"/>
        <v>4.3899999999999997</v>
      </c>
      <c r="I44" s="69">
        <v>5.29</v>
      </c>
      <c r="J44" s="69">
        <f t="shared" si="50"/>
        <v>5.29</v>
      </c>
      <c r="K44" s="70">
        <f t="shared" si="51"/>
        <v>5.29</v>
      </c>
      <c r="L44" s="69">
        <v>5.66</v>
      </c>
      <c r="M44" s="69">
        <f t="shared" si="52"/>
        <v>5.66</v>
      </c>
      <c r="N44" s="70">
        <f t="shared" si="53"/>
        <v>5.66</v>
      </c>
      <c r="O44" s="69">
        <v>4.3099999999999996</v>
      </c>
      <c r="P44" s="69">
        <f t="shared" si="54"/>
        <v>4.3099999999999996</v>
      </c>
      <c r="Q44" s="70">
        <f t="shared" si="55"/>
        <v>4.3099999999999996</v>
      </c>
      <c r="R44" s="69">
        <v>4.87</v>
      </c>
      <c r="S44" s="69">
        <f t="shared" si="56"/>
        <v>4.87</v>
      </c>
      <c r="T44" s="70">
        <f t="shared" si="57"/>
        <v>4.87</v>
      </c>
      <c r="U44" s="69">
        <v>1.74</v>
      </c>
      <c r="V44" s="69">
        <f t="shared" si="58"/>
        <v>1.74</v>
      </c>
      <c r="W44" s="70">
        <f t="shared" si="59"/>
        <v>1.74</v>
      </c>
      <c r="X44" s="69">
        <v>2.23</v>
      </c>
      <c r="Y44" s="69">
        <f t="shared" si="60"/>
        <v>2.23</v>
      </c>
      <c r="Z44" s="71">
        <f t="shared" si="61"/>
        <v>2.23</v>
      </c>
      <c r="AB44" s="61" t="s">
        <v>935</v>
      </c>
      <c r="AC44" s="42">
        <v>2.84</v>
      </c>
      <c r="AD44" s="42">
        <v>5.44</v>
      </c>
      <c r="AE44" s="42">
        <v>5.2</v>
      </c>
      <c r="AF44" s="42">
        <v>6.05</v>
      </c>
      <c r="AG44" s="42">
        <v>0</v>
      </c>
      <c r="AH44" s="42">
        <v>3.74</v>
      </c>
      <c r="AI44" s="42">
        <v>3.06</v>
      </c>
      <c r="AJ44" s="46">
        <v>3.4</v>
      </c>
      <c r="AL44" s="61" t="s">
        <v>943</v>
      </c>
      <c r="AM44" s="42">
        <v>3.92</v>
      </c>
      <c r="AN44" s="42">
        <v>4.26</v>
      </c>
      <c r="AO44" s="42">
        <v>4.17</v>
      </c>
      <c r="AP44" s="42">
        <v>4.28</v>
      </c>
      <c r="AQ44" s="42">
        <v>3.59</v>
      </c>
      <c r="AR44" s="42">
        <v>3.14</v>
      </c>
      <c r="AS44" s="42">
        <v>1.64</v>
      </c>
      <c r="AT44" s="46">
        <v>1.26</v>
      </c>
      <c r="AV44" s="61" t="s">
        <v>943</v>
      </c>
      <c r="AW44" s="42">
        <v>4.1900000000000004</v>
      </c>
      <c r="AX44" s="42">
        <v>6.07</v>
      </c>
      <c r="AY44" s="42">
        <v>3.75</v>
      </c>
      <c r="AZ44" s="42">
        <v>5.15</v>
      </c>
      <c r="BA44" s="42">
        <v>5.43</v>
      </c>
      <c r="BB44" s="42">
        <v>1.84</v>
      </c>
      <c r="BC44" s="42">
        <v>3.79</v>
      </c>
      <c r="BD44" s="46">
        <v>0</v>
      </c>
      <c r="CJ44" s="44" t="s">
        <v>941</v>
      </c>
      <c r="CK44" s="42">
        <v>0.73</v>
      </c>
      <c r="CL44" s="42">
        <v>0.45</v>
      </c>
      <c r="CM44" s="42">
        <v>0.33</v>
      </c>
      <c r="CN44" s="42">
        <v>0</v>
      </c>
      <c r="CO44" s="42">
        <v>2.21</v>
      </c>
      <c r="CP44" s="42">
        <v>0.62</v>
      </c>
      <c r="CQ44" s="42">
        <v>0.33</v>
      </c>
      <c r="CR44" s="46">
        <v>3.56</v>
      </c>
    </row>
    <row r="45" spans="2:96">
      <c r="B45" s="68" t="s">
        <v>944</v>
      </c>
      <c r="C45" s="69">
        <v>2.95</v>
      </c>
      <c r="D45" s="69">
        <f t="shared" si="46"/>
        <v>2.95</v>
      </c>
      <c r="E45" s="70">
        <f t="shared" si="47"/>
        <v>2.95</v>
      </c>
      <c r="F45" s="69">
        <v>4.37</v>
      </c>
      <c r="G45" s="69">
        <f t="shared" si="48"/>
        <v>4.37</v>
      </c>
      <c r="H45" s="70">
        <f t="shared" si="49"/>
        <v>4.37</v>
      </c>
      <c r="I45" s="69">
        <v>5.31</v>
      </c>
      <c r="J45" s="69">
        <f t="shared" si="50"/>
        <v>5.31</v>
      </c>
      <c r="K45" s="70">
        <f t="shared" si="51"/>
        <v>5.31</v>
      </c>
      <c r="L45" s="69">
        <v>2.8</v>
      </c>
      <c r="M45" s="69">
        <f t="shared" si="52"/>
        <v>2.8</v>
      </c>
      <c r="N45" s="70" t="str">
        <f t="shared" si="53"/>
        <v/>
      </c>
      <c r="O45" s="69">
        <v>4.37</v>
      </c>
      <c r="P45" s="69">
        <f t="shared" si="54"/>
        <v>4.37</v>
      </c>
      <c r="Q45" s="70">
        <f t="shared" si="55"/>
        <v>4.37</v>
      </c>
      <c r="R45" s="69">
        <v>3.08</v>
      </c>
      <c r="S45" s="69">
        <f t="shared" si="56"/>
        <v>3.08</v>
      </c>
      <c r="T45" s="70" t="str">
        <f t="shared" si="57"/>
        <v/>
      </c>
      <c r="U45" s="69">
        <v>1.71</v>
      </c>
      <c r="V45" s="69">
        <f t="shared" si="58"/>
        <v>1.71</v>
      </c>
      <c r="W45" s="70">
        <f t="shared" si="59"/>
        <v>1.71</v>
      </c>
      <c r="X45" s="69">
        <v>2.2599999999999998</v>
      </c>
      <c r="Y45" s="69">
        <f t="shared" si="60"/>
        <v>2.2599999999999998</v>
      </c>
      <c r="Z45" s="71">
        <f t="shared" si="61"/>
        <v>2.2599999999999998</v>
      </c>
      <c r="AB45" s="61" t="s">
        <v>935</v>
      </c>
      <c r="AC45" s="42">
        <v>2.84</v>
      </c>
      <c r="AD45" s="42">
        <v>5.45</v>
      </c>
      <c r="AE45" s="42">
        <v>5.21</v>
      </c>
      <c r="AF45" s="42">
        <v>3.27</v>
      </c>
      <c r="AG45" s="42">
        <v>0</v>
      </c>
      <c r="AH45" s="42">
        <v>3.72</v>
      </c>
      <c r="AI45" s="42">
        <v>3.04</v>
      </c>
      <c r="AJ45" s="46">
        <v>4.12</v>
      </c>
      <c r="AL45" s="61" t="s">
        <v>943</v>
      </c>
      <c r="AM45" s="42">
        <v>3.92</v>
      </c>
      <c r="AN45" s="42">
        <v>4.3</v>
      </c>
      <c r="AO45" s="42">
        <v>4.1399999999999997</v>
      </c>
      <c r="AP45" s="42">
        <v>4.3</v>
      </c>
      <c r="AQ45" s="42">
        <v>3.59</v>
      </c>
      <c r="AR45" s="42">
        <v>3.13</v>
      </c>
      <c r="AS45" s="42">
        <v>1.65</v>
      </c>
      <c r="AT45" s="46">
        <v>1.21</v>
      </c>
      <c r="AV45" s="61" t="s">
        <v>943</v>
      </c>
      <c r="AW45" s="42">
        <v>4.1399999999999997</v>
      </c>
      <c r="AX45" s="42">
        <v>6.1</v>
      </c>
      <c r="AY45" s="42">
        <v>3.74</v>
      </c>
      <c r="AZ45" s="42">
        <v>5.62</v>
      </c>
      <c r="BA45" s="42">
        <v>5.46</v>
      </c>
      <c r="BB45" s="42">
        <v>1.84</v>
      </c>
      <c r="BC45" s="42">
        <v>3.73</v>
      </c>
      <c r="BD45" s="46">
        <v>3.17</v>
      </c>
      <c r="CJ45" s="44" t="s">
        <v>941</v>
      </c>
      <c r="CK45" s="42">
        <v>0</v>
      </c>
      <c r="CL45" s="42">
        <v>1.37</v>
      </c>
      <c r="CM45" s="42">
        <v>0.13</v>
      </c>
      <c r="CN45" s="42">
        <v>2.21</v>
      </c>
      <c r="CO45" s="42">
        <v>0</v>
      </c>
      <c r="CP45" s="42">
        <v>0.33</v>
      </c>
      <c r="CQ45" s="42">
        <v>0.33</v>
      </c>
      <c r="CR45" s="46">
        <v>3.56</v>
      </c>
    </row>
    <row r="46" spans="2:96">
      <c r="B46" s="68" t="s">
        <v>944</v>
      </c>
      <c r="C46" s="69">
        <v>3</v>
      </c>
      <c r="D46" s="69">
        <f t="shared" si="46"/>
        <v>3</v>
      </c>
      <c r="E46" s="70">
        <f t="shared" si="47"/>
        <v>3</v>
      </c>
      <c r="F46" s="69">
        <v>4.41</v>
      </c>
      <c r="G46" s="69">
        <f t="shared" si="48"/>
        <v>4.41</v>
      </c>
      <c r="H46" s="70">
        <f t="shared" si="49"/>
        <v>4.41</v>
      </c>
      <c r="I46" s="69">
        <v>2.4</v>
      </c>
      <c r="J46" s="69">
        <f t="shared" si="50"/>
        <v>2.4</v>
      </c>
      <c r="K46" s="70" t="str">
        <f t="shared" si="51"/>
        <v/>
      </c>
      <c r="L46" s="69">
        <v>0.18</v>
      </c>
      <c r="M46" s="69">
        <f t="shared" si="52"/>
        <v>0.18</v>
      </c>
      <c r="N46" s="70" t="str">
        <f t="shared" si="53"/>
        <v/>
      </c>
      <c r="O46" s="69">
        <v>4.32</v>
      </c>
      <c r="P46" s="69">
        <f t="shared" si="54"/>
        <v>4.32</v>
      </c>
      <c r="Q46" s="70">
        <f t="shared" si="55"/>
        <v>4.32</v>
      </c>
      <c r="R46" s="69">
        <v>4.87</v>
      </c>
      <c r="S46" s="69">
        <f t="shared" si="56"/>
        <v>4.87</v>
      </c>
      <c r="T46" s="70">
        <f t="shared" si="57"/>
        <v>4.87</v>
      </c>
      <c r="U46" s="69">
        <v>1.75</v>
      </c>
      <c r="V46" s="69">
        <f t="shared" si="58"/>
        <v>1.75</v>
      </c>
      <c r="W46" s="70">
        <f t="shared" si="59"/>
        <v>1.75</v>
      </c>
      <c r="X46" s="69">
        <v>2.23</v>
      </c>
      <c r="Y46" s="69">
        <f t="shared" si="60"/>
        <v>2.23</v>
      </c>
      <c r="Z46" s="71">
        <f t="shared" si="61"/>
        <v>2.23</v>
      </c>
      <c r="AB46" s="61" t="s">
        <v>935</v>
      </c>
      <c r="AC46" s="42">
        <v>2.84</v>
      </c>
      <c r="AD46" s="42">
        <v>5.48</v>
      </c>
      <c r="AE46" s="42">
        <v>4.7</v>
      </c>
      <c r="AF46" s="42">
        <v>1.06</v>
      </c>
      <c r="AG46" s="42">
        <v>0</v>
      </c>
      <c r="AH46" s="42">
        <v>3.72</v>
      </c>
      <c r="AI46" s="42">
        <v>1.95</v>
      </c>
      <c r="AJ46" s="46">
        <v>3.45</v>
      </c>
      <c r="AL46" s="61" t="s">
        <v>943</v>
      </c>
      <c r="AM46" s="42">
        <v>1.46</v>
      </c>
      <c r="AN46" s="42">
        <v>4.2699999999999996</v>
      </c>
      <c r="AO46" s="42">
        <v>4.16</v>
      </c>
      <c r="AP46" s="42">
        <v>4.29</v>
      </c>
      <c r="AQ46" s="42">
        <v>3.33</v>
      </c>
      <c r="AR46" s="42">
        <v>3.13</v>
      </c>
      <c r="AS46" s="42">
        <v>1.05</v>
      </c>
      <c r="AT46" s="46">
        <v>1.25</v>
      </c>
      <c r="AV46" s="61" t="s">
        <v>943</v>
      </c>
      <c r="AW46" s="42">
        <v>4.1399999999999997</v>
      </c>
      <c r="AX46" s="42">
        <v>6.09</v>
      </c>
      <c r="AY46" s="42">
        <v>3.76</v>
      </c>
      <c r="AZ46" s="42">
        <v>5.12</v>
      </c>
      <c r="BA46" s="42">
        <v>5.46</v>
      </c>
      <c r="BB46" s="42">
        <v>1.84</v>
      </c>
      <c r="BC46" s="42">
        <v>3.72</v>
      </c>
      <c r="BD46" s="46">
        <v>3.18</v>
      </c>
      <c r="CJ46" s="44" t="s">
        <v>941</v>
      </c>
      <c r="CK46" s="42">
        <v>0</v>
      </c>
      <c r="CL46" s="42">
        <v>6.72</v>
      </c>
      <c r="CM46" s="42">
        <v>0.17</v>
      </c>
      <c r="CN46" s="42">
        <v>2.21</v>
      </c>
      <c r="CO46" s="42">
        <v>0.85</v>
      </c>
      <c r="CP46" s="42">
        <v>0.39</v>
      </c>
      <c r="CQ46" s="42">
        <v>0.39</v>
      </c>
      <c r="CR46" s="46">
        <v>3.56</v>
      </c>
    </row>
    <row r="47" spans="2:96">
      <c r="B47" s="68" t="s">
        <v>944</v>
      </c>
      <c r="C47" s="69">
        <v>3.02</v>
      </c>
      <c r="D47" s="69">
        <f t="shared" si="46"/>
        <v>3.02</v>
      </c>
      <c r="E47" s="70">
        <f t="shared" si="47"/>
        <v>3.02</v>
      </c>
      <c r="F47" s="69">
        <v>4.4000000000000004</v>
      </c>
      <c r="G47" s="69">
        <f t="shared" si="48"/>
        <v>4.4000000000000004</v>
      </c>
      <c r="H47" s="70">
        <f t="shared" si="49"/>
        <v>4.4000000000000004</v>
      </c>
      <c r="I47" s="69">
        <v>5.29</v>
      </c>
      <c r="J47" s="69">
        <f t="shared" si="50"/>
        <v>5.29</v>
      </c>
      <c r="K47" s="70">
        <f t="shared" si="51"/>
        <v>5.29</v>
      </c>
      <c r="L47" s="69">
        <v>5.62</v>
      </c>
      <c r="M47" s="69">
        <f t="shared" si="52"/>
        <v>5.62</v>
      </c>
      <c r="N47" s="70">
        <f t="shared" si="53"/>
        <v>5.62</v>
      </c>
      <c r="O47" s="69">
        <v>4.33</v>
      </c>
      <c r="P47" s="69">
        <f t="shared" si="54"/>
        <v>4.33</v>
      </c>
      <c r="Q47" s="70">
        <f t="shared" si="55"/>
        <v>4.33</v>
      </c>
      <c r="R47" s="69">
        <v>4.82</v>
      </c>
      <c r="S47" s="69">
        <f t="shared" si="56"/>
        <v>4.82</v>
      </c>
      <c r="T47" s="70">
        <f t="shared" si="57"/>
        <v>4.82</v>
      </c>
      <c r="U47" s="69">
        <v>1.72</v>
      </c>
      <c r="V47" s="69">
        <f t="shared" si="58"/>
        <v>1.72</v>
      </c>
      <c r="W47" s="70">
        <f t="shared" si="59"/>
        <v>1.72</v>
      </c>
      <c r="X47" s="69">
        <v>2.29</v>
      </c>
      <c r="Y47" s="69">
        <f t="shared" si="60"/>
        <v>2.29</v>
      </c>
      <c r="Z47" s="71">
        <f t="shared" si="61"/>
        <v>2.29</v>
      </c>
      <c r="AB47" s="61" t="s">
        <v>935</v>
      </c>
      <c r="AC47" s="42">
        <v>2.83</v>
      </c>
      <c r="AD47" s="42">
        <v>5.31</v>
      </c>
      <c r="AE47" s="42">
        <v>5.18</v>
      </c>
      <c r="AF47" s="42">
        <v>4.68</v>
      </c>
      <c r="AG47" s="42">
        <v>0</v>
      </c>
      <c r="AH47" s="42">
        <v>3.74</v>
      </c>
      <c r="AI47" s="42">
        <v>3.08</v>
      </c>
      <c r="AJ47" s="46">
        <v>3.5</v>
      </c>
      <c r="AL47" s="61" t="s">
        <v>943</v>
      </c>
      <c r="AM47" s="42">
        <v>3.9</v>
      </c>
      <c r="AN47" s="42">
        <v>4.26</v>
      </c>
      <c r="AO47" s="42">
        <v>4.13</v>
      </c>
      <c r="AP47" s="42">
        <v>4.28</v>
      </c>
      <c r="AQ47" s="42">
        <v>1.65</v>
      </c>
      <c r="AR47" s="42">
        <v>3.11</v>
      </c>
      <c r="AS47" s="42">
        <v>1.64</v>
      </c>
      <c r="AT47" s="46">
        <v>1.27</v>
      </c>
      <c r="AV47" s="61" t="s">
        <v>943</v>
      </c>
      <c r="AW47" s="42">
        <v>4.18</v>
      </c>
      <c r="AX47" s="42">
        <v>6.03</v>
      </c>
      <c r="AY47" s="42">
        <v>3.76</v>
      </c>
      <c r="AZ47" s="42">
        <v>5.15</v>
      </c>
      <c r="BA47" s="42">
        <v>0</v>
      </c>
      <c r="BB47" s="42">
        <v>1.84</v>
      </c>
      <c r="BC47" s="42">
        <v>3.75</v>
      </c>
      <c r="BD47" s="46">
        <v>0</v>
      </c>
      <c r="CJ47" s="44" t="s">
        <v>941</v>
      </c>
      <c r="CK47" s="42">
        <v>0.85</v>
      </c>
      <c r="CL47" s="42">
        <v>0.45</v>
      </c>
      <c r="CM47" s="42">
        <v>0.15</v>
      </c>
      <c r="CN47" s="42">
        <v>1.17</v>
      </c>
      <c r="CO47" s="42">
        <v>2.21</v>
      </c>
      <c r="CP47" s="42">
        <v>0.73</v>
      </c>
      <c r="CQ47" s="42">
        <v>0.45</v>
      </c>
      <c r="CR47" s="46">
        <v>2.21</v>
      </c>
    </row>
    <row r="48" spans="2:96" ht="15.75" thickBot="1">
      <c r="B48" s="68" t="s">
        <v>944</v>
      </c>
      <c r="C48" s="69">
        <v>3.01</v>
      </c>
      <c r="D48" s="69">
        <f t="shared" si="46"/>
        <v>3.01</v>
      </c>
      <c r="E48" s="70">
        <f t="shared" si="47"/>
        <v>3.01</v>
      </c>
      <c r="F48" s="69">
        <v>4.37</v>
      </c>
      <c r="G48" s="69">
        <f t="shared" si="48"/>
        <v>4.37</v>
      </c>
      <c r="H48" s="70">
        <f t="shared" si="49"/>
        <v>4.37</v>
      </c>
      <c r="I48" s="69">
        <v>5.31</v>
      </c>
      <c r="J48" s="69">
        <f t="shared" si="50"/>
        <v>5.31</v>
      </c>
      <c r="K48" s="70">
        <f t="shared" si="51"/>
        <v>5.31</v>
      </c>
      <c r="L48" s="69">
        <v>5.64</v>
      </c>
      <c r="M48" s="69">
        <f t="shared" si="52"/>
        <v>5.64</v>
      </c>
      <c r="N48" s="70">
        <f t="shared" si="53"/>
        <v>5.64</v>
      </c>
      <c r="O48" s="69">
        <v>4.34</v>
      </c>
      <c r="P48" s="69">
        <f t="shared" si="54"/>
        <v>4.34</v>
      </c>
      <c r="Q48" s="70">
        <f t="shared" si="55"/>
        <v>4.34</v>
      </c>
      <c r="R48" s="69">
        <v>4.83</v>
      </c>
      <c r="S48" s="69">
        <f t="shared" si="56"/>
        <v>4.83</v>
      </c>
      <c r="T48" s="70">
        <f t="shared" si="57"/>
        <v>4.83</v>
      </c>
      <c r="U48" s="69">
        <v>1.76</v>
      </c>
      <c r="V48" s="69">
        <f t="shared" si="58"/>
        <v>1.76</v>
      </c>
      <c r="W48" s="70">
        <f t="shared" si="59"/>
        <v>1.76</v>
      </c>
      <c r="X48" s="69">
        <v>2.2799999999999998</v>
      </c>
      <c r="Y48" s="69">
        <f t="shared" si="60"/>
        <v>2.2799999999999998</v>
      </c>
      <c r="Z48" s="71">
        <f t="shared" si="61"/>
        <v>2.2799999999999998</v>
      </c>
      <c r="AB48" s="56" t="s">
        <v>935</v>
      </c>
      <c r="AC48" s="49">
        <v>2.84</v>
      </c>
      <c r="AD48" s="49">
        <v>0.36</v>
      </c>
      <c r="AE48" s="49">
        <v>2.2000000000000002</v>
      </c>
      <c r="AF48" s="49">
        <v>6.09</v>
      </c>
      <c r="AG48" s="49">
        <v>0</v>
      </c>
      <c r="AH48" s="49">
        <v>3.72</v>
      </c>
      <c r="AI48" s="49">
        <v>3.06</v>
      </c>
      <c r="AJ48" s="50">
        <v>3.44</v>
      </c>
      <c r="AL48" s="61" t="s">
        <v>943</v>
      </c>
      <c r="AM48" s="42">
        <v>3.93</v>
      </c>
      <c r="AN48" s="42">
        <v>4.25</v>
      </c>
      <c r="AO48" s="42">
        <v>4.1500000000000004</v>
      </c>
      <c r="AP48" s="42">
        <v>4.29</v>
      </c>
      <c r="AQ48" s="42">
        <v>3.57</v>
      </c>
      <c r="AR48" s="42">
        <v>3.12</v>
      </c>
      <c r="AS48" s="42">
        <v>1.63</v>
      </c>
      <c r="AT48" s="46">
        <v>1.23</v>
      </c>
      <c r="AV48" s="61" t="s">
        <v>943</v>
      </c>
      <c r="AW48" s="42">
        <v>0.11</v>
      </c>
      <c r="AX48" s="42">
        <v>6.13</v>
      </c>
      <c r="AY48" s="42">
        <v>2.98</v>
      </c>
      <c r="AZ48" s="42">
        <v>4.46</v>
      </c>
      <c r="BA48" s="42">
        <v>5.46</v>
      </c>
      <c r="BB48" s="42">
        <v>1.84</v>
      </c>
      <c r="BC48" s="42">
        <v>2.73</v>
      </c>
      <c r="BD48" s="46">
        <v>3.17</v>
      </c>
      <c r="CJ48" s="44" t="s">
        <v>941</v>
      </c>
      <c r="CK48" s="42">
        <v>0.73</v>
      </c>
      <c r="CL48" s="42">
        <v>1.17</v>
      </c>
      <c r="CM48" s="42">
        <v>0.15</v>
      </c>
      <c r="CN48" s="42">
        <v>1.17</v>
      </c>
      <c r="CO48" s="42">
        <v>2.21</v>
      </c>
      <c r="CP48" s="42">
        <v>0.73</v>
      </c>
      <c r="CQ48" s="42">
        <v>0.33</v>
      </c>
      <c r="CR48" s="46">
        <v>1.89</v>
      </c>
    </row>
    <row r="49" spans="2:96">
      <c r="B49" s="68" t="s">
        <v>935</v>
      </c>
      <c r="C49" s="69">
        <v>3</v>
      </c>
      <c r="D49" s="69">
        <f t="shared" si="46"/>
        <v>3</v>
      </c>
      <c r="E49" s="70">
        <f t="shared" si="47"/>
        <v>3</v>
      </c>
      <c r="F49" s="69">
        <v>4.3899999999999997</v>
      </c>
      <c r="G49" s="69">
        <f t="shared" si="48"/>
        <v>4.3899999999999997</v>
      </c>
      <c r="H49" s="70">
        <f t="shared" si="49"/>
        <v>4.3899999999999997</v>
      </c>
      <c r="I49" s="69">
        <v>5.3</v>
      </c>
      <c r="J49" s="69">
        <f t="shared" si="50"/>
        <v>5.3</v>
      </c>
      <c r="K49" s="70">
        <f t="shared" si="51"/>
        <v>5.3</v>
      </c>
      <c r="L49" s="69">
        <v>5.63</v>
      </c>
      <c r="M49" s="69">
        <f t="shared" si="52"/>
        <v>5.63</v>
      </c>
      <c r="N49" s="70">
        <f t="shared" si="53"/>
        <v>5.63</v>
      </c>
      <c r="O49" s="69">
        <v>4.3099999999999996</v>
      </c>
      <c r="P49" s="69">
        <f t="shared" si="54"/>
        <v>4.3099999999999996</v>
      </c>
      <c r="Q49" s="70">
        <f t="shared" si="55"/>
        <v>4.3099999999999996</v>
      </c>
      <c r="R49" s="69">
        <v>4.8899999999999997</v>
      </c>
      <c r="S49" s="69">
        <f t="shared" si="56"/>
        <v>4.8899999999999997</v>
      </c>
      <c r="T49" s="70">
        <f t="shared" si="57"/>
        <v>4.8899999999999997</v>
      </c>
      <c r="U49" s="69">
        <v>1.75</v>
      </c>
      <c r="V49" s="69">
        <f t="shared" si="58"/>
        <v>1.75</v>
      </c>
      <c r="W49" s="70">
        <f t="shared" si="59"/>
        <v>1.75</v>
      </c>
      <c r="X49" s="69">
        <v>3.19</v>
      </c>
      <c r="Y49" s="69">
        <f t="shared" si="60"/>
        <v>3.19</v>
      </c>
      <c r="Z49" s="71" t="str">
        <f t="shared" si="61"/>
        <v/>
      </c>
      <c r="AB49" s="55" t="s">
        <v>936</v>
      </c>
      <c r="AC49" s="42">
        <v>2.7088888888888798</v>
      </c>
      <c r="AD49" s="42">
        <v>5.2342222222222201</v>
      </c>
      <c r="AE49" s="42">
        <v>5.0442222222222197</v>
      </c>
      <c r="AF49" s="42">
        <v>5.3868888888888904</v>
      </c>
      <c r="AG49" s="42">
        <v>5.218</v>
      </c>
      <c r="AH49" s="42">
        <v>3.4102222222222198</v>
      </c>
      <c r="AI49" s="42">
        <v>2.7924444444444401</v>
      </c>
      <c r="AJ49" s="46">
        <v>3.2990909090909</v>
      </c>
      <c r="AL49" s="61" t="s">
        <v>935</v>
      </c>
      <c r="AM49" s="42">
        <v>3.93</v>
      </c>
      <c r="AN49" s="42">
        <v>4.28</v>
      </c>
      <c r="AO49" s="42">
        <v>4.13</v>
      </c>
      <c r="AP49" s="42">
        <v>4.34</v>
      </c>
      <c r="AQ49" s="42">
        <v>3.59</v>
      </c>
      <c r="AR49" s="42">
        <v>2.5499999999999998</v>
      </c>
      <c r="AS49" s="42">
        <v>1.61</v>
      </c>
      <c r="AT49" s="46">
        <v>1.17</v>
      </c>
      <c r="AV49" s="61" t="s">
        <v>944</v>
      </c>
      <c r="AW49" s="42">
        <v>4.1399999999999997</v>
      </c>
      <c r="AX49" s="42">
        <v>6.11</v>
      </c>
      <c r="AY49" s="42">
        <v>3.78</v>
      </c>
      <c r="AZ49" s="42">
        <v>5.16</v>
      </c>
      <c r="BA49" s="42">
        <v>5.45</v>
      </c>
      <c r="BB49" s="42">
        <v>1.86</v>
      </c>
      <c r="BC49" s="42">
        <v>3.76</v>
      </c>
      <c r="BD49" s="46">
        <v>3.14</v>
      </c>
      <c r="CJ49" s="44" t="s">
        <v>943</v>
      </c>
      <c r="CK49" s="42">
        <v>0.85</v>
      </c>
      <c r="CL49" s="42">
        <v>0.45</v>
      </c>
      <c r="CM49" s="42">
        <v>0.15</v>
      </c>
      <c r="CN49" s="42">
        <v>1.17</v>
      </c>
      <c r="CO49" s="42">
        <v>1.89</v>
      </c>
      <c r="CP49" s="42">
        <v>0.62</v>
      </c>
      <c r="CQ49" s="42">
        <v>0.28000000000000003</v>
      </c>
      <c r="CR49" s="46">
        <v>2.21</v>
      </c>
    </row>
    <row r="50" spans="2:96">
      <c r="B50" s="68" t="s">
        <v>935</v>
      </c>
      <c r="C50" s="69">
        <v>3</v>
      </c>
      <c r="D50" s="69">
        <f t="shared" si="46"/>
        <v>3</v>
      </c>
      <c r="E50" s="70">
        <f t="shared" si="47"/>
        <v>3</v>
      </c>
      <c r="F50" s="69">
        <v>4.41</v>
      </c>
      <c r="G50" s="69">
        <f t="shared" si="48"/>
        <v>4.41</v>
      </c>
      <c r="H50" s="70">
        <f t="shared" si="49"/>
        <v>4.41</v>
      </c>
      <c r="I50" s="69">
        <v>5.31</v>
      </c>
      <c r="J50" s="69">
        <f t="shared" si="50"/>
        <v>5.31</v>
      </c>
      <c r="K50" s="70">
        <f t="shared" si="51"/>
        <v>5.31</v>
      </c>
      <c r="L50" s="69">
        <v>5.62</v>
      </c>
      <c r="M50" s="69">
        <f t="shared" si="52"/>
        <v>5.62</v>
      </c>
      <c r="N50" s="70">
        <f t="shared" si="53"/>
        <v>5.62</v>
      </c>
      <c r="O50" s="69">
        <v>4.3499999999999996</v>
      </c>
      <c r="P50" s="69">
        <f t="shared" si="54"/>
        <v>4.3499999999999996</v>
      </c>
      <c r="Q50" s="70">
        <f t="shared" si="55"/>
        <v>4.3499999999999996</v>
      </c>
      <c r="R50" s="69">
        <v>4.83</v>
      </c>
      <c r="S50" s="69">
        <f t="shared" si="56"/>
        <v>4.83</v>
      </c>
      <c r="T50" s="70">
        <f t="shared" si="57"/>
        <v>4.83</v>
      </c>
      <c r="U50" s="69">
        <v>1.75</v>
      </c>
      <c r="V50" s="69">
        <f t="shared" si="58"/>
        <v>1.75</v>
      </c>
      <c r="W50" s="70">
        <f t="shared" si="59"/>
        <v>1.75</v>
      </c>
      <c r="X50" s="69">
        <v>2.2599999999999998</v>
      </c>
      <c r="Y50" s="69">
        <f t="shared" si="60"/>
        <v>2.2599999999999998</v>
      </c>
      <c r="Z50" s="71">
        <f t="shared" si="61"/>
        <v>2.2599999999999998</v>
      </c>
      <c r="AB50" s="55" t="s">
        <v>515</v>
      </c>
      <c r="AC50" s="42">
        <v>0.53048079752542399</v>
      </c>
      <c r="AD50" s="42">
        <v>1.03376440232103</v>
      </c>
      <c r="AE50" s="42">
        <v>0.57403634762535805</v>
      </c>
      <c r="AF50" s="42">
        <v>1.3312280416087301</v>
      </c>
      <c r="AG50" s="42">
        <v>0.10495713410721499</v>
      </c>
      <c r="AH50" s="42">
        <v>0.86341052135995</v>
      </c>
      <c r="AI50" s="42">
        <v>0.68753070414040596</v>
      </c>
      <c r="AJ50" s="46">
        <v>0.593911602627476</v>
      </c>
      <c r="AL50" s="61" t="s">
        <v>935</v>
      </c>
      <c r="AM50" s="42">
        <v>3.89</v>
      </c>
      <c r="AN50" s="42">
        <v>4.24</v>
      </c>
      <c r="AO50" s="42">
        <v>4.24</v>
      </c>
      <c r="AP50" s="42">
        <v>4.32</v>
      </c>
      <c r="AQ50" s="42">
        <v>3.57</v>
      </c>
      <c r="AR50" s="42">
        <v>3.13</v>
      </c>
      <c r="AS50" s="42">
        <v>1.64</v>
      </c>
      <c r="AT50" s="46">
        <v>1.25</v>
      </c>
      <c r="AV50" s="61" t="s">
        <v>944</v>
      </c>
      <c r="AW50" s="42">
        <v>0.83</v>
      </c>
      <c r="AX50" s="42">
        <v>6.14</v>
      </c>
      <c r="AY50" s="42">
        <v>3.76</v>
      </c>
      <c r="AZ50" s="42">
        <v>5.22</v>
      </c>
      <c r="BA50" s="42">
        <v>5.05</v>
      </c>
      <c r="BB50" s="42">
        <v>1.85</v>
      </c>
      <c r="BC50" s="42">
        <v>3.75</v>
      </c>
      <c r="BD50" s="46">
        <v>3.11</v>
      </c>
      <c r="CJ50" s="44" t="s">
        <v>943</v>
      </c>
      <c r="CK50" s="42">
        <v>0.85</v>
      </c>
      <c r="CL50" s="42">
        <v>0.45</v>
      </c>
      <c r="CM50" s="42">
        <v>0.15</v>
      </c>
      <c r="CN50" s="42">
        <v>1.17</v>
      </c>
      <c r="CO50" s="42">
        <v>1.89</v>
      </c>
      <c r="CP50" s="42">
        <v>0.73</v>
      </c>
      <c r="CQ50" s="42">
        <v>0.33</v>
      </c>
      <c r="CR50" s="46">
        <v>1.89</v>
      </c>
    </row>
    <row r="51" spans="2:96">
      <c r="B51" s="68" t="s">
        <v>935</v>
      </c>
      <c r="C51" s="69">
        <v>2.95</v>
      </c>
      <c r="D51" s="69">
        <f t="shared" si="46"/>
        <v>2.95</v>
      </c>
      <c r="E51" s="70">
        <f t="shared" si="47"/>
        <v>2.95</v>
      </c>
      <c r="F51" s="69">
        <v>4.38</v>
      </c>
      <c r="G51" s="69">
        <f t="shared" si="48"/>
        <v>4.38</v>
      </c>
      <c r="H51" s="70">
        <f t="shared" si="49"/>
        <v>4.38</v>
      </c>
      <c r="I51" s="69">
        <v>5.32</v>
      </c>
      <c r="J51" s="69">
        <f t="shared" si="50"/>
        <v>5.32</v>
      </c>
      <c r="K51" s="70">
        <f t="shared" si="51"/>
        <v>5.32</v>
      </c>
      <c r="L51" s="69">
        <v>5.6</v>
      </c>
      <c r="M51" s="69">
        <f t="shared" si="52"/>
        <v>5.6</v>
      </c>
      <c r="N51" s="70">
        <f t="shared" si="53"/>
        <v>5.6</v>
      </c>
      <c r="O51" s="69">
        <v>4.3099999999999996</v>
      </c>
      <c r="P51" s="69">
        <f t="shared" si="54"/>
        <v>4.3099999999999996</v>
      </c>
      <c r="Q51" s="70">
        <f t="shared" si="55"/>
        <v>4.3099999999999996</v>
      </c>
      <c r="R51" s="69">
        <v>4.3</v>
      </c>
      <c r="S51" s="69">
        <f t="shared" si="56"/>
        <v>4.3</v>
      </c>
      <c r="T51" s="70">
        <f t="shared" si="57"/>
        <v>4.3</v>
      </c>
      <c r="U51" s="69">
        <v>1.8</v>
      </c>
      <c r="V51" s="69">
        <f t="shared" si="58"/>
        <v>1.8</v>
      </c>
      <c r="W51" s="70">
        <f t="shared" si="59"/>
        <v>1.8</v>
      </c>
      <c r="X51" s="69">
        <v>2.2799999999999998</v>
      </c>
      <c r="Y51" s="69">
        <f t="shared" si="60"/>
        <v>2.2799999999999998</v>
      </c>
      <c r="Z51" s="71">
        <f t="shared" si="61"/>
        <v>2.2799999999999998</v>
      </c>
      <c r="AB51" s="55" t="s">
        <v>520</v>
      </c>
      <c r="AC51" s="42">
        <v>3.2393696864143098</v>
      </c>
      <c r="AD51" s="42">
        <v>6.2679866245432496</v>
      </c>
      <c r="AE51" s="42">
        <v>5.61825856984757</v>
      </c>
      <c r="AF51" s="42">
        <v>6.7181169304976196</v>
      </c>
      <c r="AG51" s="42">
        <v>5.3229571341072104</v>
      </c>
      <c r="AH51" s="42">
        <v>4.2736327435821702</v>
      </c>
      <c r="AI51" s="42">
        <v>3.4799751485848498</v>
      </c>
      <c r="AJ51" s="46">
        <v>3.8930025117183802</v>
      </c>
      <c r="AL51" s="61" t="s">
        <v>935</v>
      </c>
      <c r="AM51" s="42">
        <v>3.93</v>
      </c>
      <c r="AN51" s="42">
        <v>4.28</v>
      </c>
      <c r="AO51" s="42">
        <v>4.16</v>
      </c>
      <c r="AP51" s="42">
        <v>4.3</v>
      </c>
      <c r="AQ51" s="42">
        <v>3.64</v>
      </c>
      <c r="AR51" s="42">
        <v>3.11</v>
      </c>
      <c r="AS51" s="42">
        <v>1.65</v>
      </c>
      <c r="AT51" s="46">
        <v>1.25</v>
      </c>
      <c r="AV51" s="61" t="s">
        <v>944</v>
      </c>
      <c r="AW51" s="42">
        <v>4.1399999999999997</v>
      </c>
      <c r="AX51" s="42">
        <v>6.08</v>
      </c>
      <c r="AY51" s="42">
        <v>3.77</v>
      </c>
      <c r="AZ51" s="42">
        <v>5.1100000000000003</v>
      </c>
      <c r="BA51" s="42">
        <v>5.45</v>
      </c>
      <c r="BB51" s="42">
        <v>1.85</v>
      </c>
      <c r="BC51" s="42">
        <v>3.77</v>
      </c>
      <c r="BD51" s="46">
        <v>3.18</v>
      </c>
      <c r="CJ51" s="44" t="s">
        <v>943</v>
      </c>
      <c r="CK51" s="42">
        <v>0.73</v>
      </c>
      <c r="CL51" s="42">
        <v>0.53</v>
      </c>
      <c r="CM51" s="42">
        <v>0.15</v>
      </c>
      <c r="CN51" s="42">
        <v>1.17</v>
      </c>
      <c r="CO51" s="42">
        <v>1.89</v>
      </c>
      <c r="CP51" s="42">
        <v>0.85</v>
      </c>
      <c r="CQ51" s="42">
        <v>0.33</v>
      </c>
      <c r="CR51" s="46">
        <v>1.89</v>
      </c>
    </row>
    <row r="52" spans="2:96">
      <c r="B52" s="68" t="s">
        <v>935</v>
      </c>
      <c r="C52" s="69">
        <v>2.97</v>
      </c>
      <c r="D52" s="69">
        <f t="shared" si="46"/>
        <v>2.97</v>
      </c>
      <c r="E52" s="70">
        <f t="shared" si="47"/>
        <v>2.97</v>
      </c>
      <c r="F52" s="69">
        <v>4.42</v>
      </c>
      <c r="G52" s="69">
        <f t="shared" si="48"/>
        <v>4.42</v>
      </c>
      <c r="H52" s="70">
        <f t="shared" si="49"/>
        <v>4.42</v>
      </c>
      <c r="I52" s="69">
        <v>5.3</v>
      </c>
      <c r="J52" s="69">
        <f t="shared" si="50"/>
        <v>5.3</v>
      </c>
      <c r="K52" s="70">
        <f t="shared" si="51"/>
        <v>5.3</v>
      </c>
      <c r="L52" s="69">
        <v>5.61</v>
      </c>
      <c r="M52" s="69">
        <f t="shared" si="52"/>
        <v>5.61</v>
      </c>
      <c r="N52" s="70">
        <f t="shared" si="53"/>
        <v>5.61</v>
      </c>
      <c r="O52" s="69">
        <v>4.3099999999999996</v>
      </c>
      <c r="P52" s="69">
        <f t="shared" si="54"/>
        <v>4.3099999999999996</v>
      </c>
      <c r="Q52" s="70">
        <f t="shared" si="55"/>
        <v>4.3099999999999996</v>
      </c>
      <c r="R52" s="69">
        <v>4.8099999999999996</v>
      </c>
      <c r="S52" s="69">
        <f t="shared" si="56"/>
        <v>4.8099999999999996</v>
      </c>
      <c r="T52" s="70">
        <f t="shared" si="57"/>
        <v>4.8099999999999996</v>
      </c>
      <c r="U52" s="69">
        <v>1.79</v>
      </c>
      <c r="V52" s="69">
        <f t="shared" si="58"/>
        <v>1.79</v>
      </c>
      <c r="W52" s="70">
        <f t="shared" si="59"/>
        <v>1.79</v>
      </c>
      <c r="X52" s="69">
        <v>2.27</v>
      </c>
      <c r="Y52" s="69">
        <f t="shared" si="60"/>
        <v>2.27</v>
      </c>
      <c r="Z52" s="71">
        <f t="shared" si="61"/>
        <v>2.27</v>
      </c>
      <c r="AB52" s="55" t="s">
        <v>525</v>
      </c>
      <c r="AC52" s="42">
        <v>2.17840809136346</v>
      </c>
      <c r="AD52" s="42">
        <v>4.2004578199011799</v>
      </c>
      <c r="AE52" s="42">
        <v>4.4701858745968597</v>
      </c>
      <c r="AF52" s="42">
        <v>4.0556608472801496</v>
      </c>
      <c r="AG52" s="42">
        <v>5.1130428658927798</v>
      </c>
      <c r="AH52" s="42">
        <v>2.5468117008622699</v>
      </c>
      <c r="AI52" s="42">
        <v>2.1049137403040299</v>
      </c>
      <c r="AJ52" s="46">
        <v>2.70517930646343</v>
      </c>
      <c r="AL52" s="61" t="s">
        <v>935</v>
      </c>
      <c r="AM52" s="42">
        <v>3.91</v>
      </c>
      <c r="AN52" s="42">
        <v>4.29</v>
      </c>
      <c r="AO52" s="42">
        <v>4.1500000000000004</v>
      </c>
      <c r="AP52" s="42">
        <v>4.3</v>
      </c>
      <c r="AQ52" s="42">
        <v>3.6</v>
      </c>
      <c r="AR52" s="42">
        <v>3.13</v>
      </c>
      <c r="AS52" s="42">
        <v>1.62</v>
      </c>
      <c r="AT52" s="46">
        <v>1.19</v>
      </c>
      <c r="AV52" s="61" t="s">
        <v>944</v>
      </c>
      <c r="AW52" s="42">
        <v>4.1399999999999997</v>
      </c>
      <c r="AX52" s="42">
        <v>4.3600000000000003</v>
      </c>
      <c r="AY52" s="42">
        <v>3.78</v>
      </c>
      <c r="AZ52" s="42">
        <v>5.56</v>
      </c>
      <c r="BA52" s="42">
        <v>5.49</v>
      </c>
      <c r="BB52" s="42">
        <v>1.85</v>
      </c>
      <c r="BC52" s="42">
        <v>0.14000000000000001</v>
      </c>
      <c r="BD52" s="46">
        <v>3.15</v>
      </c>
      <c r="CJ52" s="44" t="s">
        <v>943</v>
      </c>
      <c r="CK52" s="42">
        <v>0.85</v>
      </c>
      <c r="CL52" s="42">
        <v>0.45</v>
      </c>
      <c r="CM52" s="42">
        <v>0.15</v>
      </c>
      <c r="CN52" s="42">
        <v>2.21</v>
      </c>
      <c r="CO52" s="42">
        <v>0.85</v>
      </c>
      <c r="CP52" s="42">
        <v>0.33</v>
      </c>
      <c r="CQ52" s="42">
        <v>0.28000000000000003</v>
      </c>
      <c r="CR52" s="46">
        <v>1.89</v>
      </c>
    </row>
    <row r="53" spans="2:96" ht="15.75" thickBot="1">
      <c r="B53" s="68" t="s">
        <v>935</v>
      </c>
      <c r="C53" s="69">
        <v>3.02</v>
      </c>
      <c r="D53" s="69">
        <f t="shared" si="46"/>
        <v>3.02</v>
      </c>
      <c r="E53" s="70">
        <f t="shared" si="47"/>
        <v>3.02</v>
      </c>
      <c r="F53" s="69">
        <v>4.3499999999999996</v>
      </c>
      <c r="G53" s="69">
        <f t="shared" si="48"/>
        <v>4.3499999999999996</v>
      </c>
      <c r="H53" s="70">
        <f t="shared" si="49"/>
        <v>4.3499999999999996</v>
      </c>
      <c r="I53" s="69">
        <v>5.28</v>
      </c>
      <c r="J53" s="69">
        <f t="shared" si="50"/>
        <v>5.28</v>
      </c>
      <c r="K53" s="70">
        <f t="shared" si="51"/>
        <v>5.28</v>
      </c>
      <c r="L53" s="69">
        <v>4.7699999999999996</v>
      </c>
      <c r="M53" s="69">
        <f t="shared" si="52"/>
        <v>4.7699999999999996</v>
      </c>
      <c r="N53" s="70">
        <f t="shared" si="53"/>
        <v>4.7699999999999996</v>
      </c>
      <c r="O53" s="69">
        <v>4.3</v>
      </c>
      <c r="P53" s="69">
        <f t="shared" si="54"/>
        <v>4.3</v>
      </c>
      <c r="Q53" s="70">
        <f t="shared" si="55"/>
        <v>4.3</v>
      </c>
      <c r="R53" s="69">
        <v>4.88</v>
      </c>
      <c r="S53" s="69">
        <f t="shared" si="56"/>
        <v>4.88</v>
      </c>
      <c r="T53" s="70">
        <f t="shared" si="57"/>
        <v>4.88</v>
      </c>
      <c r="U53" s="69">
        <v>1.74</v>
      </c>
      <c r="V53" s="69">
        <f t="shared" si="58"/>
        <v>1.74</v>
      </c>
      <c r="W53" s="70">
        <f t="shared" si="59"/>
        <v>1.74</v>
      </c>
      <c r="X53" s="69">
        <v>2.27</v>
      </c>
      <c r="Y53" s="69">
        <f t="shared" si="60"/>
        <v>2.27</v>
      </c>
      <c r="Z53" s="71">
        <f t="shared" si="61"/>
        <v>2.27</v>
      </c>
      <c r="AB53" s="56" t="s">
        <v>937</v>
      </c>
      <c r="AC53" s="49">
        <v>2.8373809523809501</v>
      </c>
      <c r="AD53" s="49">
        <v>5.45697674418604</v>
      </c>
      <c r="AE53" s="49">
        <v>5.1665116279069698</v>
      </c>
      <c r="AF53" s="49">
        <v>5.8723684210526299</v>
      </c>
      <c r="AG53" s="49">
        <v>5.1449999999999996</v>
      </c>
      <c r="AH53" s="49">
        <v>3.6690243902439001</v>
      </c>
      <c r="AI53" s="49">
        <v>3.0137499999999999</v>
      </c>
      <c r="AJ53" s="50">
        <v>3.4257142857142799</v>
      </c>
      <c r="AL53" s="56" t="s">
        <v>935</v>
      </c>
      <c r="AM53" s="49">
        <v>3.92</v>
      </c>
      <c r="AN53" s="49">
        <v>4.26</v>
      </c>
      <c r="AO53" s="49">
        <v>4.12</v>
      </c>
      <c r="AP53" s="49">
        <v>4.3499999999999996</v>
      </c>
      <c r="AQ53" s="49">
        <v>3.57</v>
      </c>
      <c r="AR53" s="49">
        <v>3.14</v>
      </c>
      <c r="AS53" s="49">
        <v>1.64</v>
      </c>
      <c r="AT53" s="50">
        <v>1.29</v>
      </c>
      <c r="AV53" s="61" t="s">
        <v>944</v>
      </c>
      <c r="AW53" s="42">
        <v>4.1399999999999997</v>
      </c>
      <c r="AX53" s="42">
        <v>6.1</v>
      </c>
      <c r="AY53" s="42">
        <v>1.73</v>
      </c>
      <c r="AZ53" s="42">
        <v>5.14</v>
      </c>
      <c r="BA53" s="42">
        <v>5.35</v>
      </c>
      <c r="BB53" s="42">
        <v>1.84</v>
      </c>
      <c r="BC53" s="42">
        <v>3.74</v>
      </c>
      <c r="BD53" s="46">
        <v>3.13</v>
      </c>
      <c r="CJ53" s="44" t="s">
        <v>943</v>
      </c>
      <c r="CK53" s="42">
        <v>0.85</v>
      </c>
      <c r="CL53" s="42">
        <v>0.45</v>
      </c>
      <c r="CM53" s="42">
        <v>0.13</v>
      </c>
      <c r="CN53" s="42">
        <v>2.21</v>
      </c>
      <c r="CO53" s="42">
        <v>1.89</v>
      </c>
      <c r="CP53" s="42">
        <v>0.62</v>
      </c>
      <c r="CQ53" s="42">
        <v>0.24</v>
      </c>
      <c r="CR53" s="46">
        <v>1.89</v>
      </c>
    </row>
    <row r="54" spans="2:96" ht="15.75" thickBot="1">
      <c r="B54" s="54" t="s">
        <v>510</v>
      </c>
      <c r="C54" s="73"/>
      <c r="D54" s="74">
        <f>AVERAGE(D4:D53)</f>
        <v>2.8821999999999997</v>
      </c>
      <c r="E54" s="74">
        <f>AVERAGE(E4:E53)</f>
        <v>3.0019565217391304</v>
      </c>
      <c r="F54" s="73"/>
      <c r="G54" s="74">
        <f>AVERAGE(G4:G53)</f>
        <v>4.2893749999999988</v>
      </c>
      <c r="H54" s="74">
        <f>AVERAGE(H4:H53)</f>
        <v>4.3963043478260859</v>
      </c>
      <c r="I54" s="73"/>
      <c r="J54" s="74">
        <f>AVERAGE(J4:J53)</f>
        <v>5.1958000000000002</v>
      </c>
      <c r="K54" s="74">
        <f>AVERAGE(K4:K53)</f>
        <v>5.2955319148936173</v>
      </c>
      <c r="L54" s="73"/>
      <c r="M54" s="74">
        <f>AVERAGE(M4:M53)</f>
        <v>4.9467346938775512</v>
      </c>
      <c r="N54" s="74">
        <f>AVERAGE(N4:N53)</f>
        <v>5.3624999999999998</v>
      </c>
      <c r="O54" s="73"/>
      <c r="P54" s="74">
        <f>AVERAGE(P4:P53)</f>
        <v>4.0396000000000019</v>
      </c>
      <c r="Q54" s="74">
        <f>AVERAGE(Q4:Q53)</f>
        <v>4.3236363636363642</v>
      </c>
      <c r="R54" s="73"/>
      <c r="S54" s="74">
        <f>AVERAGE(S4:S53)</f>
        <v>4.5356000000000014</v>
      </c>
      <c r="T54" s="74">
        <f>AVERAGE(T4:T53)</f>
        <v>4.807333333333335</v>
      </c>
      <c r="U54" s="73"/>
      <c r="V54" s="74">
        <f>AVERAGE(V4:V53)</f>
        <v>1.7265999999999997</v>
      </c>
      <c r="W54" s="74">
        <f>AVERAGE(W4:W53)</f>
        <v>1.7577551020408162</v>
      </c>
      <c r="X54" s="73"/>
      <c r="Y54" s="74">
        <f>AVERAGE(Y4:Y53)</f>
        <v>2.2914000000000003</v>
      </c>
      <c r="Z54" s="75">
        <f>AVERAGE(Z4:Z53)</f>
        <v>2.2547727272727278</v>
      </c>
      <c r="AL54" s="55" t="s">
        <v>936</v>
      </c>
      <c r="AM54" s="42">
        <v>3.76459999999999</v>
      </c>
      <c r="AN54" s="42">
        <v>4.1637999999999904</v>
      </c>
      <c r="AO54" s="42">
        <v>4.1055999999999901</v>
      </c>
      <c r="AP54" s="42">
        <v>4.1536</v>
      </c>
      <c r="AQ54" s="42">
        <v>3.3826000000000001</v>
      </c>
      <c r="AR54" s="42">
        <v>3.0268000000000002</v>
      </c>
      <c r="AS54" s="42">
        <v>1.6202000000000001</v>
      </c>
      <c r="AT54" s="46">
        <v>1.2238775510204001</v>
      </c>
      <c r="AV54" s="61" t="s">
        <v>935</v>
      </c>
      <c r="AW54" s="42">
        <v>4.17</v>
      </c>
      <c r="AX54" s="42">
        <v>6.08</v>
      </c>
      <c r="AY54" s="42">
        <v>3.8</v>
      </c>
      <c r="AZ54" s="42">
        <v>3.54</v>
      </c>
      <c r="BA54" s="42">
        <v>5.45</v>
      </c>
      <c r="BB54" s="42">
        <v>1.83</v>
      </c>
      <c r="BC54" s="42">
        <v>3.79</v>
      </c>
      <c r="BD54" s="46">
        <v>0</v>
      </c>
      <c r="CJ54" s="44" t="s">
        <v>944</v>
      </c>
      <c r="CK54" s="42">
        <v>0.73</v>
      </c>
      <c r="CL54" s="42">
        <v>0.45</v>
      </c>
      <c r="CM54" s="42">
        <v>0.15</v>
      </c>
      <c r="CN54" s="42">
        <v>0</v>
      </c>
      <c r="CO54" s="42">
        <v>2.21</v>
      </c>
      <c r="CP54" s="42">
        <v>0.33</v>
      </c>
      <c r="CQ54" s="42">
        <v>0.39</v>
      </c>
      <c r="CR54" s="46">
        <v>2.21</v>
      </c>
    </row>
    <row r="55" spans="2:96" ht="45">
      <c r="B55" s="55" t="s">
        <v>515</v>
      </c>
      <c r="C55" s="42"/>
      <c r="D55" s="70">
        <f>STDEV(D4:D53)</f>
        <v>0.479631193348239</v>
      </c>
      <c r="E55" s="70">
        <f t="shared" ref="E55:Z55" si="62">STDEV(E4:E53)</f>
        <v>2.4641389320264495E-2</v>
      </c>
      <c r="F55" s="70"/>
      <c r="G55" s="70">
        <f t="shared" si="62"/>
        <v>0.54140638863942103</v>
      </c>
      <c r="H55" s="70">
        <f t="shared" si="62"/>
        <v>2.5241825576889438E-2</v>
      </c>
      <c r="I55" s="70"/>
      <c r="J55" s="70">
        <f t="shared" si="62"/>
        <v>0.46422676548850378</v>
      </c>
      <c r="K55" s="70">
        <f t="shared" si="62"/>
        <v>2.3756784901626853E-2</v>
      </c>
      <c r="L55" s="70"/>
      <c r="M55" s="70">
        <f t="shared" si="62"/>
        <v>1.3693328481342966</v>
      </c>
      <c r="N55" s="70">
        <f t="shared" si="62"/>
        <v>0.50753451022543039</v>
      </c>
      <c r="O55" s="70"/>
      <c r="P55" s="70">
        <f t="shared" si="62"/>
        <v>0.81081707340842502</v>
      </c>
      <c r="Q55" s="70">
        <f t="shared" si="62"/>
        <v>1.9420788321473613E-2</v>
      </c>
      <c r="R55" s="70"/>
      <c r="S55" s="70">
        <f t="shared" si="62"/>
        <v>0.90124666491498961</v>
      </c>
      <c r="T55" s="70">
        <f t="shared" si="62"/>
        <v>0.18091183186594215</v>
      </c>
      <c r="U55" s="70"/>
      <c r="V55" s="70">
        <f t="shared" si="62"/>
        <v>0.22157700094310825</v>
      </c>
      <c r="W55" s="70">
        <f t="shared" si="62"/>
        <v>2.4002196611495205E-2</v>
      </c>
      <c r="X55" s="70"/>
      <c r="Y55" s="70">
        <f t="shared" si="62"/>
        <v>0.29508220923004014</v>
      </c>
      <c r="Z55" s="70">
        <f t="shared" si="62"/>
        <v>3.4606669364185133E-2</v>
      </c>
      <c r="AB55" s="82" t="s">
        <v>534</v>
      </c>
      <c r="AC55" s="8">
        <v>2.88</v>
      </c>
      <c r="AD55" s="8">
        <v>5.31</v>
      </c>
      <c r="AE55" s="8">
        <v>5.04</v>
      </c>
      <c r="AF55" s="8">
        <v>6.21</v>
      </c>
      <c r="AG55" s="8">
        <v>5.29</v>
      </c>
      <c r="AH55" s="8">
        <v>3.65</v>
      </c>
      <c r="AI55" s="8">
        <v>2.85</v>
      </c>
      <c r="AJ55" s="9">
        <v>3.06</v>
      </c>
      <c r="AL55" s="55" t="s">
        <v>515</v>
      </c>
      <c r="AM55" s="42">
        <v>0.57428289196179205</v>
      </c>
      <c r="AN55" s="42">
        <v>0.59551621304545499</v>
      </c>
      <c r="AO55" s="42">
        <v>0.34879311919818601</v>
      </c>
      <c r="AP55" s="42">
        <v>0.74820253942365</v>
      </c>
      <c r="AQ55" s="42">
        <v>0.70212195521860699</v>
      </c>
      <c r="AR55" s="42">
        <v>0.44433518879332501</v>
      </c>
      <c r="AS55" s="42">
        <v>8.38209997554311E-2</v>
      </c>
      <c r="AT55" s="46">
        <v>0.12972209426671</v>
      </c>
      <c r="AV55" s="61" t="s">
        <v>935</v>
      </c>
      <c r="AW55" s="42">
        <v>4.17</v>
      </c>
      <c r="AX55" s="42">
        <v>6.12</v>
      </c>
      <c r="AY55" s="42">
        <v>3.76</v>
      </c>
      <c r="AZ55" s="42">
        <v>5.61</v>
      </c>
      <c r="BA55" s="42">
        <v>5.44</v>
      </c>
      <c r="BB55" s="42">
        <v>1.82</v>
      </c>
      <c r="BC55" s="42">
        <v>3.77</v>
      </c>
      <c r="BD55" s="46">
        <v>3.2</v>
      </c>
      <c r="CJ55" s="44" t="s">
        <v>944</v>
      </c>
      <c r="CK55" s="42">
        <v>0</v>
      </c>
      <c r="CL55" s="42">
        <v>0.45</v>
      </c>
      <c r="CM55" s="42">
        <v>0.15</v>
      </c>
      <c r="CN55" s="42">
        <v>2.21</v>
      </c>
      <c r="CO55" s="42">
        <v>0.85</v>
      </c>
      <c r="CP55" s="42">
        <v>0.73</v>
      </c>
      <c r="CQ55" s="42">
        <v>0.28000000000000003</v>
      </c>
      <c r="CR55" s="46">
        <v>2.21</v>
      </c>
    </row>
    <row r="56" spans="2:96">
      <c r="B56" s="55" t="s">
        <v>520</v>
      </c>
      <c r="C56" s="42"/>
      <c r="D56" s="70">
        <f>D54+D55</f>
        <v>3.3618311933482388</v>
      </c>
      <c r="E56" s="42"/>
      <c r="F56" s="42"/>
      <c r="G56" s="70">
        <f>G54+G55</f>
        <v>4.8307813886394202</v>
      </c>
      <c r="H56" s="42"/>
      <c r="I56" s="42"/>
      <c r="J56" s="70">
        <f>J54+J55</f>
        <v>5.6600267654885039</v>
      </c>
      <c r="K56" s="42"/>
      <c r="L56" s="42"/>
      <c r="M56" s="70">
        <f>M54+M55</f>
        <v>6.3160675420118473</v>
      </c>
      <c r="N56" s="42"/>
      <c r="O56" s="42"/>
      <c r="P56" s="70">
        <f>P54+P55</f>
        <v>4.8504170734084271</v>
      </c>
      <c r="Q56" s="42"/>
      <c r="R56" s="42"/>
      <c r="S56" s="70">
        <f>S54+S55</f>
        <v>5.4368466649149907</v>
      </c>
      <c r="T56" s="42"/>
      <c r="U56" s="42"/>
      <c r="V56" s="70">
        <f>V54+V55</f>
        <v>1.9481770009431079</v>
      </c>
      <c r="W56" s="42"/>
      <c r="X56" s="42"/>
      <c r="Y56" s="70">
        <f>Y54+Y55</f>
        <v>2.5864822092300406</v>
      </c>
      <c r="Z56" s="76"/>
      <c r="AB56" s="52" t="s">
        <v>945</v>
      </c>
      <c r="AC56" s="11">
        <f>AC55-AC53</f>
        <v>4.2619047619049777E-2</v>
      </c>
      <c r="AD56" s="11">
        <f t="shared" ref="AD56:AJ56" si="63">AD55-AD53</f>
        <v>-0.14697674418604034</v>
      </c>
      <c r="AE56" s="11">
        <f t="shared" si="63"/>
        <v>-0.12651162790696979</v>
      </c>
      <c r="AF56" s="11">
        <f t="shared" si="63"/>
        <v>0.33763157894737006</v>
      </c>
      <c r="AG56" s="11">
        <f>AG55-AG53</f>
        <v>0.14500000000000046</v>
      </c>
      <c r="AH56" s="11">
        <f>AH55-AH53</f>
        <v>-1.9024390243900235E-2</v>
      </c>
      <c r="AI56" s="11">
        <f t="shared" si="63"/>
        <v>-0.16374999999999984</v>
      </c>
      <c r="AJ56" s="12">
        <f t="shared" si="63"/>
        <v>-0.36571428571427989</v>
      </c>
      <c r="AL56" s="55" t="s">
        <v>520</v>
      </c>
      <c r="AM56" s="42">
        <v>4.3388828919617897</v>
      </c>
      <c r="AN56" s="42">
        <v>4.7593162130454498</v>
      </c>
      <c r="AO56" s="42">
        <v>4.4543931191981798</v>
      </c>
      <c r="AP56" s="42">
        <v>4.9018025394236497</v>
      </c>
      <c r="AQ56" s="42">
        <v>4.0847219552186003</v>
      </c>
      <c r="AR56" s="42">
        <v>3.4711351887933199</v>
      </c>
      <c r="AS56" s="42">
        <v>1.7040209997554301</v>
      </c>
      <c r="AT56" s="46">
        <v>1.35359964528711</v>
      </c>
      <c r="AV56" s="61" t="s">
        <v>935</v>
      </c>
      <c r="AW56" s="42">
        <v>4.1399999999999997</v>
      </c>
      <c r="AX56" s="42">
        <v>6.12</v>
      </c>
      <c r="AY56" s="42">
        <v>3.76</v>
      </c>
      <c r="AZ56" s="42">
        <v>5.0999999999999996</v>
      </c>
      <c r="BA56" s="42">
        <v>5.45</v>
      </c>
      <c r="BB56" s="42">
        <v>1.85</v>
      </c>
      <c r="BC56" s="42">
        <v>3.74</v>
      </c>
      <c r="BD56" s="46">
        <v>3.3</v>
      </c>
      <c r="CJ56" s="44" t="s">
        <v>944</v>
      </c>
      <c r="CK56" s="42">
        <v>0.73</v>
      </c>
      <c r="CL56" s="42">
        <v>0.45</v>
      </c>
      <c r="CM56" s="42">
        <v>0.15</v>
      </c>
      <c r="CN56" s="42">
        <v>0</v>
      </c>
      <c r="CO56" s="42">
        <v>0</v>
      </c>
      <c r="CP56" s="42">
        <v>0.62</v>
      </c>
      <c r="CQ56" s="42">
        <v>0.28000000000000003</v>
      </c>
      <c r="CR56" s="46">
        <v>1.89</v>
      </c>
    </row>
    <row r="57" spans="2:96" ht="15.75" thickBot="1">
      <c r="B57" s="72" t="s">
        <v>525</v>
      </c>
      <c r="C57" s="77"/>
      <c r="D57" s="78">
        <f>D54-D55</f>
        <v>2.4025688066517605</v>
      </c>
      <c r="E57" s="77"/>
      <c r="F57" s="77"/>
      <c r="G57" s="78">
        <f>G54-G55</f>
        <v>3.7479686113605779</v>
      </c>
      <c r="H57" s="77"/>
      <c r="I57" s="77"/>
      <c r="J57" s="78">
        <f>J54-J55</f>
        <v>4.7315732345114965</v>
      </c>
      <c r="K57" s="77"/>
      <c r="L57" s="77"/>
      <c r="M57" s="78">
        <f>M54-M55</f>
        <v>3.5774018457432546</v>
      </c>
      <c r="N57" s="77"/>
      <c r="O57" s="77"/>
      <c r="P57" s="78">
        <f>P54-P55</f>
        <v>3.2287829265915766</v>
      </c>
      <c r="Q57" s="77"/>
      <c r="R57" s="77"/>
      <c r="S57" s="78">
        <f>S54-S55</f>
        <v>3.6343533350850117</v>
      </c>
      <c r="T57" s="77"/>
      <c r="U57" s="77"/>
      <c r="V57" s="78">
        <f>V54-V55</f>
        <v>1.5050229990568915</v>
      </c>
      <c r="W57" s="77"/>
      <c r="X57" s="77"/>
      <c r="Y57" s="78">
        <f>Y54-Y55</f>
        <v>1.9963177907699601</v>
      </c>
      <c r="Z57" s="79"/>
      <c r="AB57" s="53" t="s">
        <v>946</v>
      </c>
      <c r="AC57" s="14">
        <f>(AC56/AC53)*100</f>
        <v>1.5020558865487053</v>
      </c>
      <c r="AD57" s="14">
        <f t="shared" ref="AD57:AI57" si="64">(AD56/AD53)*100</f>
        <v>-2.6933731088854644</v>
      </c>
      <c r="AE57" s="14">
        <f t="shared" si="64"/>
        <v>-2.4486856319768222</v>
      </c>
      <c r="AF57" s="14">
        <f t="shared" si="64"/>
        <v>5.7494958548062138</v>
      </c>
      <c r="AG57" s="14">
        <f t="shared" si="64"/>
        <v>2.8182701652089497</v>
      </c>
      <c r="AH57" s="14">
        <f t="shared" si="64"/>
        <v>-0.51851359436276689</v>
      </c>
      <c r="AI57" s="14">
        <f t="shared" si="64"/>
        <v>-5.4334301119867225</v>
      </c>
      <c r="AJ57" s="15">
        <f>(AJ56/AJ53)*100</f>
        <v>-10.675562969140799</v>
      </c>
      <c r="AL57" s="55" t="s">
        <v>525</v>
      </c>
      <c r="AM57" s="42">
        <v>3.1903171080382</v>
      </c>
      <c r="AN57" s="42">
        <v>3.5682837869545398</v>
      </c>
      <c r="AO57" s="42">
        <v>3.7568068808018098</v>
      </c>
      <c r="AP57" s="42">
        <v>3.40539746057634</v>
      </c>
      <c r="AQ57" s="42">
        <v>2.6804780447813901</v>
      </c>
      <c r="AR57" s="42">
        <v>2.5824648112066702</v>
      </c>
      <c r="AS57" s="42">
        <v>1.5363790002445601</v>
      </c>
      <c r="AT57" s="46">
        <v>1.09415545675369</v>
      </c>
      <c r="AV57" s="61" t="s">
        <v>935</v>
      </c>
      <c r="AW57" s="42">
        <v>4.1500000000000004</v>
      </c>
      <c r="AX57" s="42">
        <v>6.11</v>
      </c>
      <c r="AY57" s="42">
        <v>3.77</v>
      </c>
      <c r="AZ57" s="42">
        <v>5.19</v>
      </c>
      <c r="BA57" s="42">
        <v>5.45</v>
      </c>
      <c r="BB57" s="42">
        <v>1.86</v>
      </c>
      <c r="BC57" s="42">
        <v>3.77</v>
      </c>
      <c r="BD57" s="46">
        <v>3.15</v>
      </c>
      <c r="CJ57" s="44" t="s">
        <v>944</v>
      </c>
      <c r="CK57" s="42">
        <v>0.73</v>
      </c>
      <c r="CL57" s="42">
        <v>0.45</v>
      </c>
      <c r="CM57" s="42">
        <v>0.15</v>
      </c>
      <c r="CN57" s="42">
        <v>1.17</v>
      </c>
      <c r="CO57" s="42">
        <v>2.21</v>
      </c>
      <c r="CP57" s="42">
        <v>0.62</v>
      </c>
      <c r="CQ57" s="42">
        <v>0.28000000000000003</v>
      </c>
      <c r="CR57" s="46">
        <v>1.89</v>
      </c>
    </row>
    <row r="58" spans="2:96" ht="15.75" thickBot="1"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L58" s="56" t="s">
        <v>937</v>
      </c>
      <c r="AM58" s="49">
        <v>3.9180434782608602</v>
      </c>
      <c r="AN58" s="49">
        <v>4.2722916666666597</v>
      </c>
      <c r="AO58" s="49">
        <v>4.1553061224489696</v>
      </c>
      <c r="AP58" s="49">
        <v>4.3054166666666598</v>
      </c>
      <c r="AQ58" s="49">
        <v>3.6039999999999899</v>
      </c>
      <c r="AR58" s="49">
        <v>3.1255319148936098</v>
      </c>
      <c r="AS58" s="49">
        <v>1.63183673469387</v>
      </c>
      <c r="AT58" s="50">
        <v>1.2387234042553099</v>
      </c>
      <c r="AV58" s="56" t="s">
        <v>935</v>
      </c>
      <c r="AW58" s="42">
        <v>4.1399999999999997</v>
      </c>
      <c r="AX58" s="42">
        <v>6.05</v>
      </c>
      <c r="AY58" s="42">
        <v>3.79</v>
      </c>
      <c r="AZ58" s="42">
        <v>5.14</v>
      </c>
      <c r="BA58" s="42">
        <v>5.46</v>
      </c>
      <c r="BB58" s="42">
        <v>1.89</v>
      </c>
      <c r="BC58" s="42">
        <v>3.79</v>
      </c>
      <c r="BD58" s="46">
        <v>3.12</v>
      </c>
      <c r="CJ58" s="44" t="s">
        <v>944</v>
      </c>
      <c r="CK58" s="42">
        <v>0.85</v>
      </c>
      <c r="CL58" s="42">
        <v>0.45</v>
      </c>
      <c r="CM58" s="42">
        <v>0.15</v>
      </c>
      <c r="CN58" s="42">
        <v>2.59</v>
      </c>
      <c r="CO58" s="42">
        <v>2.21</v>
      </c>
      <c r="CP58" s="42">
        <v>0.73</v>
      </c>
      <c r="CQ58" s="42">
        <v>0.28000000000000003</v>
      </c>
      <c r="CR58" s="46">
        <v>3.56</v>
      </c>
    </row>
    <row r="59" spans="2:96" ht="45.75" thickBot="1">
      <c r="B59" s="80" t="s">
        <v>534</v>
      </c>
      <c r="C59" s="7"/>
      <c r="D59" s="8"/>
      <c r="E59" s="8">
        <v>3.04</v>
      </c>
      <c r="F59" s="8"/>
      <c r="G59" s="8"/>
      <c r="H59" s="8">
        <v>4.01</v>
      </c>
      <c r="I59" s="8"/>
      <c r="J59" s="8"/>
      <c r="K59" s="8">
        <v>5.24</v>
      </c>
      <c r="L59" s="8"/>
      <c r="M59" s="8"/>
      <c r="N59" s="8">
        <v>5.77</v>
      </c>
      <c r="O59" s="8"/>
      <c r="P59" s="8"/>
      <c r="Q59" s="8">
        <v>4.1900000000000004</v>
      </c>
      <c r="R59" s="8"/>
      <c r="S59" s="8"/>
      <c r="T59" s="8">
        <v>4.38</v>
      </c>
      <c r="U59" s="8"/>
      <c r="V59" s="8"/>
      <c r="W59" s="8">
        <v>1.55</v>
      </c>
      <c r="X59" s="8"/>
      <c r="Y59" s="8"/>
      <c r="Z59" s="9">
        <v>2.41</v>
      </c>
      <c r="AB59" s="82" t="s">
        <v>553</v>
      </c>
      <c r="AC59" s="8">
        <v>2.84</v>
      </c>
      <c r="AD59" s="8">
        <v>5.41</v>
      </c>
      <c r="AE59" s="8">
        <v>5.0999999999999996</v>
      </c>
      <c r="AF59" s="8">
        <v>6.17</v>
      </c>
      <c r="AG59" s="8">
        <v>5.33</v>
      </c>
      <c r="AH59" s="8">
        <v>3.65</v>
      </c>
      <c r="AI59" s="8">
        <v>2.94</v>
      </c>
      <c r="AJ59" s="9">
        <v>3.12</v>
      </c>
      <c r="AV59" s="55" t="s">
        <v>936</v>
      </c>
      <c r="AW59" s="57">
        <v>3.8379999999999899</v>
      </c>
      <c r="AX59" s="57">
        <v>5.9632727272727202</v>
      </c>
      <c r="AY59" s="57">
        <v>3.6119999999999899</v>
      </c>
      <c r="AZ59" s="57">
        <v>5.0389090909090903</v>
      </c>
      <c r="BA59" s="57">
        <v>5.3252830188679203</v>
      </c>
      <c r="BB59" s="57">
        <v>1.8139999999999901</v>
      </c>
      <c r="BC59" s="57">
        <v>3.3509090909090902</v>
      </c>
      <c r="BD59" s="58">
        <v>3.1873809523809502</v>
      </c>
      <c r="CJ59" s="44" t="s">
        <v>935</v>
      </c>
      <c r="CK59" s="42">
        <v>0</v>
      </c>
      <c r="CL59" s="42">
        <v>0.45</v>
      </c>
      <c r="CM59" s="42">
        <v>0.15</v>
      </c>
      <c r="CN59" s="42">
        <v>1.17</v>
      </c>
      <c r="CO59" s="42">
        <v>2.21</v>
      </c>
      <c r="CP59" s="42">
        <v>0.73</v>
      </c>
      <c r="CQ59" s="42">
        <v>0.28000000000000003</v>
      </c>
      <c r="CR59" s="46">
        <v>2.21</v>
      </c>
    </row>
    <row r="60" spans="2:96" ht="45">
      <c r="B60" s="34" t="s">
        <v>539</v>
      </c>
      <c r="C60" s="10"/>
      <c r="D60" s="11"/>
      <c r="E60" s="11">
        <f>E59-E54</f>
        <v>3.8043478260869623E-2</v>
      </c>
      <c r="F60" s="11"/>
      <c r="G60" s="11"/>
      <c r="H60" s="11">
        <f>H59-H54</f>
        <v>-0.38630434782608614</v>
      </c>
      <c r="I60" s="11"/>
      <c r="J60" s="11"/>
      <c r="K60" s="11">
        <f>K59-K54</f>
        <v>-5.5531914893617085E-2</v>
      </c>
      <c r="L60" s="11"/>
      <c r="M60" s="11"/>
      <c r="N60" s="11">
        <f>N59-N54</f>
        <v>0.40749999999999975</v>
      </c>
      <c r="O60" s="11"/>
      <c r="P60" s="11"/>
      <c r="Q60" s="11">
        <f>Q59-Q54</f>
        <v>-0.13363636363636378</v>
      </c>
      <c r="R60" s="11"/>
      <c r="S60" s="11"/>
      <c r="T60" s="11">
        <f>T59-T54</f>
        <v>-0.42733333333333512</v>
      </c>
      <c r="U60" s="11"/>
      <c r="V60" s="11"/>
      <c r="W60" s="11">
        <f>W59-W54</f>
        <v>-0.20775510204081615</v>
      </c>
      <c r="X60" s="11"/>
      <c r="Y60" s="11"/>
      <c r="Z60" s="12">
        <f>Z59-Z54</f>
        <v>0.15522727272727233</v>
      </c>
      <c r="AB60" s="52" t="s">
        <v>539</v>
      </c>
      <c r="AC60" s="11">
        <f>AC59-AC53</f>
        <v>2.6190476190497414E-3</v>
      </c>
      <c r="AD60" s="11">
        <f t="shared" ref="AD60:AI60" si="65">AD59-AD53</f>
        <v>-4.6976744186039809E-2</v>
      </c>
      <c r="AE60" s="11">
        <f t="shared" si="65"/>
        <v>-6.6511627906970183E-2</v>
      </c>
      <c r="AF60" s="11">
        <f t="shared" si="65"/>
        <v>0.29763157894737002</v>
      </c>
      <c r="AG60" s="11">
        <f>AG59-AG53</f>
        <v>0.1850000000000005</v>
      </c>
      <c r="AH60" s="11">
        <f t="shared" si="65"/>
        <v>-1.9024390243900235E-2</v>
      </c>
      <c r="AI60" s="11">
        <f t="shared" si="65"/>
        <v>-7.3749999999999982E-2</v>
      </c>
      <c r="AJ60" s="12">
        <f>AJ59-AJ53</f>
        <v>-0.30571428571427983</v>
      </c>
      <c r="AL60" s="82" t="s">
        <v>534</v>
      </c>
      <c r="AM60" s="8">
        <v>3.88</v>
      </c>
      <c r="AN60" s="8">
        <v>4.2300000000000004</v>
      </c>
      <c r="AO60" s="8">
        <v>3.88</v>
      </c>
      <c r="AP60" s="8">
        <v>4.43</v>
      </c>
      <c r="AQ60" s="8">
        <v>3.58</v>
      </c>
      <c r="AR60" s="8">
        <v>3.17</v>
      </c>
      <c r="AS60" s="8">
        <v>1.72</v>
      </c>
      <c r="AT60" s="9">
        <v>1.1399999999999999</v>
      </c>
      <c r="AV60" s="55" t="s">
        <v>515</v>
      </c>
      <c r="AW60" s="42">
        <v>1.00329710998741</v>
      </c>
      <c r="AX60" s="42">
        <v>0.54635670847218598</v>
      </c>
      <c r="AY60" s="42">
        <v>0.51864298458047697</v>
      </c>
      <c r="AZ60" s="42">
        <v>0.807414893296721</v>
      </c>
      <c r="BA60" s="42">
        <v>0.47046185165492899</v>
      </c>
      <c r="BB60" s="42">
        <v>0.17447688046896501</v>
      </c>
      <c r="BC60" s="42">
        <v>1.0125526208140201</v>
      </c>
      <c r="BD60" s="46">
        <v>0.13746098188922501</v>
      </c>
      <c r="CJ60" s="44" t="s">
        <v>935</v>
      </c>
      <c r="CK60" s="42">
        <v>0.85</v>
      </c>
      <c r="CL60" s="42">
        <v>0.39</v>
      </c>
      <c r="CM60" s="42">
        <v>0.15</v>
      </c>
      <c r="CN60" s="42">
        <v>1.17</v>
      </c>
      <c r="CO60" s="42">
        <v>1.89</v>
      </c>
      <c r="CP60" s="42">
        <v>0.62</v>
      </c>
      <c r="CQ60" s="42">
        <v>0.33</v>
      </c>
      <c r="CR60" s="46">
        <v>2.21</v>
      </c>
    </row>
    <row r="61" spans="2:96" ht="15.75" thickBot="1">
      <c r="B61" s="36" t="s">
        <v>544</v>
      </c>
      <c r="C61" s="13"/>
      <c r="D61" s="14"/>
      <c r="E61" s="14">
        <f>(E60/E54)*100</f>
        <v>1.267289448910133</v>
      </c>
      <c r="F61" s="14"/>
      <c r="G61" s="14"/>
      <c r="H61" s="14">
        <f>(H60/H54)*100</f>
        <v>-8.7870246748751253</v>
      </c>
      <c r="I61" s="14"/>
      <c r="J61" s="14"/>
      <c r="K61" s="14">
        <f>(K60/K54)*100</f>
        <v>-1.0486560327855692</v>
      </c>
      <c r="L61" s="14"/>
      <c r="M61" s="14"/>
      <c r="N61" s="14">
        <f>(N60/N54)*100</f>
        <v>7.5990675990675953</v>
      </c>
      <c r="O61" s="14"/>
      <c r="P61" s="14"/>
      <c r="Q61" s="14">
        <f>(Q60/Q54)*100</f>
        <v>-3.0908326324642585</v>
      </c>
      <c r="R61" s="14"/>
      <c r="S61" s="14"/>
      <c r="T61" s="14">
        <f>(T60/T54)*100</f>
        <v>-8.8891970600471844</v>
      </c>
      <c r="U61" s="14"/>
      <c r="V61" s="14"/>
      <c r="W61" s="14">
        <f>(W60/W54)*100</f>
        <v>-11.819342853825605</v>
      </c>
      <c r="X61" s="14"/>
      <c r="Y61" s="14"/>
      <c r="Z61" s="15">
        <f>(Z60/Z54)*100</f>
        <v>6.8843866545710926</v>
      </c>
      <c r="AB61" s="53" t="s">
        <v>544</v>
      </c>
      <c r="AC61" s="14">
        <f>(AC60/AC53)*100</f>
        <v>9.2305110346638602E-2</v>
      </c>
      <c r="AD61" s="14">
        <f>(AD60/AD53)*100</f>
        <v>-0.86085659492849531</v>
      </c>
      <c r="AE61" s="14">
        <f t="shared" ref="AE61:AI61" si="66">(AE60/AE53)*100</f>
        <v>-1.2873604609289349</v>
      </c>
      <c r="AF61" s="14">
        <f>(AF60/AF53)*100</f>
        <v>5.0683396818283954</v>
      </c>
      <c r="AG61" s="14">
        <f t="shared" si="66"/>
        <v>3.5957240038872786</v>
      </c>
      <c r="AH61" s="14">
        <f>(AH60/AH53)*100</f>
        <v>-0.51851359436276689</v>
      </c>
      <c r="AI61" s="14">
        <f t="shared" si="66"/>
        <v>-2.4471173786810447</v>
      </c>
      <c r="AJ61" s="15">
        <f>(AJ60/AJ53)*100</f>
        <v>-8.924103419516106</v>
      </c>
      <c r="AL61" s="52" t="s">
        <v>945</v>
      </c>
      <c r="AM61" s="11">
        <f>AM60-AM58</f>
        <v>-3.8043478260860297E-2</v>
      </c>
      <c r="AN61" s="11">
        <f t="shared" ref="AN61" si="67">AN60-AN58</f>
        <v>-4.2291666666659289E-2</v>
      </c>
      <c r="AO61" s="11">
        <f>AO60-AO58</f>
        <v>-0.27530612244896968</v>
      </c>
      <c r="AP61" s="11">
        <f t="shared" ref="AP61" si="68">AP60-AP58</f>
        <v>0.12458333333333993</v>
      </c>
      <c r="AQ61" s="11">
        <f>AQ60-AQ58</f>
        <v>-2.3999999999989807E-2</v>
      </c>
      <c r="AR61" s="11">
        <f>AR60-AR58</f>
        <v>4.4468085106390109E-2</v>
      </c>
      <c r="AS61" s="11">
        <f>AS60-AS58</f>
        <v>8.8163265306129945E-2</v>
      </c>
      <c r="AT61" s="12">
        <f t="shared" ref="AT61" si="69">AT60-AT58</f>
        <v>-9.872340425531001E-2</v>
      </c>
      <c r="AV61" s="55" t="s">
        <v>520</v>
      </c>
      <c r="AW61" s="42">
        <v>4.8412971099873996</v>
      </c>
      <c r="AX61" s="42">
        <v>6.5096294357449098</v>
      </c>
      <c r="AY61" s="42">
        <v>4.1306429845804704</v>
      </c>
      <c r="AZ61" s="42">
        <v>5.8463239842058101</v>
      </c>
      <c r="BA61" s="42">
        <v>5.7957448705228503</v>
      </c>
      <c r="BB61" s="42">
        <v>1.9884768804689601</v>
      </c>
      <c r="BC61" s="42">
        <v>4.3634617117231098</v>
      </c>
      <c r="BD61" s="46">
        <v>3.3248419342701698</v>
      </c>
      <c r="CJ61" s="44" t="s">
        <v>935</v>
      </c>
      <c r="CK61" s="42">
        <v>0.85</v>
      </c>
      <c r="CL61" s="42">
        <v>7.88</v>
      </c>
      <c r="CM61" s="42">
        <v>0.15</v>
      </c>
      <c r="CN61" s="42">
        <v>1.17</v>
      </c>
      <c r="CO61" s="42">
        <v>0</v>
      </c>
      <c r="CP61" s="42">
        <v>0.73</v>
      </c>
      <c r="CQ61" s="42">
        <v>0.24</v>
      </c>
      <c r="CR61" s="46">
        <v>3.04</v>
      </c>
    </row>
    <row r="62" spans="2:96" ht="15.75" thickBot="1">
      <c r="AL62" s="53" t="s">
        <v>946</v>
      </c>
      <c r="AM62" s="14">
        <f>(AM61/AM58)*100</f>
        <v>-0.97098152360848788</v>
      </c>
      <c r="AN62" s="14">
        <f t="shared" ref="AN62" si="70">(AN61/AN58)*100</f>
        <v>-0.98990588579492333</v>
      </c>
      <c r="AO62" s="14">
        <f>(AO61/AO58)*100</f>
        <v>-6.625411325573177</v>
      </c>
      <c r="AP62" s="14">
        <f t="shared" ref="AP62" si="71">(AP61/AP58)*100</f>
        <v>2.8936417303785573</v>
      </c>
      <c r="AQ62" s="14">
        <f>(AQ61/AQ58)*100</f>
        <v>-0.66592674805743268</v>
      </c>
      <c r="AR62" s="14">
        <f t="shared" ref="AR62" si="72">(AR61/AR58)*100</f>
        <v>1.4227365554801497</v>
      </c>
      <c r="AS62" s="14">
        <f>(AS61/AS58)*100</f>
        <v>5.4027013506758221</v>
      </c>
      <c r="AT62" s="15">
        <f>(AT61/AT58)*100</f>
        <v>-7.9697698385427769</v>
      </c>
      <c r="AV62" s="55" t="s">
        <v>525</v>
      </c>
      <c r="AW62" s="42">
        <v>2.8347028900125801</v>
      </c>
      <c r="AX62" s="42">
        <v>5.4169160188005403</v>
      </c>
      <c r="AY62" s="42">
        <v>3.09335701541952</v>
      </c>
      <c r="AZ62" s="42">
        <v>4.2314941976123697</v>
      </c>
      <c r="BA62" s="42">
        <v>4.8548211672129904</v>
      </c>
      <c r="BB62" s="42">
        <v>1.63952311953103</v>
      </c>
      <c r="BC62" s="42">
        <v>2.3383564700950599</v>
      </c>
      <c r="BD62" s="46">
        <v>3.0499199704917199</v>
      </c>
      <c r="CJ62" s="44" t="s">
        <v>935</v>
      </c>
      <c r="CK62" s="42">
        <v>0.85</v>
      </c>
      <c r="CL62" s="42">
        <v>1.37</v>
      </c>
      <c r="CM62" s="42">
        <v>0.11</v>
      </c>
      <c r="CN62" s="42">
        <v>9.24</v>
      </c>
      <c r="CO62" s="42">
        <v>1.89</v>
      </c>
      <c r="CP62" s="42">
        <v>0.39</v>
      </c>
      <c r="CQ62" s="42">
        <v>0.39</v>
      </c>
      <c r="CR62" s="46">
        <v>3.56</v>
      </c>
    </row>
    <row r="63" spans="2:96" ht="30.75" thickBot="1">
      <c r="B63" s="81" t="s">
        <v>553</v>
      </c>
      <c r="C63" s="7"/>
      <c r="D63" s="8"/>
      <c r="E63" s="8">
        <v>2.99</v>
      </c>
      <c r="F63" s="8"/>
      <c r="G63" s="8"/>
      <c r="H63" s="8">
        <v>4.18</v>
      </c>
      <c r="I63" s="8"/>
      <c r="J63" s="8"/>
      <c r="K63" s="8">
        <v>5.28</v>
      </c>
      <c r="L63" s="8"/>
      <c r="M63" s="8"/>
      <c r="N63" s="8">
        <v>5.69</v>
      </c>
      <c r="O63" s="8"/>
      <c r="P63" s="8"/>
      <c r="Q63" s="8">
        <v>4.22</v>
      </c>
      <c r="R63" s="8"/>
      <c r="S63" s="8"/>
      <c r="T63" s="8">
        <v>4.3899999999999997</v>
      </c>
      <c r="U63" s="8"/>
      <c r="V63" s="8"/>
      <c r="W63" s="8">
        <v>1.62</v>
      </c>
      <c r="X63" s="8"/>
      <c r="Y63" s="8"/>
      <c r="Z63" s="9">
        <v>2.44</v>
      </c>
      <c r="AB63" s="82" t="s">
        <v>568</v>
      </c>
      <c r="AC63" s="7">
        <v>2.88</v>
      </c>
      <c r="AD63" s="8">
        <v>5.38</v>
      </c>
      <c r="AE63" s="8">
        <v>5.0999999999999996</v>
      </c>
      <c r="AF63" s="8">
        <v>6.21</v>
      </c>
      <c r="AG63" s="8">
        <v>5.33</v>
      </c>
      <c r="AH63" s="8">
        <v>3.71</v>
      </c>
      <c r="AI63" s="8">
        <v>2.87</v>
      </c>
      <c r="AJ63" s="9">
        <v>3.05</v>
      </c>
      <c r="AV63" s="56" t="s">
        <v>937</v>
      </c>
      <c r="AW63" s="49">
        <v>4.1537999999999897</v>
      </c>
      <c r="AX63" s="49">
        <v>6.0915384615384598</v>
      </c>
      <c r="AY63" s="49">
        <v>3.7589999999999999</v>
      </c>
      <c r="AZ63" s="49">
        <v>5.1698000000000004</v>
      </c>
      <c r="BA63" s="49">
        <v>5.4377551020408097</v>
      </c>
      <c r="BB63" s="49">
        <v>1.8477358490566</v>
      </c>
      <c r="BC63" s="49">
        <v>3.72583333333333</v>
      </c>
      <c r="BD63" s="50">
        <v>3.1673170731707301</v>
      </c>
      <c r="CJ63" s="44" t="s">
        <v>935</v>
      </c>
      <c r="CK63" s="49">
        <v>0.85</v>
      </c>
      <c r="CL63" s="49">
        <v>0.45</v>
      </c>
      <c r="CM63" s="49">
        <v>0.15</v>
      </c>
      <c r="CN63" s="49">
        <v>1.17</v>
      </c>
      <c r="CO63" s="49">
        <v>2.21</v>
      </c>
      <c r="CP63" s="49">
        <v>0.85</v>
      </c>
      <c r="CQ63" s="49">
        <v>0.33</v>
      </c>
      <c r="CR63" s="50">
        <v>1.89</v>
      </c>
    </row>
    <row r="64" spans="2:96" ht="30.75" thickBot="1">
      <c r="B64" s="10" t="s">
        <v>539</v>
      </c>
      <c r="C64" s="10"/>
      <c r="D64" s="11"/>
      <c r="E64" s="11">
        <f>E63-E54</f>
        <v>-1.1956521739130199E-2</v>
      </c>
      <c r="F64" s="11"/>
      <c r="G64" s="11"/>
      <c r="H64" s="11">
        <f>H63-H54</f>
        <v>-0.21630434782608621</v>
      </c>
      <c r="I64" s="11"/>
      <c r="J64" s="11"/>
      <c r="K64" s="11">
        <f>K63-K54</f>
        <v>-1.5531914893617049E-2</v>
      </c>
      <c r="L64" s="11"/>
      <c r="M64" s="11"/>
      <c r="N64" s="11">
        <f>N63-N54</f>
        <v>0.32750000000000057</v>
      </c>
      <c r="O64" s="11"/>
      <c r="P64" s="11"/>
      <c r="Q64" s="11">
        <f>Q63-Q54</f>
        <v>-0.10363636363636441</v>
      </c>
      <c r="R64" s="11"/>
      <c r="S64" s="11"/>
      <c r="T64" s="11">
        <f>T63-T54</f>
        <v>-0.41733333333333533</v>
      </c>
      <c r="U64" s="11"/>
      <c r="V64" s="11"/>
      <c r="W64" s="11">
        <f>W63-W54</f>
        <v>-0.13775510204081609</v>
      </c>
      <c r="X64" s="11"/>
      <c r="Y64" s="11"/>
      <c r="Z64" s="12">
        <f>Z63-Z54</f>
        <v>0.18522727272727213</v>
      </c>
      <c r="AB64" s="52" t="s">
        <v>539</v>
      </c>
      <c r="AC64" s="10">
        <f>AC63-AC53</f>
        <v>4.2619047619049777E-2</v>
      </c>
      <c r="AD64" s="11">
        <f t="shared" ref="AD64:AJ64" si="73">AD63-AD53</f>
        <v>-7.6976744186040058E-2</v>
      </c>
      <c r="AE64" s="11">
        <f t="shared" si="73"/>
        <v>-6.6511627906970183E-2</v>
      </c>
      <c r="AF64" s="11">
        <f t="shared" si="73"/>
        <v>0.33763157894737006</v>
      </c>
      <c r="AG64" s="11">
        <f t="shared" si="73"/>
        <v>0.1850000000000005</v>
      </c>
      <c r="AH64" s="11">
        <f t="shared" si="73"/>
        <v>4.0975609756099818E-2</v>
      </c>
      <c r="AI64" s="11">
        <f t="shared" si="73"/>
        <v>-0.14374999999999982</v>
      </c>
      <c r="AJ64" s="12">
        <f t="shared" si="73"/>
        <v>-0.37571428571428012</v>
      </c>
      <c r="AL64" s="82" t="s">
        <v>553</v>
      </c>
      <c r="AM64" s="8">
        <v>3.86</v>
      </c>
      <c r="AN64" s="8">
        <v>4.24</v>
      </c>
      <c r="AO64" s="8">
        <v>3.37</v>
      </c>
      <c r="AP64" s="8">
        <v>4.38</v>
      </c>
      <c r="AQ64" s="8">
        <v>3.57</v>
      </c>
      <c r="AR64" s="8">
        <v>3.19</v>
      </c>
      <c r="AS64" s="8">
        <v>1.74</v>
      </c>
      <c r="AT64" s="9">
        <v>1.1200000000000001</v>
      </c>
      <c r="CJ64" s="54" t="s">
        <v>936</v>
      </c>
      <c r="CK64" s="42">
        <v>0.81416666666666604</v>
      </c>
      <c r="CL64" s="42">
        <v>1.3941666666666599</v>
      </c>
      <c r="CM64" s="42">
        <v>0.151</v>
      </c>
      <c r="CN64" s="42">
        <v>2.0272340425531898</v>
      </c>
      <c r="CO64" s="42">
        <v>1.8790909090909</v>
      </c>
      <c r="CP64" s="42">
        <v>0.62249999999999905</v>
      </c>
      <c r="CQ64" s="42">
        <v>0.30866666666666598</v>
      </c>
      <c r="CR64" s="46">
        <v>2.4589999999999899</v>
      </c>
    </row>
    <row r="65" spans="2:96" ht="45.75" thickBot="1">
      <c r="B65" s="13" t="s">
        <v>544</v>
      </c>
      <c r="C65" s="13"/>
      <c r="D65" s="14"/>
      <c r="E65" s="14">
        <f>(E64/E54)*100</f>
        <v>-0.39829096965746191</v>
      </c>
      <c r="F65" s="14"/>
      <c r="G65" s="14"/>
      <c r="H65" s="14">
        <f t="shared" ref="H65:Z65" si="74">(H64/H54)*100</f>
        <v>-4.9201404341591104</v>
      </c>
      <c r="I65" s="14"/>
      <c r="J65" s="14"/>
      <c r="K65" s="14">
        <f>(K64/K54)*100</f>
        <v>-0.29330226204347354</v>
      </c>
      <c r="L65" s="14"/>
      <c r="M65" s="14"/>
      <c r="N65" s="14">
        <f>(N64/N54)*100</f>
        <v>6.1072261072261176</v>
      </c>
      <c r="O65" s="14"/>
      <c r="P65" s="14"/>
      <c r="Q65" s="14">
        <f t="shared" si="74"/>
        <v>-2.3969722455845428</v>
      </c>
      <c r="R65" s="14"/>
      <c r="S65" s="14"/>
      <c r="T65" s="14">
        <f>(T64/T54)*100</f>
        <v>-8.6811815282208116</v>
      </c>
      <c r="U65" s="14"/>
      <c r="V65" s="14"/>
      <c r="W65" s="14">
        <f>(W64/W54)*100</f>
        <v>-7.8369905956112724</v>
      </c>
      <c r="X65" s="14"/>
      <c r="Y65" s="14"/>
      <c r="Z65" s="15">
        <f t="shared" si="74"/>
        <v>8.2148976917649144</v>
      </c>
      <c r="AB65" s="53" t="s">
        <v>544</v>
      </c>
      <c r="AC65" s="13">
        <f>(AC64/AC53)*100</f>
        <v>1.5020558865487053</v>
      </c>
      <c r="AD65" s="14">
        <f t="shared" ref="AD65:AJ65" si="75">(AD64/AD53)*100</f>
        <v>-1.4106115491155877</v>
      </c>
      <c r="AE65" s="14">
        <f t="shared" si="75"/>
        <v>-1.2873604609289349</v>
      </c>
      <c r="AF65" s="14">
        <f t="shared" si="75"/>
        <v>5.7494958548062138</v>
      </c>
      <c r="AG65" s="14">
        <f t="shared" si="75"/>
        <v>3.5957240038872786</v>
      </c>
      <c r="AH65" s="14">
        <f t="shared" si="75"/>
        <v>1.1167985109353809</v>
      </c>
      <c r="AI65" s="14">
        <f t="shared" si="75"/>
        <v>-4.7698050601410147</v>
      </c>
      <c r="AJ65" s="15">
        <f t="shared" si="75"/>
        <v>-10.967472894078254</v>
      </c>
      <c r="AL65" s="52" t="s">
        <v>539</v>
      </c>
      <c r="AM65" s="11">
        <f>AM64-AM58</f>
        <v>-5.8043478260860315E-2</v>
      </c>
      <c r="AN65" s="11">
        <f t="shared" ref="AN65" si="76">AN64-AN58</f>
        <v>-3.2291666666659502E-2</v>
      </c>
      <c r="AO65" s="11">
        <f>AO64-AO58</f>
        <v>-0.78530612244896947</v>
      </c>
      <c r="AP65" s="11">
        <f t="shared" ref="AP65" si="77">AP64-AP58</f>
        <v>7.4583333333340107E-2</v>
      </c>
      <c r="AQ65" s="11">
        <f>AQ64-AQ58</f>
        <v>-3.3999999999990038E-2</v>
      </c>
      <c r="AR65" s="11">
        <f t="shared" ref="AR65" si="78">AR64-AR58</f>
        <v>6.4468085106390127E-2</v>
      </c>
      <c r="AS65" s="11">
        <f>AS64-AS58</f>
        <v>0.10816326530612996</v>
      </c>
      <c r="AT65" s="12">
        <f>AT64-AT58</f>
        <v>-0.11872340425530981</v>
      </c>
      <c r="AV65" s="82" t="s">
        <v>534</v>
      </c>
      <c r="AW65" s="8">
        <v>4.2</v>
      </c>
      <c r="AX65" s="8">
        <v>6.08</v>
      </c>
      <c r="AY65" s="8">
        <v>3.62</v>
      </c>
      <c r="AZ65" s="8">
        <v>5.36</v>
      </c>
      <c r="BA65" s="8">
        <v>5.44</v>
      </c>
      <c r="BB65" s="8">
        <v>1.82</v>
      </c>
      <c r="BC65" s="8">
        <v>3.76</v>
      </c>
      <c r="BD65" s="9">
        <v>2.87</v>
      </c>
      <c r="CJ65" s="55" t="s">
        <v>515</v>
      </c>
      <c r="CK65" s="42">
        <v>7.7131741556609207E-2</v>
      </c>
      <c r="CL65" s="42">
        <v>2.2631543559573801</v>
      </c>
      <c r="CM65" s="42">
        <v>3.6226141573915002E-2</v>
      </c>
      <c r="CN65" s="42">
        <v>1.9725679365672</v>
      </c>
      <c r="CO65" s="42">
        <v>0.45296306382538698</v>
      </c>
      <c r="CP65" s="42">
        <v>0.167924834375383</v>
      </c>
      <c r="CQ65" s="42">
        <v>4.9209303546743598E-2</v>
      </c>
      <c r="CR65" s="46">
        <v>0.64524078193079704</v>
      </c>
    </row>
    <row r="66" spans="2:96" ht="15.75" thickBot="1">
      <c r="AL66" s="53" t="s">
        <v>544</v>
      </c>
      <c r="AM66" s="14">
        <f t="shared" ref="AM66:AS66" si="79">(AM65/AM58)*100</f>
        <v>-1.4814403817342179</v>
      </c>
      <c r="AN66" s="14">
        <f t="shared" si="79"/>
        <v>-0.75583946944928981</v>
      </c>
      <c r="AO66" s="14">
        <f>(AO65/AO58)*100</f>
        <v>-18.898875300819999</v>
      </c>
      <c r="AP66" s="14">
        <f t="shared" si="79"/>
        <v>1.732313945611309</v>
      </c>
      <c r="AQ66" s="14">
        <f t="shared" si="79"/>
        <v>-0.94339622641482057</v>
      </c>
      <c r="AR66" s="14">
        <f>(AR65/AR58)*100</f>
        <v>2.0626276378491104</v>
      </c>
      <c r="AS66" s="14">
        <f t="shared" si="79"/>
        <v>6.6283141570790312</v>
      </c>
      <c r="AT66" s="15">
        <f>(AT65/AT58)*100</f>
        <v>-9.5843352799718353</v>
      </c>
      <c r="AV66" s="52" t="s">
        <v>539</v>
      </c>
      <c r="AW66" s="11">
        <f>AW65-AW63</f>
        <v>4.6200000000010455E-2</v>
      </c>
      <c r="AX66" s="11">
        <f t="shared" ref="AX66:BD66" si="80">AX65-AX63</f>
        <v>-1.1538461538459721E-2</v>
      </c>
      <c r="AY66" s="11">
        <f t="shared" si="80"/>
        <v>-0.13899999999999979</v>
      </c>
      <c r="AZ66" s="11">
        <f t="shared" si="80"/>
        <v>0.19019999999999992</v>
      </c>
      <c r="BA66" s="11">
        <f t="shared" si="80"/>
        <v>2.2448979591906948E-3</v>
      </c>
      <c r="BB66" s="11">
        <f t="shared" si="80"/>
        <v>-2.7735849056599982E-2</v>
      </c>
      <c r="BC66" s="11">
        <f t="shared" si="80"/>
        <v>3.4166666666669787E-2</v>
      </c>
      <c r="BD66" s="12">
        <f t="shared" si="80"/>
        <v>-0.29731707317072997</v>
      </c>
      <c r="CJ66" s="55" t="s">
        <v>520</v>
      </c>
      <c r="CK66" s="42">
        <v>0.891298408223276</v>
      </c>
      <c r="CL66" s="42">
        <v>3.6573210226240498</v>
      </c>
      <c r="CM66" s="42">
        <v>0.18722614157391501</v>
      </c>
      <c r="CN66" s="42">
        <v>3.9998019791204</v>
      </c>
      <c r="CO66" s="42">
        <v>2.3320539729162899</v>
      </c>
      <c r="CP66" s="42">
        <v>0.79042483437538302</v>
      </c>
      <c r="CQ66" s="42">
        <v>0.35787597021341</v>
      </c>
      <c r="CR66" s="46">
        <v>3.1042407819307898</v>
      </c>
    </row>
    <row r="67" spans="2:96" ht="30.75" thickBot="1">
      <c r="B67" s="81" t="s">
        <v>568</v>
      </c>
      <c r="C67" s="7"/>
      <c r="D67" s="8"/>
      <c r="E67" s="8">
        <v>2.99</v>
      </c>
      <c r="F67" s="8"/>
      <c r="G67" s="8"/>
      <c r="H67" s="8">
        <v>4.1900000000000004</v>
      </c>
      <c r="I67" s="8"/>
      <c r="J67" s="8"/>
      <c r="K67" s="8">
        <v>5.3</v>
      </c>
      <c r="L67" s="8"/>
      <c r="M67" s="8"/>
      <c r="N67" s="8">
        <v>5.73</v>
      </c>
      <c r="O67" s="8"/>
      <c r="P67" s="8"/>
      <c r="Q67" s="8">
        <v>4.24</v>
      </c>
      <c r="R67" s="8"/>
      <c r="S67" s="8"/>
      <c r="T67" s="8">
        <v>4.45</v>
      </c>
      <c r="U67" s="8"/>
      <c r="V67" s="8"/>
      <c r="W67" s="8">
        <v>1.61</v>
      </c>
      <c r="X67" s="8"/>
      <c r="Y67" s="8"/>
      <c r="Z67" s="9">
        <v>2.42</v>
      </c>
      <c r="AV67" s="53" t="s">
        <v>544</v>
      </c>
      <c r="AW67" s="14">
        <f>(AW66/AW63)*100</f>
        <v>1.1122345803844809</v>
      </c>
      <c r="AX67" s="14">
        <f t="shared" ref="AX67:BD67" si="81">(AX66/AX63)*100</f>
        <v>-0.18941785578984266</v>
      </c>
      <c r="AY67" s="14">
        <f t="shared" si="81"/>
        <v>-3.6977919659483849</v>
      </c>
      <c r="AZ67" s="14">
        <f t="shared" si="81"/>
        <v>3.6790591512244166</v>
      </c>
      <c r="BA67" s="14">
        <f t="shared" si="81"/>
        <v>4.1283542878718028E-2</v>
      </c>
      <c r="BB67" s="14">
        <f t="shared" si="81"/>
        <v>-1.5010721944243868</v>
      </c>
      <c r="BC67" s="14">
        <f t="shared" si="81"/>
        <v>0.91702080071580805</v>
      </c>
      <c r="BD67" s="15">
        <f t="shared" si="81"/>
        <v>-9.3870321885106538</v>
      </c>
      <c r="CJ67" s="55" t="s">
        <v>525</v>
      </c>
      <c r="CK67" s="42">
        <v>0.73703492511005697</v>
      </c>
      <c r="CL67" s="42">
        <v>-0.86898768929071801</v>
      </c>
      <c r="CM67" s="42">
        <v>0.11477385842608499</v>
      </c>
      <c r="CN67" s="42">
        <v>5.4666105985982698E-2</v>
      </c>
      <c r="CO67" s="42">
        <v>1.4261278452655199</v>
      </c>
      <c r="CP67" s="42">
        <v>0.45457516562461597</v>
      </c>
      <c r="CQ67" s="42">
        <v>0.25945736311992301</v>
      </c>
      <c r="CR67" s="46">
        <v>1.8137592180691999</v>
      </c>
    </row>
    <row r="68" spans="2:96" ht="30.75" thickBot="1">
      <c r="B68" s="10" t="s">
        <v>539</v>
      </c>
      <c r="C68" s="10"/>
      <c r="D68" s="11"/>
      <c r="E68" s="11">
        <f>E67-E54</f>
        <v>-1.1956521739130199E-2</v>
      </c>
      <c r="F68" s="11"/>
      <c r="G68" s="11"/>
      <c r="H68" s="11">
        <f t="shared" ref="H68:Z68" si="82">H67-H54</f>
        <v>-0.20630434782608553</v>
      </c>
      <c r="I68" s="11"/>
      <c r="J68" s="11"/>
      <c r="K68" s="11">
        <f t="shared" si="82"/>
        <v>4.4680851063825244E-3</v>
      </c>
      <c r="L68" s="11"/>
      <c r="M68" s="11"/>
      <c r="N68" s="11">
        <f t="shared" si="82"/>
        <v>0.3675000000000006</v>
      </c>
      <c r="O68" s="11"/>
      <c r="P68" s="11"/>
      <c r="Q68" s="11">
        <f t="shared" si="82"/>
        <v>-8.3636363636363953E-2</v>
      </c>
      <c r="R68" s="11"/>
      <c r="S68" s="11"/>
      <c r="T68" s="11">
        <f t="shared" si="82"/>
        <v>-0.35733333333333483</v>
      </c>
      <c r="U68" s="11"/>
      <c r="V68" s="11"/>
      <c r="W68" s="11">
        <f t="shared" si="82"/>
        <v>-0.1477551020408161</v>
      </c>
      <c r="X68" s="11"/>
      <c r="Y68" s="11"/>
      <c r="Z68" s="12">
        <f t="shared" si="82"/>
        <v>0.16522727272727211</v>
      </c>
      <c r="AL68" s="82" t="s">
        <v>568</v>
      </c>
      <c r="AM68" s="8">
        <v>3.83</v>
      </c>
      <c r="AN68" s="8">
        <v>4.29</v>
      </c>
      <c r="AO68" s="8">
        <v>3.95</v>
      </c>
      <c r="AP68" s="8">
        <v>4.43</v>
      </c>
      <c r="AQ68" s="8">
        <v>3.64</v>
      </c>
      <c r="AR68" s="8">
        <v>3.23</v>
      </c>
      <c r="AS68" s="8">
        <v>1.7</v>
      </c>
      <c r="AT68" s="9">
        <v>1.1299999999999999</v>
      </c>
      <c r="AV68" s="1"/>
      <c r="AW68" s="1"/>
      <c r="AX68" s="1"/>
      <c r="AY68" s="1"/>
      <c r="AZ68" s="1"/>
      <c r="BA68" s="1"/>
      <c r="BB68" s="1"/>
      <c r="BC68" s="1"/>
      <c r="BD68" s="1"/>
      <c r="CJ68" s="56" t="s">
        <v>937</v>
      </c>
      <c r="CK68" s="49">
        <v>0.85</v>
      </c>
      <c r="CL68" s="49">
        <v>0.58132075471697997</v>
      </c>
      <c r="CM68" s="49">
        <v>0.14777777777777701</v>
      </c>
      <c r="CN68" s="49">
        <v>1.5354545454545401</v>
      </c>
      <c r="CO68" s="49">
        <v>2.0542553191489299</v>
      </c>
      <c r="CP68" s="49">
        <v>0.70340909090909098</v>
      </c>
      <c r="CQ68" s="49">
        <v>0.29888888888888798</v>
      </c>
      <c r="CR68" s="50">
        <v>2.1959574468085101</v>
      </c>
    </row>
    <row r="69" spans="2:96" ht="30.75" thickBot="1">
      <c r="B69" s="13" t="s">
        <v>544</v>
      </c>
      <c r="C69" s="13"/>
      <c r="D69" s="14"/>
      <c r="E69" s="14">
        <f>(E68/E54)*100</f>
        <v>-0.39829096965746191</v>
      </c>
      <c r="F69" s="14"/>
      <c r="G69" s="14"/>
      <c r="H69" s="14">
        <f t="shared" ref="H69:Z69" si="83">(H68/H54)*100</f>
        <v>-4.6926766552934467</v>
      </c>
      <c r="I69" s="14"/>
      <c r="J69" s="14"/>
      <c r="K69" s="14">
        <f>(K68/K54)*100</f>
        <v>8.4374623327565845E-2</v>
      </c>
      <c r="L69" s="14"/>
      <c r="M69" s="14"/>
      <c r="N69" s="14">
        <f t="shared" si="83"/>
        <v>6.8531468531468649</v>
      </c>
      <c r="O69" s="14"/>
      <c r="P69" s="14"/>
      <c r="Q69" s="14">
        <f t="shared" si="83"/>
        <v>-1.934398654331378</v>
      </c>
      <c r="R69" s="14"/>
      <c r="S69" s="14"/>
      <c r="T69" s="14">
        <f t="shared" si="83"/>
        <v>-7.4330883372625447</v>
      </c>
      <c r="U69" s="14"/>
      <c r="V69" s="14"/>
      <c r="W69" s="14">
        <f t="shared" si="83"/>
        <v>-8.405898061070463</v>
      </c>
      <c r="X69" s="14"/>
      <c r="Y69" s="14"/>
      <c r="Z69" s="15">
        <f t="shared" si="83"/>
        <v>7.3278903336356933</v>
      </c>
      <c r="AL69" s="52" t="s">
        <v>539</v>
      </c>
      <c r="AM69" s="11">
        <f>AM68-AM58</f>
        <v>-8.804347826086012E-2</v>
      </c>
      <c r="AN69" s="11">
        <f t="shared" ref="AN69:AS69" si="84">AN68-AN58</f>
        <v>1.770833333334032E-2</v>
      </c>
      <c r="AO69" s="11">
        <f>AO68-AO58</f>
        <v>-0.2053061224489694</v>
      </c>
      <c r="AP69" s="11">
        <f t="shared" si="84"/>
        <v>0.12458333333333993</v>
      </c>
      <c r="AQ69" s="11">
        <f>AQ68-AQ58</f>
        <v>3.6000000000010246E-2</v>
      </c>
      <c r="AR69" s="11">
        <f t="shared" si="84"/>
        <v>0.10446808510639016</v>
      </c>
      <c r="AS69" s="11">
        <f t="shared" si="84"/>
        <v>6.8163265306129928E-2</v>
      </c>
      <c r="AT69" s="12">
        <f>AT68-AT58</f>
        <v>-0.10872340425531002</v>
      </c>
      <c r="AV69" s="82" t="s">
        <v>553</v>
      </c>
      <c r="AW69" s="8">
        <v>4.1399999999999997</v>
      </c>
      <c r="AX69" s="8">
        <v>6.08</v>
      </c>
      <c r="AY69" s="8">
        <v>3.66</v>
      </c>
      <c r="AZ69" s="8">
        <v>5.32</v>
      </c>
      <c r="BA69" s="8">
        <v>5.44</v>
      </c>
      <c r="BB69" s="8">
        <v>1.83</v>
      </c>
      <c r="BC69" s="8">
        <v>3.76</v>
      </c>
      <c r="BD69" s="9">
        <v>2.91</v>
      </c>
    </row>
    <row r="70" spans="2:96" ht="45.75" thickBot="1">
      <c r="AL70" s="53" t="s">
        <v>544</v>
      </c>
      <c r="AM70" s="14">
        <f>(AM69/AM58)*100</f>
        <v>-2.2471286689228069</v>
      </c>
      <c r="AN70" s="14">
        <f t="shared" ref="AN70:AR70" si="85">(AN69/AN58)*100</f>
        <v>0.41449261227889833</v>
      </c>
      <c r="AO70" s="14">
        <f>(AO69/AO58)*100</f>
        <v>-4.9408182309314501</v>
      </c>
      <c r="AP70" s="14">
        <f t="shared" si="85"/>
        <v>2.8936417303785573</v>
      </c>
      <c r="AQ70" s="14">
        <f t="shared" si="85"/>
        <v>0.99889012208685768</v>
      </c>
      <c r="AR70" s="14">
        <f t="shared" si="85"/>
        <v>3.342409802587031</v>
      </c>
      <c r="AS70" s="14">
        <f>(AS69/AS58)*100</f>
        <v>4.1770885442726131</v>
      </c>
      <c r="AT70" s="15">
        <f>(AT69/AT58)*100</f>
        <v>-8.7770525592573154</v>
      </c>
      <c r="AV70" s="52" t="s">
        <v>539</v>
      </c>
      <c r="AW70" s="11">
        <f>AW69-AW63</f>
        <v>-1.3799999999990042E-2</v>
      </c>
      <c r="AX70" s="11">
        <f t="shared" ref="AX70:BD70" si="86">AX69-AX63</f>
        <v>-1.1538461538459721E-2</v>
      </c>
      <c r="AY70" s="11">
        <f t="shared" si="86"/>
        <v>-9.8999999999999755E-2</v>
      </c>
      <c r="AZ70" s="11">
        <f t="shared" si="86"/>
        <v>0.15019999999999989</v>
      </c>
      <c r="BA70" s="11">
        <f t="shared" si="86"/>
        <v>2.2448979591906948E-3</v>
      </c>
      <c r="BB70" s="11">
        <f t="shared" si="86"/>
        <v>-1.7735849056599973E-2</v>
      </c>
      <c r="BC70" s="11">
        <f t="shared" si="86"/>
        <v>3.4166666666669787E-2</v>
      </c>
      <c r="BD70" s="12">
        <f t="shared" si="86"/>
        <v>-0.25731707317072994</v>
      </c>
      <c r="CJ70" s="82" t="s">
        <v>534</v>
      </c>
      <c r="CK70" s="8">
        <v>4.2</v>
      </c>
      <c r="CL70" s="8">
        <v>6.08</v>
      </c>
      <c r="CM70" s="8">
        <v>3.62</v>
      </c>
      <c r="CN70" s="8">
        <v>5.36</v>
      </c>
      <c r="CO70" s="8">
        <v>5.44</v>
      </c>
      <c r="CP70" s="8">
        <v>1.82</v>
      </c>
      <c r="CQ70" s="8">
        <v>3.76</v>
      </c>
      <c r="CR70" s="9">
        <v>2.87</v>
      </c>
    </row>
    <row r="71" spans="2:96" ht="15.75" thickBot="1">
      <c r="AV71" s="53" t="s">
        <v>544</v>
      </c>
      <c r="AW71" s="14">
        <f>(AW70/AW63)*100</f>
        <v>-0.33222591362102355</v>
      </c>
      <c r="AX71" s="14">
        <f t="shared" ref="AX71:BD71" si="87">(AX70/AX63)*100</f>
        <v>-0.18941785578984266</v>
      </c>
      <c r="AY71" s="14">
        <f t="shared" si="87"/>
        <v>-2.6336791699920128</v>
      </c>
      <c r="AZ71" s="14">
        <f t="shared" si="87"/>
        <v>2.9053348292003536</v>
      </c>
      <c r="BA71" s="14">
        <f t="shared" si="87"/>
        <v>4.1283542878718028E-2</v>
      </c>
      <c r="BB71" s="14">
        <f t="shared" si="87"/>
        <v>-0.95986929439375102</v>
      </c>
      <c r="BC71" s="14">
        <f t="shared" si="87"/>
        <v>0.91702080071580805</v>
      </c>
      <c r="BD71" s="15">
        <f t="shared" si="87"/>
        <v>-8.1241336824271766</v>
      </c>
      <c r="CJ71" s="52" t="s">
        <v>539</v>
      </c>
      <c r="CK71" s="11">
        <f>CK70-CK68</f>
        <v>3.35</v>
      </c>
      <c r="CL71" s="11">
        <f t="shared" ref="CL71:CR71" si="88">CL70-CL68</f>
        <v>5.4986792452830198</v>
      </c>
      <c r="CM71" s="11">
        <f t="shared" si="88"/>
        <v>3.4722222222222232</v>
      </c>
      <c r="CN71" s="11">
        <f t="shared" si="88"/>
        <v>3.8245454545454605</v>
      </c>
      <c r="CO71" s="11">
        <f t="shared" si="88"/>
        <v>3.3857446808510705</v>
      </c>
      <c r="CP71" s="11">
        <f t="shared" si="88"/>
        <v>1.1165909090909092</v>
      </c>
      <c r="CQ71" s="11">
        <f t="shared" si="88"/>
        <v>3.4611111111111117</v>
      </c>
      <c r="CR71" s="12">
        <f t="shared" si="88"/>
        <v>0.67404255319148998</v>
      </c>
    </row>
    <row r="72" spans="2:96" ht="15.75" thickBot="1">
      <c r="B72" s="83"/>
      <c r="C72" s="11"/>
      <c r="D72" s="11"/>
      <c r="E72" s="11"/>
      <c r="F72" s="11"/>
      <c r="G72" s="11"/>
      <c r="H72" s="11"/>
      <c r="I72" s="11"/>
      <c r="J72" s="11"/>
      <c r="CJ72" s="53" t="s">
        <v>544</v>
      </c>
      <c r="CK72" s="14">
        <f>(CK71/CK68)*100</f>
        <v>394.11764705882354</v>
      </c>
      <c r="CL72" s="14">
        <f t="shared" ref="CL72:CR72" si="89">(CL71/CL68)*100</f>
        <v>945.89419019798959</v>
      </c>
      <c r="CM72" s="14">
        <f>(CM71/CM68)*100</f>
        <v>2349.6240601503887</v>
      </c>
      <c r="CN72" s="14">
        <f t="shared" si="89"/>
        <v>249.08229721728961</v>
      </c>
      <c r="CO72" s="14">
        <f t="shared" si="89"/>
        <v>164.81615743138354</v>
      </c>
      <c r="CP72" s="14">
        <f t="shared" si="89"/>
        <v>158.73990306946689</v>
      </c>
      <c r="CQ72" s="14">
        <f t="shared" si="89"/>
        <v>1157.9925650557659</v>
      </c>
      <c r="CR72" s="15">
        <f t="shared" si="89"/>
        <v>30.694700125956821</v>
      </c>
    </row>
    <row r="73" spans="2:96" ht="30.75" thickBot="1">
      <c r="B73" s="11"/>
      <c r="C73" s="11"/>
      <c r="D73" s="11"/>
      <c r="E73" s="11"/>
      <c r="F73" s="11"/>
      <c r="G73" s="11"/>
      <c r="H73" s="11"/>
      <c r="I73" s="11"/>
      <c r="J73" s="11"/>
      <c r="AV73" s="82" t="s">
        <v>568</v>
      </c>
      <c r="AW73" s="8">
        <v>4.1900000000000004</v>
      </c>
      <c r="AX73" s="8">
        <v>6.13</v>
      </c>
      <c r="AY73" s="8">
        <v>3.69</v>
      </c>
      <c r="AZ73" s="8">
        <v>5.35</v>
      </c>
      <c r="BA73" s="8">
        <v>5.49</v>
      </c>
      <c r="BB73" s="8">
        <v>1.85</v>
      </c>
      <c r="BC73" s="8">
        <v>3.72</v>
      </c>
      <c r="BD73" s="9">
        <v>2.9</v>
      </c>
      <c r="CJ73" s="1"/>
      <c r="CK73" s="1"/>
      <c r="CL73" s="1"/>
      <c r="CM73" s="1"/>
      <c r="CN73" s="1"/>
      <c r="CO73" s="1"/>
      <c r="CP73" s="1"/>
      <c r="CQ73" s="1"/>
      <c r="CR73" s="1"/>
    </row>
    <row r="74" spans="2:96" ht="30">
      <c r="B74" s="11"/>
      <c r="C74" s="11"/>
      <c r="D74" s="11"/>
      <c r="E74" s="11"/>
      <c r="F74" s="11"/>
      <c r="G74" s="11"/>
      <c r="H74" s="11"/>
      <c r="I74" s="11"/>
      <c r="J74" s="11"/>
      <c r="AV74" s="52" t="s">
        <v>539</v>
      </c>
      <c r="AW74" s="11">
        <f>AW73-AW63</f>
        <v>3.6200000000010668E-2</v>
      </c>
      <c r="AX74" s="11">
        <f t="shared" ref="AX74:BD74" si="90">AX73-AX63</f>
        <v>3.8461538461540101E-2</v>
      </c>
      <c r="AY74" s="11">
        <f t="shared" si="90"/>
        <v>-6.899999999999995E-2</v>
      </c>
      <c r="AZ74" s="11">
        <f t="shared" si="90"/>
        <v>0.18019999999999925</v>
      </c>
      <c r="BA74" s="11">
        <f t="shared" si="90"/>
        <v>5.2244897959190517E-2</v>
      </c>
      <c r="BB74" s="11">
        <f t="shared" si="90"/>
        <v>2.2641509434000451E-3</v>
      </c>
      <c r="BC74" s="11">
        <f t="shared" si="90"/>
        <v>-5.8333333333298043E-3</v>
      </c>
      <c r="BD74" s="12">
        <f t="shared" si="90"/>
        <v>-0.26731707317073017</v>
      </c>
      <c r="CJ74" s="82" t="s">
        <v>553</v>
      </c>
      <c r="CK74" s="8">
        <v>4.1399999999999997</v>
      </c>
      <c r="CL74" s="8">
        <v>6.08</v>
      </c>
      <c r="CM74" s="8">
        <v>3.66</v>
      </c>
      <c r="CN74" s="8">
        <v>5.32</v>
      </c>
      <c r="CO74" s="8">
        <v>5.44</v>
      </c>
      <c r="CP74" s="8">
        <v>1.83</v>
      </c>
      <c r="CQ74" s="8">
        <v>3.76</v>
      </c>
      <c r="CR74" s="9">
        <v>2.91</v>
      </c>
    </row>
    <row r="75" spans="2:96" ht="15.75" thickBot="1">
      <c r="AV75" s="53" t="s">
        <v>544</v>
      </c>
      <c r="AW75" s="14">
        <f>(AW74/AW63)*100</f>
        <v>0.87149116471690391</v>
      </c>
      <c r="AX75" s="14">
        <f t="shared" ref="AX75:BD75" si="91">(AX74/AX63)*100</f>
        <v>0.63139285263293532</v>
      </c>
      <c r="AY75" s="14">
        <f t="shared" si="91"/>
        <v>-1.8355945730247392</v>
      </c>
      <c r="AZ75" s="14">
        <f t="shared" si="91"/>
        <v>3.4856280707183886</v>
      </c>
      <c r="BA75" s="14">
        <f t="shared" si="91"/>
        <v>0.96078063426546756</v>
      </c>
      <c r="BB75" s="14">
        <f t="shared" si="91"/>
        <v>0.12253650566752031</v>
      </c>
      <c r="BC75" s="14">
        <f t="shared" si="91"/>
        <v>-0.15656452695137041</v>
      </c>
      <c r="BD75" s="15">
        <f t="shared" si="91"/>
        <v>-8.4398583089480539</v>
      </c>
      <c r="CJ75" s="52" t="s">
        <v>539</v>
      </c>
      <c r="CK75" s="11">
        <f>CK74-CK68</f>
        <v>3.2899999999999996</v>
      </c>
      <c r="CL75" s="11">
        <f t="shared" ref="CL75:CR75" si="92">CL74-CL68</f>
        <v>5.4986792452830198</v>
      </c>
      <c r="CM75" s="11">
        <f t="shared" si="92"/>
        <v>3.5122222222222232</v>
      </c>
      <c r="CN75" s="11">
        <f t="shared" si="92"/>
        <v>3.7845454545454604</v>
      </c>
      <c r="CO75" s="11">
        <f t="shared" si="92"/>
        <v>3.3857446808510705</v>
      </c>
      <c r="CP75" s="11">
        <f t="shared" si="92"/>
        <v>1.126590909090909</v>
      </c>
      <c r="CQ75" s="11">
        <f t="shared" si="92"/>
        <v>3.4611111111111117</v>
      </c>
      <c r="CR75" s="12">
        <f t="shared" si="92"/>
        <v>0.71404255319149001</v>
      </c>
    </row>
    <row r="76" spans="2:96" ht="15.75" thickBot="1">
      <c r="CJ76" s="53" t="s">
        <v>544</v>
      </c>
      <c r="CK76" s="14">
        <f>(CK75/CK68)*100</f>
        <v>387.05882352941171</v>
      </c>
      <c r="CL76" s="14">
        <f t="shared" ref="CL76:CR76" si="93">(CL75/CL68)*100</f>
        <v>945.89419019798959</v>
      </c>
      <c r="CM76" s="14">
        <f t="shared" si="93"/>
        <v>2376.6917293233214</v>
      </c>
      <c r="CN76" s="14">
        <f t="shared" si="93"/>
        <v>246.47720544701133</v>
      </c>
      <c r="CO76" s="14">
        <f t="shared" si="93"/>
        <v>164.81615743138354</v>
      </c>
      <c r="CP76" s="14">
        <f t="shared" si="93"/>
        <v>160.16155088852986</v>
      </c>
      <c r="CQ76" s="14">
        <f t="shared" si="93"/>
        <v>1157.9925650557659</v>
      </c>
      <c r="CR76" s="15">
        <f t="shared" si="93"/>
        <v>32.516229047572949</v>
      </c>
    </row>
    <row r="77" spans="2:96" ht="15.75" thickBot="1"/>
    <row r="78" spans="2:96" ht="30">
      <c r="CJ78" s="82" t="s">
        <v>568</v>
      </c>
      <c r="CK78" s="8">
        <v>4.1900000000000004</v>
      </c>
      <c r="CL78" s="8">
        <v>6.13</v>
      </c>
      <c r="CM78" s="8">
        <v>3.69</v>
      </c>
      <c r="CN78" s="8">
        <v>5.35</v>
      </c>
      <c r="CO78" s="8">
        <v>5.49</v>
      </c>
      <c r="CP78" s="8">
        <v>1.85</v>
      </c>
      <c r="CQ78" s="8">
        <v>3.72</v>
      </c>
      <c r="CR78" s="9">
        <v>2.9</v>
      </c>
    </row>
    <row r="79" spans="2:96">
      <c r="CJ79" s="52" t="s">
        <v>539</v>
      </c>
      <c r="CK79" s="11">
        <f>CK78-CK68</f>
        <v>3.3400000000000003</v>
      </c>
      <c r="CL79" s="11">
        <f t="shared" ref="CL79" si="94">CL78-CL68</f>
        <v>5.5486792452830196</v>
      </c>
      <c r="CM79" s="11">
        <f t="shared" ref="CM79" si="95">CM78-CM68</f>
        <v>3.542222222222223</v>
      </c>
      <c r="CN79" s="11">
        <f t="shared" ref="CN79" si="96">CN78-CN68</f>
        <v>3.8145454545454598</v>
      </c>
      <c r="CO79" s="11">
        <f t="shared" ref="CO79" si="97">CO78-CO68</f>
        <v>3.4357446808510703</v>
      </c>
      <c r="CP79" s="11">
        <f t="shared" ref="CP79" si="98">CP78-CP68</f>
        <v>1.146590909090909</v>
      </c>
      <c r="CQ79" s="11">
        <f t="shared" ref="CQ79" si="99">CQ78-CQ68</f>
        <v>3.4211111111111121</v>
      </c>
      <c r="CR79" s="12">
        <f t="shared" ref="CR79" si="100">CR78-CR68</f>
        <v>0.70404255319148978</v>
      </c>
    </row>
    <row r="80" spans="2:96" ht="15.75" thickBot="1">
      <c r="CJ80" s="53" t="s">
        <v>544</v>
      </c>
      <c r="CK80" s="14">
        <f>(CK79/CK68)*100</f>
        <v>392.94117647058829</v>
      </c>
      <c r="CL80" s="14">
        <f t="shared" ref="CL80" si="101">(CL79/CL68)*100</f>
        <v>954.49529373580208</v>
      </c>
      <c r="CM80" s="14">
        <f t="shared" ref="CM80" si="102">(CM79/CM68)*100</f>
        <v>2396.9924812030208</v>
      </c>
      <c r="CN80" s="14">
        <f t="shared" ref="CN80" si="103">(CN79/CN68)*100</f>
        <v>248.43102427471999</v>
      </c>
      <c r="CO80" s="14">
        <f t="shared" ref="CO80" si="104">(CO79/CO68)*100</f>
        <v>167.25012946659845</v>
      </c>
      <c r="CP80" s="14">
        <f t="shared" ref="CP80" si="105">(CP79/CP68)*100</f>
        <v>163.00484652665585</v>
      </c>
      <c r="CQ80" s="14">
        <f t="shared" ref="CQ80" si="106">(CQ79/CQ68)*100</f>
        <v>1144.6096654275132</v>
      </c>
      <c r="CR80" s="15">
        <f t="shared" ref="CR80" si="107">(CR79/CR68)*100</f>
        <v>32.060846817168901</v>
      </c>
    </row>
  </sheetData>
  <mergeCells count="8">
    <mergeCell ref="BZ2:CH2"/>
    <mergeCell ref="CJ2:CR2"/>
    <mergeCell ref="B2:X2"/>
    <mergeCell ref="AB2:AJ2"/>
    <mergeCell ref="AL2:AT2"/>
    <mergeCell ref="AV2:BD2"/>
    <mergeCell ref="BF2:BN2"/>
    <mergeCell ref="BP2:B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284"/>
  <sheetViews>
    <sheetView topLeftCell="AM1" zoomScale="130" zoomScaleNormal="130" workbookViewId="0">
      <pane ySplit="3" topLeftCell="A50" activePane="bottomLeft" state="frozen"/>
      <selection pane="bottomLeft" activeCell="AQ63" sqref="AQ63:AX63"/>
    </sheetView>
  </sheetViews>
  <sheetFormatPr defaultColWidth="8.85546875" defaultRowHeight="15"/>
  <cols>
    <col min="1" max="1" width="8.85546875" style="40"/>
    <col min="2" max="2" width="27.140625" style="40" bestFit="1" customWidth="1"/>
    <col min="3" max="5" width="6" style="40" bestFit="1" customWidth="1"/>
    <col min="6" max="6" width="5.28515625" style="40" bestFit="1" customWidth="1"/>
    <col min="7" max="8" width="6" style="40" bestFit="1" customWidth="1"/>
    <col min="9" max="9" width="7" style="40" bestFit="1" customWidth="1"/>
    <col min="10" max="10" width="5.28515625" style="40" bestFit="1" customWidth="1"/>
    <col min="11" max="11" width="8.85546875" style="40"/>
    <col min="12" max="12" width="27.140625" style="40" bestFit="1" customWidth="1"/>
    <col min="13" max="15" width="6" style="40" bestFit="1" customWidth="1"/>
    <col min="16" max="17" width="5.28515625" style="40" bestFit="1" customWidth="1"/>
    <col min="18" max="19" width="6" style="40" bestFit="1" customWidth="1"/>
    <col min="20" max="20" width="7" style="40" bestFit="1" customWidth="1"/>
    <col min="21" max="21" width="8.85546875" style="40"/>
    <col min="22" max="22" width="27.140625" style="40" bestFit="1" customWidth="1"/>
    <col min="23" max="24" width="6" style="40" bestFit="1" customWidth="1"/>
    <col min="25" max="25" width="7" style="40" bestFit="1" customWidth="1"/>
    <col min="26" max="27" width="6" style="40" bestFit="1" customWidth="1"/>
    <col min="28" max="29" width="5.28515625" style="40" bestFit="1" customWidth="1"/>
    <col min="30" max="30" width="7" style="40" bestFit="1" customWidth="1"/>
    <col min="31" max="31" width="8.85546875" style="40"/>
    <col min="32" max="32" width="27.140625" style="40" bestFit="1" customWidth="1"/>
    <col min="33" max="36" width="6" style="40" bestFit="1" customWidth="1"/>
    <col min="37" max="37" width="5.28515625" style="40" bestFit="1" customWidth="1"/>
    <col min="38" max="40" width="6" style="40" bestFit="1" customWidth="1"/>
    <col min="41" max="41" width="8.85546875" style="40"/>
    <col min="42" max="42" width="27.140625" style="40" bestFit="1" customWidth="1"/>
    <col min="43" max="43" width="6.42578125" style="40" bestFit="1" customWidth="1"/>
    <col min="44" max="45" width="7.5703125" style="40" bestFit="1" customWidth="1"/>
    <col min="46" max="46" width="6.42578125" style="40" bestFit="1" customWidth="1"/>
    <col min="47" max="48" width="7.5703125" style="40" bestFit="1" customWidth="1"/>
    <col min="49" max="49" width="6.42578125" style="40" bestFit="1" customWidth="1"/>
    <col min="50" max="50" width="7" style="40" bestFit="1" customWidth="1"/>
    <col min="51" max="51" width="8.85546875" style="40"/>
    <col min="52" max="52" width="27.140625" style="40" bestFit="1" customWidth="1"/>
    <col min="53" max="53" width="7.5703125" style="40" bestFit="1" customWidth="1"/>
    <col min="54" max="54" width="6.42578125" style="40" bestFit="1" customWidth="1"/>
    <col min="55" max="55" width="9" style="40" bestFit="1" customWidth="1"/>
    <col min="56" max="60" width="7.5703125" style="40" bestFit="1" customWidth="1"/>
    <col min="61" max="61" width="8.85546875" style="40"/>
    <col min="62" max="62" width="27.140625" style="40" bestFit="1" customWidth="1"/>
    <col min="63" max="63" width="7" style="40" bestFit="1" customWidth="1"/>
    <col min="64" max="65" width="7.5703125" style="40" bestFit="1" customWidth="1"/>
    <col min="66" max="66" width="6.42578125" style="40" bestFit="1" customWidth="1"/>
    <col min="67" max="67" width="7.5703125" style="40" bestFit="1" customWidth="1"/>
    <col min="68" max="68" width="6.42578125" style="40" bestFit="1" customWidth="1"/>
    <col min="69" max="70" width="7.5703125" style="40" bestFit="1" customWidth="1"/>
    <col min="71" max="71" width="8.85546875" style="40"/>
    <col min="72" max="72" width="27.140625" style="40" bestFit="1" customWidth="1"/>
    <col min="73" max="74" width="7.5703125" style="40" bestFit="1" customWidth="1"/>
    <col min="75" max="75" width="9" style="40" bestFit="1" customWidth="1"/>
    <col min="76" max="78" width="7.5703125" style="40" bestFit="1" customWidth="1"/>
    <col min="79" max="79" width="9" style="40" bestFit="1" customWidth="1"/>
    <col min="80" max="80" width="6.42578125" style="40" bestFit="1" customWidth="1"/>
    <col min="81" max="16384" width="8.85546875" style="40"/>
  </cols>
  <sheetData>
    <row r="1" spans="2:80" ht="15.75" thickBot="1"/>
    <row r="2" spans="2:80" s="1" customFormat="1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7"/>
      <c r="L2" s="85" t="s">
        <v>2</v>
      </c>
      <c r="M2" s="86"/>
      <c r="N2" s="86"/>
      <c r="O2" s="86"/>
      <c r="P2" s="86"/>
      <c r="Q2" s="86"/>
      <c r="R2" s="86"/>
      <c r="S2" s="86"/>
      <c r="T2" s="87"/>
      <c r="V2" s="85" t="s">
        <v>3</v>
      </c>
      <c r="W2" s="86"/>
      <c r="X2" s="86"/>
      <c r="Y2" s="86"/>
      <c r="Z2" s="86"/>
      <c r="AA2" s="86"/>
      <c r="AB2" s="86"/>
      <c r="AC2" s="86"/>
      <c r="AD2" s="87"/>
      <c r="AF2" s="85" t="s">
        <v>4</v>
      </c>
      <c r="AG2" s="86"/>
      <c r="AH2" s="86"/>
      <c r="AI2" s="86"/>
      <c r="AJ2" s="86"/>
      <c r="AK2" s="86"/>
      <c r="AL2" s="86"/>
      <c r="AM2" s="86"/>
      <c r="AN2" s="87"/>
      <c r="AP2" s="85" t="s">
        <v>5</v>
      </c>
      <c r="AQ2" s="86"/>
      <c r="AR2" s="86"/>
      <c r="AS2" s="86"/>
      <c r="AT2" s="86"/>
      <c r="AU2" s="86"/>
      <c r="AV2" s="86"/>
      <c r="AW2" s="86"/>
      <c r="AX2" s="87"/>
      <c r="AZ2" s="85" t="s">
        <v>6</v>
      </c>
      <c r="BA2" s="86"/>
      <c r="BB2" s="86"/>
      <c r="BC2" s="86"/>
      <c r="BD2" s="86"/>
      <c r="BE2" s="86"/>
      <c r="BF2" s="86"/>
      <c r="BG2" s="86"/>
      <c r="BH2" s="87"/>
      <c r="BJ2" s="85" t="s">
        <v>7</v>
      </c>
      <c r="BK2" s="86"/>
      <c r="BL2" s="86"/>
      <c r="BM2" s="86"/>
      <c r="BN2" s="86"/>
      <c r="BO2" s="86"/>
      <c r="BP2" s="86"/>
      <c r="BQ2" s="86"/>
      <c r="BR2" s="87"/>
      <c r="BT2" s="85" t="s">
        <v>8</v>
      </c>
      <c r="BU2" s="86"/>
      <c r="BV2" s="86"/>
      <c r="BW2" s="86"/>
      <c r="BX2" s="86"/>
      <c r="BY2" s="86"/>
      <c r="BZ2" s="86"/>
      <c r="CA2" s="86"/>
      <c r="CB2" s="87"/>
    </row>
    <row r="3" spans="2:80" s="1" customFormat="1" ht="15.75" thickBot="1">
      <c r="B3" s="28" t="s">
        <v>9</v>
      </c>
      <c r="C3" s="29" t="s">
        <v>10</v>
      </c>
      <c r="D3" s="29" t="s">
        <v>13</v>
      </c>
      <c r="E3" s="29" t="s">
        <v>16</v>
      </c>
      <c r="F3" s="29" t="s">
        <v>19</v>
      </c>
      <c r="G3" s="29" t="s">
        <v>22</v>
      </c>
      <c r="H3" s="29" t="s">
        <v>25</v>
      </c>
      <c r="I3" s="29" t="s">
        <v>28</v>
      </c>
      <c r="J3" s="30" t="s">
        <v>31</v>
      </c>
      <c r="L3" s="59" t="s">
        <v>9</v>
      </c>
      <c r="M3" s="2" t="s">
        <v>10</v>
      </c>
      <c r="N3" s="2" t="s">
        <v>13</v>
      </c>
      <c r="O3" s="2" t="s">
        <v>16</v>
      </c>
      <c r="P3" s="2" t="s">
        <v>19</v>
      </c>
      <c r="Q3" s="2" t="s">
        <v>22</v>
      </c>
      <c r="R3" s="2" t="s">
        <v>25</v>
      </c>
      <c r="S3" s="2" t="s">
        <v>28</v>
      </c>
      <c r="T3" s="39" t="s">
        <v>31</v>
      </c>
      <c r="V3" s="59" t="s">
        <v>9</v>
      </c>
      <c r="W3" s="2" t="s">
        <v>10</v>
      </c>
      <c r="X3" s="2" t="s">
        <v>13</v>
      </c>
      <c r="Y3" s="2" t="s">
        <v>16</v>
      </c>
      <c r="Z3" s="2" t="s">
        <v>19</v>
      </c>
      <c r="AA3" s="2" t="s">
        <v>22</v>
      </c>
      <c r="AB3" s="2" t="s">
        <v>25</v>
      </c>
      <c r="AC3" s="2" t="s">
        <v>28</v>
      </c>
      <c r="AD3" s="39" t="s">
        <v>31</v>
      </c>
      <c r="AF3" s="59" t="s">
        <v>9</v>
      </c>
      <c r="AG3" s="2" t="s">
        <v>10</v>
      </c>
      <c r="AH3" s="2" t="s">
        <v>13</v>
      </c>
      <c r="AI3" s="2" t="s">
        <v>16</v>
      </c>
      <c r="AJ3" s="2" t="s">
        <v>19</v>
      </c>
      <c r="AK3" s="2" t="s">
        <v>22</v>
      </c>
      <c r="AL3" s="2" t="s">
        <v>25</v>
      </c>
      <c r="AM3" s="2" t="s">
        <v>28</v>
      </c>
      <c r="AN3" s="39" t="s">
        <v>31</v>
      </c>
      <c r="AP3" s="59" t="s">
        <v>9</v>
      </c>
      <c r="AQ3" s="2" t="s">
        <v>10</v>
      </c>
      <c r="AR3" s="2" t="s">
        <v>13</v>
      </c>
      <c r="AS3" s="2" t="s">
        <v>16</v>
      </c>
      <c r="AT3" s="2" t="s">
        <v>19</v>
      </c>
      <c r="AU3" s="2" t="s">
        <v>22</v>
      </c>
      <c r="AV3" s="2" t="s">
        <v>25</v>
      </c>
      <c r="AW3" s="2" t="s">
        <v>28</v>
      </c>
      <c r="AX3" s="39" t="s">
        <v>31</v>
      </c>
      <c r="AZ3" s="59" t="s">
        <v>9</v>
      </c>
      <c r="BA3" s="2" t="s">
        <v>10</v>
      </c>
      <c r="BB3" s="2" t="s">
        <v>13</v>
      </c>
      <c r="BC3" s="2" t="s">
        <v>16</v>
      </c>
      <c r="BD3" s="2" t="s">
        <v>19</v>
      </c>
      <c r="BE3" s="2" t="s">
        <v>22</v>
      </c>
      <c r="BF3" s="2" t="s">
        <v>25</v>
      </c>
      <c r="BG3" s="2" t="s">
        <v>28</v>
      </c>
      <c r="BH3" s="39" t="s">
        <v>31</v>
      </c>
      <c r="BJ3" s="59" t="s">
        <v>9</v>
      </c>
      <c r="BK3" s="2" t="s">
        <v>10</v>
      </c>
      <c r="BL3" s="2" t="s">
        <v>13</v>
      </c>
      <c r="BM3" s="2" t="s">
        <v>16</v>
      </c>
      <c r="BN3" s="2" t="s">
        <v>19</v>
      </c>
      <c r="BO3" s="2" t="s">
        <v>22</v>
      </c>
      <c r="BP3" s="2" t="s">
        <v>25</v>
      </c>
      <c r="BQ3" s="2" t="s">
        <v>28</v>
      </c>
      <c r="BR3" s="39" t="s">
        <v>31</v>
      </c>
      <c r="BT3" s="59" t="s">
        <v>9</v>
      </c>
      <c r="BU3" s="2" t="s">
        <v>10</v>
      </c>
      <c r="BV3" s="2" t="s">
        <v>13</v>
      </c>
      <c r="BW3" s="2" t="s">
        <v>16</v>
      </c>
      <c r="BX3" s="2" t="s">
        <v>19</v>
      </c>
      <c r="BY3" s="2" t="s">
        <v>22</v>
      </c>
      <c r="BZ3" s="2" t="s">
        <v>25</v>
      </c>
      <c r="CA3" s="2" t="s">
        <v>28</v>
      </c>
      <c r="CB3" s="39" t="s">
        <v>31</v>
      </c>
    </row>
    <row r="4" spans="2:80">
      <c r="B4" s="44" t="s">
        <v>947</v>
      </c>
      <c r="C4" s="42">
        <v>2.96</v>
      </c>
      <c r="D4" s="42">
        <v>4.3899999999999997</v>
      </c>
      <c r="E4" s="42">
        <v>5.28</v>
      </c>
      <c r="F4" s="42">
        <v>5.63</v>
      </c>
      <c r="G4" s="42">
        <v>4.32</v>
      </c>
      <c r="H4" s="42">
        <v>4.84</v>
      </c>
      <c r="I4" s="42">
        <v>1.78</v>
      </c>
      <c r="J4" s="46">
        <v>2.2400000000000002</v>
      </c>
      <c r="L4" s="43" t="s">
        <v>948</v>
      </c>
      <c r="M4" s="57">
        <v>2.83</v>
      </c>
      <c r="N4" s="57">
        <v>5.45</v>
      </c>
      <c r="O4" s="57">
        <v>5.17</v>
      </c>
      <c r="P4" s="57">
        <v>6.04</v>
      </c>
      <c r="Q4" s="57">
        <v>0</v>
      </c>
      <c r="R4" s="57">
        <v>3.72</v>
      </c>
      <c r="S4" s="57">
        <v>3.05</v>
      </c>
      <c r="T4" s="58">
        <v>3.43</v>
      </c>
      <c r="V4" s="43" t="s">
        <v>949</v>
      </c>
      <c r="W4" s="57">
        <v>3.91</v>
      </c>
      <c r="X4" s="57">
        <v>4.2699999999999996</v>
      </c>
      <c r="Y4" s="57">
        <v>4.16</v>
      </c>
      <c r="Z4" s="57">
        <v>4.32</v>
      </c>
      <c r="AA4" s="57">
        <v>3.6</v>
      </c>
      <c r="AB4" s="57">
        <v>3.11</v>
      </c>
      <c r="AC4" s="57">
        <v>1.66</v>
      </c>
      <c r="AD4" s="58">
        <v>0.62</v>
      </c>
      <c r="AF4" s="43" t="s">
        <v>950</v>
      </c>
      <c r="AG4" s="57">
        <v>4.16</v>
      </c>
      <c r="AH4" s="57">
        <v>6.1</v>
      </c>
      <c r="AI4" s="57">
        <v>3.75</v>
      </c>
      <c r="AJ4" s="57">
        <v>5.18</v>
      </c>
      <c r="AK4" s="57">
        <v>0.13</v>
      </c>
      <c r="AL4" s="57">
        <v>1.84</v>
      </c>
      <c r="AM4" s="57">
        <v>3.76</v>
      </c>
      <c r="AN4" s="58">
        <v>3.13</v>
      </c>
      <c r="AP4" s="43" t="s">
        <v>951</v>
      </c>
      <c r="AQ4" s="57">
        <v>2.21</v>
      </c>
      <c r="AR4" s="57">
        <v>0</v>
      </c>
      <c r="AS4" s="57">
        <v>2.59</v>
      </c>
      <c r="AT4" s="57">
        <v>3.56</v>
      </c>
      <c r="AU4" s="57">
        <v>1.37</v>
      </c>
      <c r="AV4" s="57">
        <v>1.17</v>
      </c>
      <c r="AW4" s="57">
        <v>1.17</v>
      </c>
      <c r="AX4" s="58">
        <v>0</v>
      </c>
      <c r="AZ4" s="43" t="s">
        <v>952</v>
      </c>
      <c r="BA4" s="57">
        <v>0.53</v>
      </c>
      <c r="BB4" s="57">
        <v>4.18</v>
      </c>
      <c r="BC4" s="57">
        <v>0.39</v>
      </c>
      <c r="BD4" s="57">
        <v>1.61</v>
      </c>
      <c r="BE4" s="57">
        <v>2.59</v>
      </c>
      <c r="BF4" s="57">
        <v>1.89</v>
      </c>
      <c r="BG4" s="57">
        <v>0.73</v>
      </c>
      <c r="BH4" s="58">
        <v>1.17</v>
      </c>
      <c r="BJ4" s="43" t="s">
        <v>953</v>
      </c>
      <c r="BK4" s="57">
        <v>9.24</v>
      </c>
      <c r="BL4" s="57">
        <v>1.61</v>
      </c>
      <c r="BM4" s="57">
        <v>0.2</v>
      </c>
      <c r="BN4" s="57">
        <v>3.56</v>
      </c>
      <c r="BO4" s="57">
        <v>1.61</v>
      </c>
      <c r="BP4" s="57">
        <v>2.59</v>
      </c>
      <c r="BQ4" s="57">
        <v>0.24</v>
      </c>
      <c r="BR4" s="58">
        <v>0.24</v>
      </c>
      <c r="BT4" s="43" t="s">
        <v>951</v>
      </c>
      <c r="BU4" s="57">
        <v>0.85</v>
      </c>
      <c r="BV4" s="57">
        <v>1.37</v>
      </c>
      <c r="BW4" s="57">
        <v>0.11</v>
      </c>
      <c r="BX4" s="57">
        <v>2.21</v>
      </c>
      <c r="BY4" s="57">
        <v>0</v>
      </c>
      <c r="BZ4" s="57">
        <v>0.62</v>
      </c>
      <c r="CA4" s="57">
        <v>0.33</v>
      </c>
      <c r="CB4" s="58">
        <v>3.56</v>
      </c>
    </row>
    <row r="5" spans="2:80">
      <c r="B5" s="44" t="s">
        <v>954</v>
      </c>
      <c r="C5" s="42">
        <v>2.96</v>
      </c>
      <c r="D5" s="42">
        <v>4.37</v>
      </c>
      <c r="E5" s="42">
        <v>1.97</v>
      </c>
      <c r="F5" s="42">
        <v>5.64</v>
      </c>
      <c r="G5" s="42">
        <v>4.33</v>
      </c>
      <c r="H5" s="42">
        <v>4.82</v>
      </c>
      <c r="I5" s="42">
        <v>1.75</v>
      </c>
      <c r="J5" s="46">
        <v>2.27</v>
      </c>
      <c r="L5" s="44" t="s">
        <v>955</v>
      </c>
      <c r="M5" s="42">
        <v>2.86</v>
      </c>
      <c r="N5" s="42">
        <v>5.53</v>
      </c>
      <c r="O5" s="42">
        <v>5.16</v>
      </c>
      <c r="P5" s="42">
        <v>6.07</v>
      </c>
      <c r="Q5" s="42">
        <v>0</v>
      </c>
      <c r="R5" s="42">
        <v>3.77</v>
      </c>
      <c r="S5" s="42">
        <v>3.01</v>
      </c>
      <c r="T5" s="46">
        <v>0.1</v>
      </c>
      <c r="V5" s="44" t="s">
        <v>956</v>
      </c>
      <c r="W5" s="42">
        <v>3.93</v>
      </c>
      <c r="X5" s="42">
        <v>4.25</v>
      </c>
      <c r="Y5" s="42">
        <v>4.13</v>
      </c>
      <c r="Z5" s="42">
        <v>4.25</v>
      </c>
      <c r="AA5" s="42">
        <v>3.62</v>
      </c>
      <c r="AB5" s="42">
        <v>3.14</v>
      </c>
      <c r="AC5" s="42">
        <v>1.63</v>
      </c>
      <c r="AD5" s="46">
        <v>1.23</v>
      </c>
      <c r="AF5" s="44" t="s">
        <v>957</v>
      </c>
      <c r="AG5" s="42">
        <v>4.16</v>
      </c>
      <c r="AH5" s="42">
        <v>6.15</v>
      </c>
      <c r="AI5" s="42">
        <v>3.75</v>
      </c>
      <c r="AJ5" s="42">
        <v>5.14</v>
      </c>
      <c r="AK5" s="42">
        <v>5.43</v>
      </c>
      <c r="AL5" s="42">
        <v>1.86</v>
      </c>
      <c r="AM5" s="42">
        <v>3.74</v>
      </c>
      <c r="AN5" s="46">
        <v>3.13</v>
      </c>
      <c r="AP5" s="44" t="s">
        <v>958</v>
      </c>
      <c r="AQ5" s="42">
        <v>2.59</v>
      </c>
      <c r="AR5" s="42">
        <v>1.17</v>
      </c>
      <c r="AS5" s="42">
        <v>2.59</v>
      </c>
      <c r="AT5" s="42">
        <v>3.04</v>
      </c>
      <c r="AU5" s="42">
        <v>1.37</v>
      </c>
      <c r="AV5" s="42">
        <v>1.37</v>
      </c>
      <c r="AW5" s="42">
        <v>1.17</v>
      </c>
      <c r="AX5" s="46">
        <v>0</v>
      </c>
      <c r="AZ5" s="44" t="s">
        <v>959</v>
      </c>
      <c r="BA5" s="42">
        <v>0.53</v>
      </c>
      <c r="BB5" s="42">
        <v>3.56</v>
      </c>
      <c r="BC5" s="42">
        <v>0.39</v>
      </c>
      <c r="BD5" s="42">
        <v>1.61</v>
      </c>
      <c r="BE5" s="42">
        <v>2.59</v>
      </c>
      <c r="BF5" s="42">
        <v>1.89</v>
      </c>
      <c r="BG5" s="42">
        <v>0.62</v>
      </c>
      <c r="BH5" s="46">
        <v>1.17</v>
      </c>
      <c r="BJ5" s="44" t="s">
        <v>960</v>
      </c>
      <c r="BK5" s="42">
        <v>12.69</v>
      </c>
      <c r="BL5" s="42">
        <v>1.37</v>
      </c>
      <c r="BM5" s="42">
        <v>1.89</v>
      </c>
      <c r="BN5" s="42">
        <v>0</v>
      </c>
      <c r="BO5" s="42">
        <v>1.89</v>
      </c>
      <c r="BP5" s="42">
        <v>2.59</v>
      </c>
      <c r="BQ5" s="42">
        <v>0.17</v>
      </c>
      <c r="BR5" s="46">
        <v>0.45</v>
      </c>
      <c r="BT5" s="44" t="s">
        <v>958</v>
      </c>
      <c r="BU5" s="42">
        <v>0</v>
      </c>
      <c r="BV5" s="42">
        <v>1.37</v>
      </c>
      <c r="BW5" s="42">
        <v>0.13</v>
      </c>
      <c r="BX5" s="42">
        <v>9.24</v>
      </c>
      <c r="BY5" s="42">
        <v>0.85</v>
      </c>
      <c r="BZ5" s="42">
        <v>0.33</v>
      </c>
      <c r="CA5" s="42">
        <v>0.33</v>
      </c>
      <c r="CB5" s="46">
        <v>4.18</v>
      </c>
    </row>
    <row r="6" spans="2:80">
      <c r="B6" s="44" t="s">
        <v>961</v>
      </c>
      <c r="C6" s="42">
        <v>3.04</v>
      </c>
      <c r="D6" s="42">
        <v>0</v>
      </c>
      <c r="E6" s="42">
        <v>5.29</v>
      </c>
      <c r="F6" s="42">
        <v>5.59</v>
      </c>
      <c r="G6" s="42">
        <v>4.33</v>
      </c>
      <c r="H6" s="42">
        <v>2.19</v>
      </c>
      <c r="I6" s="42">
        <v>1.74</v>
      </c>
      <c r="J6" s="46">
        <v>2.2200000000000002</v>
      </c>
      <c r="L6" s="44" t="s">
        <v>962</v>
      </c>
      <c r="M6" s="42">
        <v>2.86</v>
      </c>
      <c r="N6" s="42">
        <v>5.37</v>
      </c>
      <c r="O6" s="42">
        <v>5.12</v>
      </c>
      <c r="P6" s="42">
        <v>0.86</v>
      </c>
      <c r="Q6" s="42">
        <v>0</v>
      </c>
      <c r="R6" s="42">
        <v>3.72</v>
      </c>
      <c r="S6" s="42">
        <v>3.03</v>
      </c>
      <c r="T6" s="46">
        <v>3.54</v>
      </c>
      <c r="V6" s="44" t="s">
        <v>963</v>
      </c>
      <c r="W6" s="42">
        <v>3.92</v>
      </c>
      <c r="X6" s="42">
        <v>4.29</v>
      </c>
      <c r="Y6" s="42">
        <v>4.22</v>
      </c>
      <c r="Z6" s="42">
        <v>4.28</v>
      </c>
      <c r="AA6" s="42">
        <v>3.61</v>
      </c>
      <c r="AB6" s="42">
        <v>3.13</v>
      </c>
      <c r="AC6" s="42">
        <v>1.62</v>
      </c>
      <c r="AD6" s="46">
        <v>1.32</v>
      </c>
      <c r="AF6" s="44" t="s">
        <v>964</v>
      </c>
      <c r="AG6" s="42">
        <v>4.16</v>
      </c>
      <c r="AH6" s="42">
        <v>6.1</v>
      </c>
      <c r="AI6" s="42">
        <v>3.78</v>
      </c>
      <c r="AJ6" s="42">
        <v>5.17</v>
      </c>
      <c r="AK6" s="42">
        <v>3.75</v>
      </c>
      <c r="AL6" s="42">
        <v>1.85</v>
      </c>
      <c r="AM6" s="42">
        <v>3.75</v>
      </c>
      <c r="AN6" s="46">
        <v>3.18</v>
      </c>
      <c r="AP6" s="44" t="s">
        <v>965</v>
      </c>
      <c r="AQ6" s="42">
        <v>2.59</v>
      </c>
      <c r="AR6" s="42">
        <v>0</v>
      </c>
      <c r="AS6" s="42">
        <v>2.59</v>
      </c>
      <c r="AT6" s="42">
        <v>3.56</v>
      </c>
      <c r="AU6" s="42">
        <v>1.37</v>
      </c>
      <c r="AV6" s="42">
        <v>1.37</v>
      </c>
      <c r="AW6" s="42">
        <v>0</v>
      </c>
      <c r="AX6" s="46">
        <v>0</v>
      </c>
      <c r="AZ6" s="44" t="s">
        <v>966</v>
      </c>
      <c r="BA6" s="42">
        <v>0.62</v>
      </c>
      <c r="BB6" s="42">
        <v>4.18</v>
      </c>
      <c r="BC6" s="42">
        <v>0.39</v>
      </c>
      <c r="BD6" s="42">
        <v>1.61</v>
      </c>
      <c r="BE6" s="42">
        <v>2.59</v>
      </c>
      <c r="BF6" s="42">
        <v>1.89</v>
      </c>
      <c r="BG6" s="42">
        <v>0.62</v>
      </c>
      <c r="BH6" s="46">
        <v>1.17</v>
      </c>
      <c r="BJ6" s="44" t="s">
        <v>967</v>
      </c>
      <c r="BK6" s="42">
        <v>14.87</v>
      </c>
      <c r="BL6" s="42">
        <v>1.37</v>
      </c>
      <c r="BM6" s="42">
        <v>1.61</v>
      </c>
      <c r="BN6" s="42">
        <v>1.89</v>
      </c>
      <c r="BO6" s="42">
        <v>1.89</v>
      </c>
      <c r="BP6" s="42">
        <v>4.18</v>
      </c>
      <c r="BQ6" s="42">
        <v>0.2</v>
      </c>
      <c r="BR6" s="46">
        <v>0.2</v>
      </c>
      <c r="BT6" s="44" t="s">
        <v>965</v>
      </c>
      <c r="BU6" s="42">
        <v>0.73</v>
      </c>
      <c r="BV6" s="42">
        <v>0.45</v>
      </c>
      <c r="BW6" s="42">
        <v>0.17</v>
      </c>
      <c r="BX6" s="42">
        <v>2.21</v>
      </c>
      <c r="BY6" s="42">
        <v>1.89</v>
      </c>
      <c r="BZ6" s="42">
        <v>0.73</v>
      </c>
      <c r="CA6" s="42">
        <v>0.39</v>
      </c>
      <c r="CB6" s="46">
        <v>4.18</v>
      </c>
    </row>
    <row r="7" spans="2:80">
      <c r="B7" s="44" t="s">
        <v>968</v>
      </c>
      <c r="C7" s="42">
        <v>3.01</v>
      </c>
      <c r="D7" s="42">
        <v>4.3899999999999997</v>
      </c>
      <c r="E7" s="42">
        <v>5.31</v>
      </c>
      <c r="F7" s="42">
        <v>5.63</v>
      </c>
      <c r="G7" s="42">
        <v>4.34</v>
      </c>
      <c r="H7" s="42">
        <v>4.8600000000000003</v>
      </c>
      <c r="I7" s="42">
        <v>1.76</v>
      </c>
      <c r="J7" s="46">
        <v>2.27</v>
      </c>
      <c r="L7" s="44" t="s">
        <v>969</v>
      </c>
      <c r="M7" s="42">
        <v>1.96</v>
      </c>
      <c r="N7" s="42">
        <v>5.43</v>
      </c>
      <c r="O7" s="42">
        <v>5.25</v>
      </c>
      <c r="P7" s="42">
        <v>6.06</v>
      </c>
      <c r="Q7" s="42">
        <v>0</v>
      </c>
      <c r="R7" s="42">
        <v>3.53</v>
      </c>
      <c r="S7" s="42">
        <v>3.07</v>
      </c>
      <c r="T7" s="46">
        <v>3.44</v>
      </c>
      <c r="V7" s="44" t="s">
        <v>970</v>
      </c>
      <c r="W7" s="42">
        <v>3.91</v>
      </c>
      <c r="X7" s="42">
        <v>3.32</v>
      </c>
      <c r="Y7" s="42">
        <v>4.18</v>
      </c>
      <c r="Z7" s="42">
        <v>4.33</v>
      </c>
      <c r="AA7" s="42">
        <v>3.65</v>
      </c>
      <c r="AB7" s="42">
        <v>3.15</v>
      </c>
      <c r="AC7" s="42">
        <v>1.65</v>
      </c>
      <c r="AD7" s="46">
        <v>1.28</v>
      </c>
      <c r="AF7" s="44" t="s">
        <v>971</v>
      </c>
      <c r="AG7" s="42">
        <v>4.1399999999999997</v>
      </c>
      <c r="AH7" s="42">
        <v>6.09</v>
      </c>
      <c r="AI7" s="42">
        <v>3.77</v>
      </c>
      <c r="AJ7" s="42">
        <v>5.13</v>
      </c>
      <c r="AK7" s="42">
        <v>4.5999999999999996</v>
      </c>
      <c r="AL7" s="42">
        <v>1.84</v>
      </c>
      <c r="AM7" s="42">
        <v>3.74</v>
      </c>
      <c r="AN7" s="46">
        <v>3.17</v>
      </c>
      <c r="AP7" s="44" t="s">
        <v>972</v>
      </c>
      <c r="AQ7" s="42">
        <v>2.21</v>
      </c>
      <c r="AR7" s="42">
        <v>1.17</v>
      </c>
      <c r="AS7" s="42">
        <v>2.59</v>
      </c>
      <c r="AT7" s="42">
        <v>3.56</v>
      </c>
      <c r="AU7" s="42">
        <v>1.37</v>
      </c>
      <c r="AV7" s="42">
        <v>1.37</v>
      </c>
      <c r="AW7" s="42">
        <v>1.17</v>
      </c>
      <c r="AX7" s="46">
        <v>0</v>
      </c>
      <c r="AZ7" s="44" t="s">
        <v>973</v>
      </c>
      <c r="BA7" s="42">
        <v>0.53</v>
      </c>
      <c r="BB7" s="42">
        <v>0.45</v>
      </c>
      <c r="BC7" s="42">
        <v>0.15</v>
      </c>
      <c r="BD7" s="42">
        <v>1.61</v>
      </c>
      <c r="BE7" s="42">
        <v>0.73</v>
      </c>
      <c r="BF7" s="42">
        <v>1.61</v>
      </c>
      <c r="BG7" s="42">
        <v>0.62</v>
      </c>
      <c r="BH7" s="46">
        <v>1.17</v>
      </c>
      <c r="BJ7" s="44" t="s">
        <v>974</v>
      </c>
      <c r="BK7" s="42">
        <v>14.87</v>
      </c>
      <c r="BL7" s="42">
        <v>1.61</v>
      </c>
      <c r="BM7" s="42">
        <v>1.61</v>
      </c>
      <c r="BN7" s="42">
        <v>3.56</v>
      </c>
      <c r="BO7" s="42">
        <v>1.89</v>
      </c>
      <c r="BP7" s="42">
        <v>2.21</v>
      </c>
      <c r="BQ7" s="42">
        <v>0.24</v>
      </c>
      <c r="BR7" s="46">
        <v>0.24</v>
      </c>
      <c r="BT7" s="44" t="s">
        <v>972</v>
      </c>
      <c r="BU7" s="42">
        <v>0.85</v>
      </c>
      <c r="BV7" s="42">
        <v>0.53</v>
      </c>
      <c r="BW7" s="42">
        <v>0.13</v>
      </c>
      <c r="BX7" s="42">
        <v>0</v>
      </c>
      <c r="BY7" s="42">
        <v>1.89</v>
      </c>
      <c r="BZ7" s="42">
        <v>0.73</v>
      </c>
      <c r="CA7" s="42">
        <v>0.28000000000000003</v>
      </c>
      <c r="CB7" s="46">
        <v>2.21</v>
      </c>
    </row>
    <row r="8" spans="2:80">
      <c r="B8" s="44" t="s">
        <v>975</v>
      </c>
      <c r="C8" s="42">
        <v>3.02</v>
      </c>
      <c r="D8" s="42">
        <v>4.3899999999999997</v>
      </c>
      <c r="E8" s="42">
        <v>5.29</v>
      </c>
      <c r="F8" s="42">
        <v>5.64</v>
      </c>
      <c r="G8" s="42">
        <v>4.3099999999999996</v>
      </c>
      <c r="H8" s="42">
        <v>1.75</v>
      </c>
      <c r="I8" s="42">
        <v>1.75</v>
      </c>
      <c r="J8" s="46">
        <v>2.27</v>
      </c>
      <c r="L8" s="44" t="s">
        <v>976</v>
      </c>
      <c r="M8" s="42">
        <v>2.13</v>
      </c>
      <c r="N8" s="42">
        <v>5.44</v>
      </c>
      <c r="O8" s="42">
        <v>5.16</v>
      </c>
      <c r="P8" s="42">
        <v>4.54</v>
      </c>
      <c r="Q8" s="42">
        <v>0</v>
      </c>
      <c r="R8" s="42">
        <v>3.74</v>
      </c>
      <c r="S8" s="42">
        <v>3.08</v>
      </c>
      <c r="T8" s="46">
        <v>3.43</v>
      </c>
      <c r="V8" s="44" t="s">
        <v>977</v>
      </c>
      <c r="W8" s="42">
        <v>3.91</v>
      </c>
      <c r="X8" s="42">
        <v>1.18</v>
      </c>
      <c r="Y8" s="42">
        <v>4.17</v>
      </c>
      <c r="Z8" s="42">
        <v>4.3099999999999996</v>
      </c>
      <c r="AA8" s="42">
        <v>3.63</v>
      </c>
      <c r="AB8" s="42">
        <v>3.11</v>
      </c>
      <c r="AC8" s="42">
        <v>1.66</v>
      </c>
      <c r="AD8" s="46">
        <v>1.22</v>
      </c>
      <c r="AF8" s="44" t="s">
        <v>978</v>
      </c>
      <c r="AG8" s="42">
        <v>4.17</v>
      </c>
      <c r="AH8" s="42">
        <v>6.1</v>
      </c>
      <c r="AI8" s="42">
        <v>3.76</v>
      </c>
      <c r="AJ8" s="42">
        <v>5.13</v>
      </c>
      <c r="AK8" s="42">
        <v>4.96</v>
      </c>
      <c r="AL8" s="42">
        <v>1.83</v>
      </c>
      <c r="AM8" s="42">
        <v>3.71</v>
      </c>
      <c r="AN8" s="46">
        <v>3.15</v>
      </c>
      <c r="AP8" s="44" t="s">
        <v>979</v>
      </c>
      <c r="AQ8" s="42">
        <v>0</v>
      </c>
      <c r="AR8" s="42">
        <v>0</v>
      </c>
      <c r="AS8" s="42">
        <v>0.85</v>
      </c>
      <c r="AT8" s="42">
        <v>3.04</v>
      </c>
      <c r="AU8" s="42">
        <v>6.72</v>
      </c>
      <c r="AV8" s="42">
        <v>85.32</v>
      </c>
      <c r="AW8" s="42">
        <v>0.39</v>
      </c>
      <c r="AX8" s="46">
        <v>3.04</v>
      </c>
      <c r="AZ8" s="44" t="s">
        <v>980</v>
      </c>
      <c r="BA8" s="42">
        <v>0.53</v>
      </c>
      <c r="BB8" s="42">
        <v>4.18</v>
      </c>
      <c r="BC8" s="42">
        <v>0.39</v>
      </c>
      <c r="BD8" s="42">
        <v>1.61</v>
      </c>
      <c r="BE8" s="42">
        <v>2.21</v>
      </c>
      <c r="BF8" s="42">
        <v>7.88</v>
      </c>
      <c r="BG8" s="42">
        <v>0.73</v>
      </c>
      <c r="BH8" s="46">
        <v>0</v>
      </c>
      <c r="BJ8" s="44" t="s">
        <v>981</v>
      </c>
      <c r="BK8" s="42">
        <v>4.8899999999999997</v>
      </c>
      <c r="BL8" s="42">
        <v>1.37</v>
      </c>
      <c r="BM8" s="42">
        <v>0.2</v>
      </c>
      <c r="BN8" s="42">
        <v>3.04</v>
      </c>
      <c r="BO8" s="42">
        <v>1.89</v>
      </c>
      <c r="BP8" s="42">
        <v>2.59</v>
      </c>
      <c r="BQ8" s="42">
        <v>0.2</v>
      </c>
      <c r="BR8" s="46">
        <v>0.2</v>
      </c>
      <c r="BT8" s="44" t="s">
        <v>979</v>
      </c>
      <c r="BU8" s="42">
        <v>0.73</v>
      </c>
      <c r="BV8" s="42">
        <v>0.45</v>
      </c>
      <c r="BW8" s="42">
        <v>0.15</v>
      </c>
      <c r="BX8" s="42">
        <v>0</v>
      </c>
      <c r="BY8" s="42">
        <v>2.21</v>
      </c>
      <c r="BZ8" s="42">
        <v>0.73</v>
      </c>
      <c r="CA8" s="42">
        <v>0.24</v>
      </c>
      <c r="CB8" s="46">
        <v>1.89</v>
      </c>
    </row>
    <row r="9" spans="2:80">
      <c r="B9" s="44" t="s">
        <v>982</v>
      </c>
      <c r="C9" s="42">
        <v>2.97</v>
      </c>
      <c r="D9" s="42">
        <v>4.4000000000000004</v>
      </c>
      <c r="E9" s="42">
        <v>5.3</v>
      </c>
      <c r="F9" s="42">
        <v>5.65</v>
      </c>
      <c r="G9" s="42">
        <v>4.33</v>
      </c>
      <c r="H9" s="42">
        <v>4.84</v>
      </c>
      <c r="I9" s="42">
        <v>1.74</v>
      </c>
      <c r="J9" s="46">
        <v>2.2599999999999998</v>
      </c>
      <c r="L9" s="44" t="s">
        <v>983</v>
      </c>
      <c r="M9" s="42">
        <v>2.87</v>
      </c>
      <c r="N9" s="42">
        <v>5.48</v>
      </c>
      <c r="O9" s="42">
        <v>5.15</v>
      </c>
      <c r="P9" s="42">
        <v>6.08</v>
      </c>
      <c r="Q9" s="42">
        <v>0</v>
      </c>
      <c r="R9" s="42">
        <v>3.72</v>
      </c>
      <c r="S9" s="42">
        <v>3.03</v>
      </c>
      <c r="T9" s="46">
        <v>3.39</v>
      </c>
      <c r="V9" s="44" t="s">
        <v>984</v>
      </c>
      <c r="W9" s="42">
        <v>3.93</v>
      </c>
      <c r="X9" s="42">
        <v>4.28</v>
      </c>
      <c r="Y9" s="42">
        <v>4.2</v>
      </c>
      <c r="Z9" s="42">
        <v>4.2699999999999996</v>
      </c>
      <c r="AA9" s="42">
        <v>3.58</v>
      </c>
      <c r="AB9" s="42">
        <v>3.14</v>
      </c>
      <c r="AC9" s="42">
        <v>1.64</v>
      </c>
      <c r="AD9" s="46">
        <v>1.25</v>
      </c>
      <c r="AF9" s="44" t="s">
        <v>985</v>
      </c>
      <c r="AG9" s="42">
        <v>4.16</v>
      </c>
      <c r="AH9" s="42">
        <v>6.06</v>
      </c>
      <c r="AI9" s="42">
        <v>3.79</v>
      </c>
      <c r="AJ9" s="42">
        <v>5.17</v>
      </c>
      <c r="AK9" s="42">
        <v>5.46</v>
      </c>
      <c r="AL9" s="42">
        <v>1.84</v>
      </c>
      <c r="AM9" s="42">
        <v>3.74</v>
      </c>
      <c r="AN9" s="46">
        <v>3.17</v>
      </c>
      <c r="AP9" s="44" t="s">
        <v>986</v>
      </c>
      <c r="AQ9" s="42">
        <v>2.21</v>
      </c>
      <c r="AR9" s="42">
        <v>0</v>
      </c>
      <c r="AS9" s="42">
        <v>2.59</v>
      </c>
      <c r="AT9" s="42">
        <v>3.56</v>
      </c>
      <c r="AU9" s="42">
        <v>1.37</v>
      </c>
      <c r="AV9" s="42">
        <v>1.37</v>
      </c>
      <c r="AW9" s="42">
        <v>1.17</v>
      </c>
      <c r="AX9" s="46">
        <v>0</v>
      </c>
      <c r="AZ9" s="44" t="s">
        <v>987</v>
      </c>
      <c r="BA9" s="42">
        <v>0.53</v>
      </c>
      <c r="BB9" s="42">
        <v>4.18</v>
      </c>
      <c r="BC9" s="42">
        <v>0.39</v>
      </c>
      <c r="BD9" s="42">
        <v>1.61</v>
      </c>
      <c r="BE9" s="42">
        <v>2.59</v>
      </c>
      <c r="BF9" s="42">
        <v>1.89</v>
      </c>
      <c r="BG9" s="42">
        <v>0.73</v>
      </c>
      <c r="BH9" s="46">
        <v>1.17</v>
      </c>
      <c r="BJ9" s="44" t="s">
        <v>988</v>
      </c>
      <c r="BK9" s="42">
        <v>14.87</v>
      </c>
      <c r="BL9" s="42">
        <v>1.61</v>
      </c>
      <c r="BM9" s="42">
        <v>1.61</v>
      </c>
      <c r="BN9" s="42">
        <v>3.56</v>
      </c>
      <c r="BO9" s="42">
        <v>1.89</v>
      </c>
      <c r="BP9" s="42">
        <v>3.56</v>
      </c>
      <c r="BQ9" s="42">
        <v>0.2</v>
      </c>
      <c r="BR9" s="46">
        <v>0.2</v>
      </c>
      <c r="BT9" s="44" t="s">
        <v>986</v>
      </c>
      <c r="BU9" s="42">
        <v>0.73</v>
      </c>
      <c r="BV9" s="42">
        <v>0.45</v>
      </c>
      <c r="BW9" s="42">
        <v>0.15</v>
      </c>
      <c r="BX9" s="42">
        <v>1.17</v>
      </c>
      <c r="BY9" s="42">
        <v>2.21</v>
      </c>
      <c r="BZ9" s="42">
        <v>0.39</v>
      </c>
      <c r="CA9" s="42">
        <v>0.28000000000000003</v>
      </c>
      <c r="CB9" s="46">
        <v>1.89</v>
      </c>
    </row>
    <row r="10" spans="2:80">
      <c r="B10" s="44" t="s">
        <v>989</v>
      </c>
      <c r="C10" s="42">
        <v>3.01</v>
      </c>
      <c r="D10" s="42">
        <v>4.3899999999999997</v>
      </c>
      <c r="E10" s="42">
        <v>5.3</v>
      </c>
      <c r="F10" s="42">
        <v>2.33</v>
      </c>
      <c r="G10" s="42">
        <v>4.32</v>
      </c>
      <c r="H10" s="42">
        <v>4.8099999999999996</v>
      </c>
      <c r="I10" s="42">
        <v>1.75</v>
      </c>
      <c r="J10" s="46">
        <v>2.25</v>
      </c>
      <c r="L10" s="44" t="s">
        <v>990</v>
      </c>
      <c r="M10" s="42">
        <v>2.85</v>
      </c>
      <c r="N10" s="42">
        <v>5.42</v>
      </c>
      <c r="O10" s="42">
        <v>0</v>
      </c>
      <c r="P10" s="42">
        <v>6.08</v>
      </c>
      <c r="Q10" s="42">
        <v>0</v>
      </c>
      <c r="R10" s="42">
        <v>3.72</v>
      </c>
      <c r="S10" s="42">
        <v>3.06</v>
      </c>
      <c r="T10" s="46">
        <v>3.42</v>
      </c>
      <c r="V10" s="44" t="s">
        <v>991</v>
      </c>
      <c r="W10" s="42">
        <v>3.91</v>
      </c>
      <c r="X10" s="42">
        <v>4.2699999999999996</v>
      </c>
      <c r="Y10" s="42">
        <v>4.13</v>
      </c>
      <c r="Z10" s="42">
        <v>4.3099999999999996</v>
      </c>
      <c r="AA10" s="42">
        <v>3.59</v>
      </c>
      <c r="AB10" s="42">
        <v>3.14</v>
      </c>
      <c r="AC10" s="42">
        <v>1.62</v>
      </c>
      <c r="AD10" s="46">
        <v>1.24</v>
      </c>
      <c r="AF10" s="44" t="s">
        <v>992</v>
      </c>
      <c r="AG10" s="42">
        <v>4.1399999999999997</v>
      </c>
      <c r="AH10" s="42">
        <v>6.09</v>
      </c>
      <c r="AI10" s="42">
        <v>3.78</v>
      </c>
      <c r="AJ10" s="42">
        <v>5.15</v>
      </c>
      <c r="AK10" s="42">
        <v>4.53</v>
      </c>
      <c r="AL10" s="42">
        <v>1.88</v>
      </c>
      <c r="AM10" s="42">
        <v>3.16</v>
      </c>
      <c r="AN10" s="46">
        <v>3.1</v>
      </c>
      <c r="AP10" s="44" t="s">
        <v>993</v>
      </c>
      <c r="AQ10" s="42">
        <v>2.59</v>
      </c>
      <c r="AR10" s="42">
        <v>0</v>
      </c>
      <c r="AS10" s="42">
        <v>2.59</v>
      </c>
      <c r="AT10" s="42">
        <v>3.56</v>
      </c>
      <c r="AU10" s="42">
        <v>1.61</v>
      </c>
      <c r="AV10" s="42">
        <v>5.74</v>
      </c>
      <c r="AW10" s="42">
        <v>1.17</v>
      </c>
      <c r="AX10" s="46">
        <v>3.04</v>
      </c>
      <c r="AZ10" s="44" t="s">
        <v>994</v>
      </c>
      <c r="BA10" s="42">
        <v>0.53</v>
      </c>
      <c r="BB10" s="42">
        <v>5.74</v>
      </c>
      <c r="BC10" s="42">
        <v>0.39</v>
      </c>
      <c r="BD10" s="42">
        <v>1.61</v>
      </c>
      <c r="BE10" s="42">
        <v>2.21</v>
      </c>
      <c r="BF10" s="42">
        <v>1.89</v>
      </c>
      <c r="BG10" s="42">
        <v>0.73</v>
      </c>
      <c r="BH10" s="46">
        <v>1.17</v>
      </c>
      <c r="BJ10" s="44" t="s">
        <v>995</v>
      </c>
      <c r="BK10" s="42">
        <v>12.69</v>
      </c>
      <c r="BL10" s="42">
        <v>1.17</v>
      </c>
      <c r="BM10" s="42">
        <v>1.61</v>
      </c>
      <c r="BN10" s="42">
        <v>3.56</v>
      </c>
      <c r="BO10" s="42">
        <v>1.89</v>
      </c>
      <c r="BP10" s="42">
        <v>2.59</v>
      </c>
      <c r="BQ10" s="42">
        <v>0.24</v>
      </c>
      <c r="BR10" s="46">
        <v>0.2</v>
      </c>
      <c r="BT10" s="44" t="s">
        <v>993</v>
      </c>
      <c r="BU10" s="42">
        <v>0.85</v>
      </c>
      <c r="BV10" s="42">
        <v>0.45</v>
      </c>
      <c r="BW10" s="42">
        <v>0.15</v>
      </c>
      <c r="BX10" s="42">
        <v>1.17</v>
      </c>
      <c r="BY10" s="42">
        <v>2.21</v>
      </c>
      <c r="BZ10" s="42">
        <v>0.33</v>
      </c>
      <c r="CA10" s="42">
        <v>0.17</v>
      </c>
      <c r="CB10" s="46">
        <v>2.21</v>
      </c>
    </row>
    <row r="11" spans="2:80">
      <c r="B11" s="44" t="s">
        <v>996</v>
      </c>
      <c r="C11" s="42">
        <v>3.01</v>
      </c>
      <c r="D11" s="42">
        <v>4.41</v>
      </c>
      <c r="E11" s="42">
        <v>5.33</v>
      </c>
      <c r="F11" s="42">
        <v>5.65</v>
      </c>
      <c r="G11" s="42">
        <v>4.32</v>
      </c>
      <c r="H11" s="42">
        <v>4.8899999999999997</v>
      </c>
      <c r="I11" s="42">
        <v>1.73</v>
      </c>
      <c r="J11" s="46">
        <v>2.25</v>
      </c>
      <c r="L11" s="44" t="s">
        <v>997</v>
      </c>
      <c r="M11" s="42">
        <v>2.85</v>
      </c>
      <c r="N11" s="42">
        <v>5.48</v>
      </c>
      <c r="O11" s="42">
        <v>5.21</v>
      </c>
      <c r="P11" s="42">
        <v>4.08</v>
      </c>
      <c r="Q11" s="42">
        <v>0</v>
      </c>
      <c r="R11" s="42">
        <v>3.71</v>
      </c>
      <c r="S11" s="42">
        <v>3.08</v>
      </c>
      <c r="T11" s="46">
        <v>3.41</v>
      </c>
      <c r="V11" s="44" t="s">
        <v>998</v>
      </c>
      <c r="W11" s="42">
        <v>3.9</v>
      </c>
      <c r="X11" s="42">
        <v>4.26</v>
      </c>
      <c r="Y11" s="42">
        <v>4.13</v>
      </c>
      <c r="Z11" s="42">
        <v>4.3099999999999996</v>
      </c>
      <c r="AA11" s="42">
        <v>3.62</v>
      </c>
      <c r="AB11" s="42">
        <v>1.5</v>
      </c>
      <c r="AC11" s="42">
        <v>1.58</v>
      </c>
      <c r="AD11" s="46">
        <v>1.25</v>
      </c>
      <c r="AF11" s="44" t="s">
        <v>999</v>
      </c>
      <c r="AG11" s="42">
        <v>2.56</v>
      </c>
      <c r="AH11" s="42">
        <v>0</v>
      </c>
      <c r="AI11" s="42">
        <v>3.77</v>
      </c>
      <c r="AJ11" s="42">
        <v>5.14</v>
      </c>
      <c r="AK11" s="42">
        <v>5.45</v>
      </c>
      <c r="AL11" s="42">
        <v>1.84</v>
      </c>
      <c r="AM11" s="42">
        <v>3.75</v>
      </c>
      <c r="AN11" s="46">
        <v>0</v>
      </c>
      <c r="AP11" s="44" t="s">
        <v>1000</v>
      </c>
      <c r="AQ11" s="42">
        <v>2.59</v>
      </c>
      <c r="AR11" s="42">
        <v>1.17</v>
      </c>
      <c r="AS11" s="42">
        <v>2.59</v>
      </c>
      <c r="AT11" s="42">
        <v>3.56</v>
      </c>
      <c r="AU11" s="42">
        <v>0</v>
      </c>
      <c r="AV11" s="42">
        <v>1.37</v>
      </c>
      <c r="AW11" s="42">
        <v>0.39</v>
      </c>
      <c r="AX11" s="46">
        <v>0</v>
      </c>
      <c r="AZ11" s="44" t="s">
        <v>1001</v>
      </c>
      <c r="BA11" s="42">
        <v>0.53</v>
      </c>
      <c r="BB11" s="42">
        <v>0.45</v>
      </c>
      <c r="BC11" s="42">
        <v>0.33</v>
      </c>
      <c r="BD11" s="42">
        <v>1.61</v>
      </c>
      <c r="BE11" s="42">
        <v>2.59</v>
      </c>
      <c r="BF11" s="42">
        <v>1.89</v>
      </c>
      <c r="BG11" s="42">
        <v>0.73</v>
      </c>
      <c r="BH11" s="46">
        <v>1.17</v>
      </c>
      <c r="BJ11" s="44" t="s">
        <v>1002</v>
      </c>
      <c r="BK11" s="42">
        <v>9.24</v>
      </c>
      <c r="BL11" s="42">
        <v>0</v>
      </c>
      <c r="BM11" s="42">
        <v>9.24</v>
      </c>
      <c r="BN11" s="42">
        <v>0</v>
      </c>
      <c r="BO11" s="42">
        <v>1.17</v>
      </c>
      <c r="BP11" s="42">
        <v>3.56</v>
      </c>
      <c r="BQ11" s="42">
        <v>0.17</v>
      </c>
      <c r="BR11" s="46">
        <v>0.62</v>
      </c>
      <c r="BT11" s="44" t="s">
        <v>1000</v>
      </c>
      <c r="BU11" s="42">
        <v>0.73</v>
      </c>
      <c r="BV11" s="42">
        <v>0.45</v>
      </c>
      <c r="BW11" s="42">
        <v>0.15</v>
      </c>
      <c r="BX11" s="42">
        <v>1.17</v>
      </c>
      <c r="BY11" s="42">
        <v>1.89</v>
      </c>
      <c r="BZ11" s="42">
        <v>0.73</v>
      </c>
      <c r="CA11" s="42">
        <v>0.28000000000000003</v>
      </c>
      <c r="CB11" s="46">
        <v>2.21</v>
      </c>
    </row>
    <row r="12" spans="2:80">
      <c r="B12" s="44" t="s">
        <v>1003</v>
      </c>
      <c r="C12" s="42">
        <v>3.01</v>
      </c>
      <c r="D12" s="42">
        <v>4.3600000000000003</v>
      </c>
      <c r="E12" s="42">
        <v>5.29</v>
      </c>
      <c r="F12" s="42">
        <v>5.64</v>
      </c>
      <c r="G12" s="42">
        <v>4.3099999999999996</v>
      </c>
      <c r="H12" s="42">
        <v>4.8099999999999996</v>
      </c>
      <c r="I12" s="42">
        <v>1.75</v>
      </c>
      <c r="J12" s="46">
        <v>2.2000000000000002</v>
      </c>
      <c r="L12" s="44" t="s">
        <v>1004</v>
      </c>
      <c r="M12" s="42">
        <v>2.79</v>
      </c>
      <c r="N12" s="42">
        <v>5.47</v>
      </c>
      <c r="O12" s="42">
        <v>2.0699999999999998</v>
      </c>
      <c r="P12" s="42">
        <v>6.05</v>
      </c>
      <c r="Q12" s="42">
        <v>0</v>
      </c>
      <c r="R12" s="42">
        <v>3.74</v>
      </c>
      <c r="S12" s="42">
        <v>3.03</v>
      </c>
      <c r="T12" s="46">
        <v>3.5</v>
      </c>
      <c r="V12" s="44" t="s">
        <v>1005</v>
      </c>
      <c r="W12" s="42">
        <v>3.93</v>
      </c>
      <c r="X12" s="42">
        <v>4.25</v>
      </c>
      <c r="Y12" s="42">
        <v>4.1500000000000004</v>
      </c>
      <c r="Z12" s="42">
        <v>0.82</v>
      </c>
      <c r="AA12" s="42">
        <v>3.64</v>
      </c>
      <c r="AB12" s="42">
        <v>3.12</v>
      </c>
      <c r="AC12" s="42">
        <v>1.64</v>
      </c>
      <c r="AD12" s="46">
        <v>1.28</v>
      </c>
      <c r="AF12" s="44" t="s">
        <v>1006</v>
      </c>
      <c r="AG12" s="42">
        <v>4.16</v>
      </c>
      <c r="AH12" s="42">
        <v>6.09</v>
      </c>
      <c r="AI12" s="42">
        <v>3.78</v>
      </c>
      <c r="AJ12" s="42">
        <v>5.21</v>
      </c>
      <c r="AK12" s="42">
        <v>5.43</v>
      </c>
      <c r="AL12" s="42">
        <v>1.84</v>
      </c>
      <c r="AM12" s="42">
        <v>3.77</v>
      </c>
      <c r="AN12" s="46">
        <v>3.18</v>
      </c>
      <c r="AP12" s="44" t="s">
        <v>1007</v>
      </c>
      <c r="AQ12" s="42">
        <v>2.59</v>
      </c>
      <c r="AR12" s="42">
        <v>1.17</v>
      </c>
      <c r="AS12" s="42">
        <v>2.59</v>
      </c>
      <c r="AT12" s="42">
        <v>2.59</v>
      </c>
      <c r="AU12" s="42">
        <v>1.37</v>
      </c>
      <c r="AV12" s="42">
        <v>99.99</v>
      </c>
      <c r="AW12" s="42">
        <v>1.89</v>
      </c>
      <c r="AX12" s="46">
        <v>0</v>
      </c>
      <c r="AZ12" s="44" t="s">
        <v>1008</v>
      </c>
      <c r="BA12" s="42">
        <v>0.53</v>
      </c>
      <c r="BB12" s="42">
        <v>4.18</v>
      </c>
      <c r="BC12" s="42">
        <v>0.39</v>
      </c>
      <c r="BD12" s="42">
        <v>1.61</v>
      </c>
      <c r="BE12" s="42">
        <v>2.59</v>
      </c>
      <c r="BF12" s="42">
        <v>7.88</v>
      </c>
      <c r="BG12" s="42">
        <v>0.73</v>
      </c>
      <c r="BH12" s="46">
        <v>1.17</v>
      </c>
      <c r="BJ12" s="44" t="s">
        <v>1009</v>
      </c>
      <c r="BK12" s="42">
        <v>14.87</v>
      </c>
      <c r="BL12" s="42">
        <v>1.37</v>
      </c>
      <c r="BM12" s="42">
        <v>1.89</v>
      </c>
      <c r="BN12" s="42">
        <v>3.56</v>
      </c>
      <c r="BO12" s="42">
        <v>1.61</v>
      </c>
      <c r="BP12" s="42">
        <v>2.59</v>
      </c>
      <c r="BQ12" s="42">
        <v>0.24</v>
      </c>
      <c r="BR12" s="46">
        <v>0.2</v>
      </c>
      <c r="BT12" s="44" t="s">
        <v>1007</v>
      </c>
      <c r="BU12" s="42">
        <v>0.73</v>
      </c>
      <c r="BV12" s="42">
        <v>0.45</v>
      </c>
      <c r="BW12" s="42">
        <v>0.15</v>
      </c>
      <c r="BX12" s="42">
        <v>1.17</v>
      </c>
      <c r="BY12" s="42">
        <v>1.89</v>
      </c>
      <c r="BZ12" s="42">
        <v>0.73</v>
      </c>
      <c r="CA12" s="42">
        <v>0.28000000000000003</v>
      </c>
      <c r="CB12" s="46">
        <v>1.89</v>
      </c>
    </row>
    <row r="13" spans="2:80">
      <c r="B13" s="44" t="s">
        <v>1010</v>
      </c>
      <c r="C13" s="42">
        <v>3.02</v>
      </c>
      <c r="D13" s="42">
        <v>4.38</v>
      </c>
      <c r="E13" s="42">
        <v>5.27</v>
      </c>
      <c r="F13" s="42">
        <v>5.62</v>
      </c>
      <c r="G13" s="42">
        <v>4.3</v>
      </c>
      <c r="H13" s="42">
        <v>4.8600000000000003</v>
      </c>
      <c r="I13" s="42">
        <v>1.74</v>
      </c>
      <c r="J13" s="46">
        <v>2.29</v>
      </c>
      <c r="L13" s="44" t="s">
        <v>1011</v>
      </c>
      <c r="M13" s="42">
        <v>2.83</v>
      </c>
      <c r="N13" s="42">
        <v>5.39</v>
      </c>
      <c r="O13" s="42">
        <v>5.18</v>
      </c>
      <c r="P13" s="42">
        <v>6.06</v>
      </c>
      <c r="Q13" s="42">
        <v>0</v>
      </c>
      <c r="R13" s="42">
        <v>3.72</v>
      </c>
      <c r="S13" s="42">
        <v>3.02</v>
      </c>
      <c r="T13" s="46">
        <v>4.45</v>
      </c>
      <c r="V13" s="44" t="s">
        <v>1012</v>
      </c>
      <c r="W13" s="42">
        <v>3.91</v>
      </c>
      <c r="X13" s="42">
        <v>3.06</v>
      </c>
      <c r="Y13" s="42">
        <v>4.17</v>
      </c>
      <c r="Z13" s="42">
        <v>4.2699999999999996</v>
      </c>
      <c r="AA13" s="42">
        <v>3.6</v>
      </c>
      <c r="AB13" s="42">
        <v>3.14</v>
      </c>
      <c r="AC13" s="42">
        <v>1.64</v>
      </c>
      <c r="AD13" s="46">
        <v>1.26</v>
      </c>
      <c r="AF13" s="44" t="s">
        <v>1013</v>
      </c>
      <c r="AG13" s="42">
        <v>2.85</v>
      </c>
      <c r="AH13" s="42">
        <v>6.07</v>
      </c>
      <c r="AI13" s="42">
        <v>3.78</v>
      </c>
      <c r="AJ13" s="42">
        <v>5.16</v>
      </c>
      <c r="AK13" s="42">
        <v>5.51</v>
      </c>
      <c r="AL13" s="42">
        <v>1.85</v>
      </c>
      <c r="AM13" s="42">
        <v>3.76</v>
      </c>
      <c r="AN13" s="46">
        <v>3.17</v>
      </c>
      <c r="AP13" s="44" t="s">
        <v>1014</v>
      </c>
      <c r="AQ13" s="42">
        <v>2.21</v>
      </c>
      <c r="AR13" s="42">
        <v>1.17</v>
      </c>
      <c r="AS13" s="42">
        <v>2.59</v>
      </c>
      <c r="AT13" s="42">
        <v>14.87</v>
      </c>
      <c r="AU13" s="42">
        <v>1.37</v>
      </c>
      <c r="AV13" s="42">
        <v>1.17</v>
      </c>
      <c r="AW13" s="42">
        <v>1.17</v>
      </c>
      <c r="AX13" s="46">
        <v>0</v>
      </c>
      <c r="AZ13" s="44" t="s">
        <v>1015</v>
      </c>
      <c r="BA13" s="42">
        <v>0.53</v>
      </c>
      <c r="BB13" s="42">
        <v>4.18</v>
      </c>
      <c r="BC13" s="42">
        <v>0.39</v>
      </c>
      <c r="BD13" s="42">
        <v>1.61</v>
      </c>
      <c r="BE13" s="42">
        <v>2.59</v>
      </c>
      <c r="BF13" s="42">
        <v>1.61</v>
      </c>
      <c r="BG13" s="42">
        <v>0.62</v>
      </c>
      <c r="BH13" s="46">
        <v>1.17</v>
      </c>
      <c r="BJ13" s="44" t="s">
        <v>1016</v>
      </c>
      <c r="BK13" s="42">
        <v>12.69</v>
      </c>
      <c r="BL13" s="42">
        <v>1.37</v>
      </c>
      <c r="BM13" s="42">
        <v>1.89</v>
      </c>
      <c r="BN13" s="42">
        <v>1.89</v>
      </c>
      <c r="BO13" s="42">
        <v>1.61</v>
      </c>
      <c r="BP13" s="42">
        <v>2.21</v>
      </c>
      <c r="BQ13" s="42">
        <v>0.24</v>
      </c>
      <c r="BR13" s="46">
        <v>0.24</v>
      </c>
      <c r="BT13" s="44" t="s">
        <v>1014</v>
      </c>
      <c r="BU13" s="42">
        <v>0</v>
      </c>
      <c r="BV13" s="42">
        <v>0.45</v>
      </c>
      <c r="BW13" s="42">
        <v>0.15</v>
      </c>
      <c r="BX13" s="42">
        <v>0</v>
      </c>
      <c r="BY13" s="42">
        <v>1.89</v>
      </c>
      <c r="BZ13" s="42">
        <v>0.73</v>
      </c>
      <c r="CA13" s="42">
        <v>0.28000000000000003</v>
      </c>
      <c r="CB13" s="46">
        <v>2.59</v>
      </c>
    </row>
    <row r="14" spans="2:80">
      <c r="B14" s="44" t="s">
        <v>1017</v>
      </c>
      <c r="C14" s="42">
        <v>2.99</v>
      </c>
      <c r="D14" s="42">
        <v>4.42</v>
      </c>
      <c r="E14" s="42">
        <v>5.26</v>
      </c>
      <c r="F14" s="42">
        <v>5.63</v>
      </c>
      <c r="G14" s="42">
        <v>4.3099999999999996</v>
      </c>
      <c r="H14" s="42">
        <v>1.1200000000000001</v>
      </c>
      <c r="I14" s="42">
        <v>1.76</v>
      </c>
      <c r="J14" s="46">
        <v>0.79</v>
      </c>
      <c r="L14" s="44" t="s">
        <v>1018</v>
      </c>
      <c r="M14" s="42">
        <v>1.89</v>
      </c>
      <c r="N14" s="42">
        <v>5.51</v>
      </c>
      <c r="O14" s="42">
        <v>5.14</v>
      </c>
      <c r="P14" s="42">
        <v>6.1</v>
      </c>
      <c r="Q14" s="42">
        <v>0</v>
      </c>
      <c r="R14" s="42">
        <v>3.72</v>
      </c>
      <c r="S14" s="42">
        <v>3.08</v>
      </c>
      <c r="T14" s="46">
        <v>3.4</v>
      </c>
      <c r="V14" s="44" t="s">
        <v>1019</v>
      </c>
      <c r="W14" s="42">
        <v>3.89</v>
      </c>
      <c r="X14" s="42">
        <v>4.28</v>
      </c>
      <c r="Y14" s="42">
        <v>3.94</v>
      </c>
      <c r="Z14" s="42">
        <v>4.29</v>
      </c>
      <c r="AA14" s="42">
        <v>3.61</v>
      </c>
      <c r="AB14" s="42">
        <v>3.11</v>
      </c>
      <c r="AC14" s="42">
        <v>1.64</v>
      </c>
      <c r="AD14" s="46">
        <v>0.27</v>
      </c>
      <c r="AF14" s="44" t="s">
        <v>1020</v>
      </c>
      <c r="AG14" s="42">
        <v>4.17</v>
      </c>
      <c r="AH14" s="42">
        <v>6.07</v>
      </c>
      <c r="AI14" s="42">
        <v>3.76</v>
      </c>
      <c r="AJ14" s="42">
        <v>5.16</v>
      </c>
      <c r="AK14" s="42">
        <v>2.5499999999999998</v>
      </c>
      <c r="AL14" s="42">
        <v>1.85</v>
      </c>
      <c r="AM14" s="42">
        <v>3.77</v>
      </c>
      <c r="AN14" s="46">
        <v>3.17</v>
      </c>
      <c r="AP14" s="44" t="s">
        <v>1021</v>
      </c>
      <c r="AQ14" s="42">
        <v>2.21</v>
      </c>
      <c r="AR14" s="42">
        <v>1.17</v>
      </c>
      <c r="AS14" s="42">
        <v>2.59</v>
      </c>
      <c r="AT14" s="42">
        <v>3.56</v>
      </c>
      <c r="AU14" s="42">
        <v>1.61</v>
      </c>
      <c r="AV14" s="42">
        <v>1.37</v>
      </c>
      <c r="AW14" s="42">
        <v>1.17</v>
      </c>
      <c r="AX14" s="46">
        <v>0</v>
      </c>
      <c r="AZ14" s="44" t="s">
        <v>1022</v>
      </c>
      <c r="BA14" s="42">
        <v>0.53</v>
      </c>
      <c r="BB14" s="42">
        <v>4.18</v>
      </c>
      <c r="BC14" s="42">
        <v>0.39</v>
      </c>
      <c r="BD14" s="42">
        <v>1.61</v>
      </c>
      <c r="BE14" s="42">
        <v>2.21</v>
      </c>
      <c r="BF14" s="42">
        <v>1.61</v>
      </c>
      <c r="BG14" s="42">
        <v>0.73</v>
      </c>
      <c r="BH14" s="46">
        <v>1.17</v>
      </c>
      <c r="BJ14" s="44" t="s">
        <v>1023</v>
      </c>
      <c r="BK14" s="42">
        <v>9.24</v>
      </c>
      <c r="BL14" s="42">
        <v>1.61</v>
      </c>
      <c r="BM14" s="42">
        <v>1.89</v>
      </c>
      <c r="BN14" s="42">
        <v>3.56</v>
      </c>
      <c r="BO14" s="42">
        <v>1.17</v>
      </c>
      <c r="BP14" s="42">
        <v>2.59</v>
      </c>
      <c r="BQ14" s="42">
        <v>0.24</v>
      </c>
      <c r="BR14" s="46">
        <v>0.24</v>
      </c>
      <c r="BT14" s="44" t="s">
        <v>1021</v>
      </c>
      <c r="BU14" s="42">
        <v>0.73</v>
      </c>
      <c r="BV14" s="42">
        <v>0.39</v>
      </c>
      <c r="BW14" s="42">
        <v>0.15</v>
      </c>
      <c r="BX14" s="42">
        <v>1.17</v>
      </c>
      <c r="BY14" s="42">
        <v>2.21</v>
      </c>
      <c r="BZ14" s="42">
        <v>0.33</v>
      </c>
      <c r="CA14" s="42">
        <v>0.33</v>
      </c>
      <c r="CB14" s="46">
        <v>2.21</v>
      </c>
    </row>
    <row r="15" spans="2:80">
      <c r="B15" s="44" t="s">
        <v>1024</v>
      </c>
      <c r="C15" s="42">
        <v>2.99</v>
      </c>
      <c r="D15" s="42">
        <v>4.3899999999999997</v>
      </c>
      <c r="E15" s="42">
        <v>5.29</v>
      </c>
      <c r="F15" s="42">
        <v>5.62</v>
      </c>
      <c r="G15" s="42">
        <v>4.32</v>
      </c>
      <c r="H15" s="42">
        <v>4.7699999999999996</v>
      </c>
      <c r="I15" s="42">
        <v>1.77</v>
      </c>
      <c r="J15" s="46">
        <v>2.2799999999999998</v>
      </c>
      <c r="L15" s="44" t="s">
        <v>1025</v>
      </c>
      <c r="M15" s="42">
        <v>2.86</v>
      </c>
      <c r="N15" s="42">
        <v>5.46</v>
      </c>
      <c r="O15" s="42">
        <v>5.19</v>
      </c>
      <c r="P15" s="42">
        <v>2.67</v>
      </c>
      <c r="Q15" s="42">
        <v>0</v>
      </c>
      <c r="R15" s="42">
        <v>3.34</v>
      </c>
      <c r="S15" s="42">
        <v>3.04</v>
      </c>
      <c r="T15" s="46">
        <v>3.44</v>
      </c>
      <c r="V15" s="44" t="s">
        <v>1026</v>
      </c>
      <c r="W15" s="42">
        <v>3.93</v>
      </c>
      <c r="X15" s="42">
        <v>4.26</v>
      </c>
      <c r="Y15" s="42">
        <v>4.12</v>
      </c>
      <c r="Z15" s="42">
        <v>4.3099999999999996</v>
      </c>
      <c r="AA15" s="42">
        <v>3.62</v>
      </c>
      <c r="AB15" s="42">
        <v>0.97</v>
      </c>
      <c r="AC15" s="42">
        <v>1.65</v>
      </c>
      <c r="AD15" s="46">
        <v>1.27</v>
      </c>
      <c r="AF15" s="44" t="s">
        <v>1027</v>
      </c>
      <c r="AG15" s="42">
        <v>4.1399999999999997</v>
      </c>
      <c r="AH15" s="42">
        <v>6.1</v>
      </c>
      <c r="AI15" s="42">
        <v>3.39</v>
      </c>
      <c r="AJ15" s="42">
        <v>5.13</v>
      </c>
      <c r="AK15" s="42">
        <v>4.53</v>
      </c>
      <c r="AL15" s="42">
        <v>1.85</v>
      </c>
      <c r="AM15" s="42">
        <v>3.77</v>
      </c>
      <c r="AN15" s="46">
        <v>3.13</v>
      </c>
      <c r="AP15" s="44" t="s">
        <v>1028</v>
      </c>
      <c r="AQ15" s="42">
        <v>2.59</v>
      </c>
      <c r="AR15" s="42">
        <v>1.17</v>
      </c>
      <c r="AS15" s="42">
        <v>2.59</v>
      </c>
      <c r="AT15" s="42">
        <v>3.56</v>
      </c>
      <c r="AU15" s="42">
        <v>1.37</v>
      </c>
      <c r="AV15" s="42">
        <v>1.17</v>
      </c>
      <c r="AW15" s="42">
        <v>1.17</v>
      </c>
      <c r="AX15" s="46">
        <v>0</v>
      </c>
      <c r="AZ15" s="44" t="s">
        <v>1029</v>
      </c>
      <c r="BA15" s="42">
        <v>0.53</v>
      </c>
      <c r="BB15" s="42">
        <v>5.74</v>
      </c>
      <c r="BC15" s="42">
        <v>0.39</v>
      </c>
      <c r="BD15" s="42">
        <v>3.04</v>
      </c>
      <c r="BE15" s="42">
        <v>2.59</v>
      </c>
      <c r="BF15" s="42">
        <v>1.89</v>
      </c>
      <c r="BG15" s="42">
        <v>0.62</v>
      </c>
      <c r="BH15" s="46">
        <v>1.17</v>
      </c>
      <c r="BJ15" s="44" t="s">
        <v>1030</v>
      </c>
      <c r="BK15" s="42">
        <v>12.69</v>
      </c>
      <c r="BL15" s="42">
        <v>1.61</v>
      </c>
      <c r="BM15" s="42">
        <v>1.61</v>
      </c>
      <c r="BN15" s="42">
        <v>3.56</v>
      </c>
      <c r="BO15" s="42">
        <v>1.61</v>
      </c>
      <c r="BP15" s="42">
        <v>2.21</v>
      </c>
      <c r="BQ15" s="42">
        <v>0.24</v>
      </c>
      <c r="BR15" s="46">
        <v>0.2</v>
      </c>
      <c r="BT15" s="44" t="s">
        <v>1028</v>
      </c>
      <c r="BU15" s="42">
        <v>0</v>
      </c>
      <c r="BV15" s="42">
        <v>0.45</v>
      </c>
      <c r="BW15" s="42">
        <v>0.15</v>
      </c>
      <c r="BX15" s="42">
        <v>2.59</v>
      </c>
      <c r="BY15" s="42">
        <v>2.21</v>
      </c>
      <c r="BZ15" s="42">
        <v>0.62</v>
      </c>
      <c r="CA15" s="42">
        <v>0.28000000000000003</v>
      </c>
      <c r="CB15" s="46">
        <v>1.89</v>
      </c>
    </row>
    <row r="16" spans="2:80">
      <c r="B16" s="44" t="s">
        <v>1031</v>
      </c>
      <c r="C16" s="42">
        <v>3.03</v>
      </c>
      <c r="D16" s="42">
        <v>4.4000000000000004</v>
      </c>
      <c r="E16" s="42">
        <v>5.29</v>
      </c>
      <c r="F16" s="42">
        <v>3.67</v>
      </c>
      <c r="G16" s="42">
        <v>4.33</v>
      </c>
      <c r="H16" s="42">
        <v>4.8099999999999996</v>
      </c>
      <c r="I16" s="42">
        <v>1.73</v>
      </c>
      <c r="J16" s="46">
        <v>2.2400000000000002</v>
      </c>
      <c r="L16" s="44" t="s">
        <v>1032</v>
      </c>
      <c r="M16" s="42">
        <v>2.83</v>
      </c>
      <c r="N16" s="42">
        <v>5.45</v>
      </c>
      <c r="O16" s="42">
        <v>5.24</v>
      </c>
      <c r="P16" s="42">
        <v>4.99</v>
      </c>
      <c r="Q16" s="42">
        <v>5.18</v>
      </c>
      <c r="R16" s="42">
        <v>3.75</v>
      </c>
      <c r="S16" s="42">
        <v>3.04</v>
      </c>
      <c r="T16" s="46">
        <v>3.51</v>
      </c>
      <c r="V16" s="44" t="s">
        <v>1033</v>
      </c>
      <c r="W16" s="42">
        <v>3.91</v>
      </c>
      <c r="X16" s="42">
        <v>4.26</v>
      </c>
      <c r="Y16" s="42">
        <v>4.16</v>
      </c>
      <c r="Z16" s="42">
        <v>4.28</v>
      </c>
      <c r="AA16" s="42">
        <v>3.59</v>
      </c>
      <c r="AB16" s="42">
        <v>3.12</v>
      </c>
      <c r="AC16" s="42">
        <v>1.62</v>
      </c>
      <c r="AD16" s="46">
        <v>1.21</v>
      </c>
      <c r="AF16" s="44" t="s">
        <v>1034</v>
      </c>
      <c r="AG16" s="42">
        <v>4.17</v>
      </c>
      <c r="AH16" s="42">
        <v>6.1</v>
      </c>
      <c r="AI16" s="42">
        <v>3.77</v>
      </c>
      <c r="AJ16" s="42">
        <v>5.19</v>
      </c>
      <c r="AK16" s="42">
        <v>5.44</v>
      </c>
      <c r="AL16" s="42">
        <v>1.85</v>
      </c>
      <c r="AM16" s="42">
        <v>3.75</v>
      </c>
      <c r="AN16" s="46">
        <v>0.54</v>
      </c>
      <c r="AP16" s="44" t="s">
        <v>1035</v>
      </c>
      <c r="AQ16" s="42">
        <v>2.59</v>
      </c>
      <c r="AR16" s="42">
        <v>1.17</v>
      </c>
      <c r="AS16" s="42">
        <v>2.59</v>
      </c>
      <c r="AT16" s="42">
        <v>2.59</v>
      </c>
      <c r="AU16" s="42">
        <v>1.37</v>
      </c>
      <c r="AV16" s="42">
        <v>1.37</v>
      </c>
      <c r="AW16" s="42">
        <v>1.37</v>
      </c>
      <c r="AX16" s="46">
        <v>0</v>
      </c>
      <c r="AZ16" s="44" t="s">
        <v>1036</v>
      </c>
      <c r="BA16" s="42">
        <v>0.53</v>
      </c>
      <c r="BB16" s="42">
        <v>4.18</v>
      </c>
      <c r="BC16" s="42">
        <v>0.33</v>
      </c>
      <c r="BD16" s="42">
        <v>1.61</v>
      </c>
      <c r="BE16" s="42">
        <v>17.43</v>
      </c>
      <c r="BF16" s="42">
        <v>1.89</v>
      </c>
      <c r="BG16" s="42">
        <v>0.73</v>
      </c>
      <c r="BH16" s="46">
        <v>1.37</v>
      </c>
      <c r="BJ16" s="44" t="s">
        <v>1037</v>
      </c>
      <c r="BK16" s="42">
        <v>14.87</v>
      </c>
      <c r="BL16" s="42">
        <v>0.73</v>
      </c>
      <c r="BM16" s="42">
        <v>1.61</v>
      </c>
      <c r="BN16" s="42">
        <v>3.56</v>
      </c>
      <c r="BO16" s="42">
        <v>1.89</v>
      </c>
      <c r="BP16" s="42">
        <v>2.21</v>
      </c>
      <c r="BQ16" s="42">
        <v>0.24</v>
      </c>
      <c r="BR16" s="46">
        <v>0.53</v>
      </c>
      <c r="BT16" s="44" t="s">
        <v>1035</v>
      </c>
      <c r="BU16" s="42">
        <v>0.85</v>
      </c>
      <c r="BV16" s="42">
        <v>1.17</v>
      </c>
      <c r="BW16" s="42">
        <v>0.11</v>
      </c>
      <c r="BX16" s="42">
        <v>2.21</v>
      </c>
      <c r="BY16" s="42">
        <v>1.89</v>
      </c>
      <c r="BZ16" s="42">
        <v>0.85</v>
      </c>
      <c r="CA16" s="42">
        <v>0.33</v>
      </c>
      <c r="CB16" s="46">
        <v>2.21</v>
      </c>
    </row>
    <row r="17" spans="2:80">
      <c r="B17" s="44" t="s">
        <v>1038</v>
      </c>
      <c r="C17" s="42">
        <v>3.01</v>
      </c>
      <c r="D17" s="42">
        <v>4.42</v>
      </c>
      <c r="E17" s="42">
        <v>5.3</v>
      </c>
      <c r="F17" s="42">
        <v>5.64</v>
      </c>
      <c r="G17" s="42">
        <v>4.32</v>
      </c>
      <c r="H17" s="42">
        <v>4.87</v>
      </c>
      <c r="I17" s="42">
        <v>1.77</v>
      </c>
      <c r="J17" s="46">
        <v>2.25</v>
      </c>
      <c r="L17" s="44" t="s">
        <v>1039</v>
      </c>
      <c r="M17" s="42">
        <v>2.85</v>
      </c>
      <c r="N17" s="42">
        <v>5.44</v>
      </c>
      <c r="O17" s="42">
        <v>5.24</v>
      </c>
      <c r="P17" s="42">
        <v>6.05</v>
      </c>
      <c r="Q17" s="42">
        <v>0</v>
      </c>
      <c r="R17" s="42">
        <v>3.73</v>
      </c>
      <c r="S17" s="42">
        <v>3.04</v>
      </c>
      <c r="T17" s="46">
        <v>3.46</v>
      </c>
      <c r="V17" s="44" t="s">
        <v>1040</v>
      </c>
      <c r="W17" s="42">
        <v>3.93</v>
      </c>
      <c r="X17" s="42">
        <v>4.28</v>
      </c>
      <c r="Y17" s="42">
        <v>4.1500000000000004</v>
      </c>
      <c r="Z17" s="42">
        <v>4.2699999999999996</v>
      </c>
      <c r="AA17" s="42">
        <v>3.6</v>
      </c>
      <c r="AB17" s="42">
        <v>3.13</v>
      </c>
      <c r="AC17" s="42">
        <v>1.62</v>
      </c>
      <c r="AD17" s="46">
        <v>1.21</v>
      </c>
      <c r="AF17" s="44" t="s">
        <v>1041</v>
      </c>
      <c r="AG17" s="42">
        <v>4.1399999999999997</v>
      </c>
      <c r="AH17" s="42">
        <v>3</v>
      </c>
      <c r="AI17" s="42">
        <v>3.76</v>
      </c>
      <c r="AJ17" s="42">
        <v>5.13</v>
      </c>
      <c r="AK17" s="42">
        <v>5.01</v>
      </c>
      <c r="AL17" s="42">
        <v>1.89</v>
      </c>
      <c r="AM17" s="42">
        <v>3.77</v>
      </c>
      <c r="AN17" s="46">
        <v>3.09</v>
      </c>
      <c r="AP17" s="44" t="s">
        <v>1042</v>
      </c>
      <c r="AQ17" s="42">
        <v>2.21</v>
      </c>
      <c r="AR17" s="42">
        <v>1.17</v>
      </c>
      <c r="AS17" s="42">
        <v>2.59</v>
      </c>
      <c r="AT17" s="42">
        <v>3.04</v>
      </c>
      <c r="AU17" s="42">
        <v>1.37</v>
      </c>
      <c r="AV17" s="42">
        <v>1.17</v>
      </c>
      <c r="AW17" s="42">
        <v>0.33</v>
      </c>
      <c r="AX17" s="46">
        <v>0</v>
      </c>
      <c r="AZ17" s="44" t="s">
        <v>1043</v>
      </c>
      <c r="BA17" s="42">
        <v>0.45</v>
      </c>
      <c r="BB17" s="42">
        <v>0.53</v>
      </c>
      <c r="BC17" s="42">
        <v>0.15</v>
      </c>
      <c r="BD17" s="42">
        <v>1.61</v>
      </c>
      <c r="BE17" s="42">
        <v>17.43</v>
      </c>
      <c r="BF17" s="42">
        <v>1.61</v>
      </c>
      <c r="BG17" s="42">
        <v>0.62</v>
      </c>
      <c r="BH17" s="46">
        <v>1.17</v>
      </c>
      <c r="BJ17" s="44" t="s">
        <v>1044</v>
      </c>
      <c r="BK17" s="42">
        <v>4.8899999999999997</v>
      </c>
      <c r="BL17" s="42">
        <v>1.37</v>
      </c>
      <c r="BM17" s="42">
        <v>1.61</v>
      </c>
      <c r="BN17" s="42">
        <v>3.56</v>
      </c>
      <c r="BO17" s="42">
        <v>1.89</v>
      </c>
      <c r="BP17" s="42">
        <v>3.56</v>
      </c>
      <c r="BQ17" s="42">
        <v>0.24</v>
      </c>
      <c r="BR17" s="46">
        <v>0.2</v>
      </c>
      <c r="BT17" s="44" t="s">
        <v>1042</v>
      </c>
      <c r="BU17" s="42">
        <v>0.85</v>
      </c>
      <c r="BV17" s="42">
        <v>6.72</v>
      </c>
      <c r="BW17" s="42">
        <v>0.11</v>
      </c>
      <c r="BX17" s="42">
        <v>2.21</v>
      </c>
      <c r="BY17" s="42">
        <v>0</v>
      </c>
      <c r="BZ17" s="42">
        <v>0.33</v>
      </c>
      <c r="CA17" s="42">
        <v>0.33</v>
      </c>
      <c r="CB17" s="46">
        <v>3.04</v>
      </c>
    </row>
    <row r="18" spans="2:80">
      <c r="B18" s="44" t="s">
        <v>1045</v>
      </c>
      <c r="C18" s="42">
        <v>3</v>
      </c>
      <c r="D18" s="42">
        <v>4.38</v>
      </c>
      <c r="E18" s="42">
        <v>5.31</v>
      </c>
      <c r="F18" s="42">
        <v>5.63</v>
      </c>
      <c r="G18" s="42">
        <v>4.32</v>
      </c>
      <c r="H18" s="42">
        <v>0.38</v>
      </c>
      <c r="I18" s="42">
        <v>1.75</v>
      </c>
      <c r="J18" s="46">
        <v>4.57</v>
      </c>
      <c r="L18" s="44" t="s">
        <v>1046</v>
      </c>
      <c r="M18" s="42">
        <v>2.85</v>
      </c>
      <c r="N18" s="42">
        <v>5.45</v>
      </c>
      <c r="O18" s="42">
        <v>5.15</v>
      </c>
      <c r="P18" s="42">
        <v>6.06</v>
      </c>
      <c r="Q18" s="42">
        <v>5.16</v>
      </c>
      <c r="R18" s="42">
        <v>3.72</v>
      </c>
      <c r="S18" s="42">
        <v>3.06</v>
      </c>
      <c r="T18" s="46">
        <v>3.48</v>
      </c>
      <c r="V18" s="44" t="s">
        <v>1047</v>
      </c>
      <c r="W18" s="42">
        <v>3.94</v>
      </c>
      <c r="X18" s="42">
        <v>4.28</v>
      </c>
      <c r="Y18" s="42">
        <v>4.16</v>
      </c>
      <c r="Z18" s="42">
        <v>4.32</v>
      </c>
      <c r="AA18" s="42">
        <v>3.63</v>
      </c>
      <c r="AB18" s="42">
        <v>4.01</v>
      </c>
      <c r="AC18" s="42">
        <v>1.62</v>
      </c>
      <c r="AD18" s="46">
        <v>1.23</v>
      </c>
      <c r="AF18" s="44" t="s">
        <v>1048</v>
      </c>
      <c r="AG18" s="42">
        <v>4.12</v>
      </c>
      <c r="AH18" s="42">
        <v>6.03</v>
      </c>
      <c r="AI18" s="42">
        <v>3.74</v>
      </c>
      <c r="AJ18" s="42">
        <v>5.19</v>
      </c>
      <c r="AK18" s="42">
        <v>5.44</v>
      </c>
      <c r="AL18" s="42">
        <v>1.83</v>
      </c>
      <c r="AM18" s="42">
        <v>3.78</v>
      </c>
      <c r="AN18" s="46">
        <v>3.19</v>
      </c>
      <c r="AP18" s="44" t="s">
        <v>1049</v>
      </c>
      <c r="AQ18" s="42">
        <v>2.21</v>
      </c>
      <c r="AR18" s="42">
        <v>0</v>
      </c>
      <c r="AS18" s="42">
        <v>2.59</v>
      </c>
      <c r="AT18" s="42">
        <v>3.56</v>
      </c>
      <c r="AU18" s="42">
        <v>1.37</v>
      </c>
      <c r="AV18" s="42">
        <v>1.37</v>
      </c>
      <c r="AW18" s="42">
        <v>1.17</v>
      </c>
      <c r="AX18" s="46">
        <v>0</v>
      </c>
      <c r="AZ18" s="44" t="s">
        <v>1050</v>
      </c>
      <c r="BA18" s="42">
        <v>0.53</v>
      </c>
      <c r="BB18" s="42">
        <v>0.73</v>
      </c>
      <c r="BC18" s="42">
        <v>0.15</v>
      </c>
      <c r="BD18" s="42">
        <v>1.37</v>
      </c>
      <c r="BE18" s="42">
        <v>17.43</v>
      </c>
      <c r="BF18" s="42">
        <v>1.89</v>
      </c>
      <c r="BG18" s="42">
        <v>0.62</v>
      </c>
      <c r="BH18" s="46">
        <v>1.17</v>
      </c>
      <c r="BJ18" s="44" t="s">
        <v>1051</v>
      </c>
      <c r="BK18" s="42">
        <v>9.24</v>
      </c>
      <c r="BL18" s="42">
        <v>1.37</v>
      </c>
      <c r="BM18" s="42">
        <v>1.61</v>
      </c>
      <c r="BN18" s="42">
        <v>3.56</v>
      </c>
      <c r="BO18" s="42">
        <v>1.89</v>
      </c>
      <c r="BP18" s="42">
        <v>0.85</v>
      </c>
      <c r="BQ18" s="42">
        <v>0.2</v>
      </c>
      <c r="BR18" s="46">
        <v>0.24</v>
      </c>
      <c r="BT18" s="44" t="s">
        <v>1049</v>
      </c>
      <c r="BU18" s="42">
        <v>0.73</v>
      </c>
      <c r="BV18" s="42">
        <v>0.45</v>
      </c>
      <c r="BW18" s="42">
        <v>0.13</v>
      </c>
      <c r="BX18" s="42">
        <v>1.17</v>
      </c>
      <c r="BY18" s="42">
        <v>2.21</v>
      </c>
      <c r="BZ18" s="42">
        <v>0.62</v>
      </c>
      <c r="CA18" s="42">
        <v>0.28000000000000003</v>
      </c>
      <c r="CB18" s="46">
        <v>1.89</v>
      </c>
    </row>
    <row r="19" spans="2:80">
      <c r="B19" s="44" t="s">
        <v>1052</v>
      </c>
      <c r="C19" s="42">
        <v>0.12</v>
      </c>
      <c r="D19" s="42">
        <v>4.3600000000000003</v>
      </c>
      <c r="E19" s="42">
        <v>4.22</v>
      </c>
      <c r="F19" s="42">
        <v>4.29</v>
      </c>
      <c r="G19" s="42">
        <v>4.3099999999999996</v>
      </c>
      <c r="H19" s="42">
        <v>4.8499999999999996</v>
      </c>
      <c r="I19" s="42">
        <v>1.78</v>
      </c>
      <c r="J19" s="46">
        <v>2.25</v>
      </c>
      <c r="L19" s="44" t="s">
        <v>1053</v>
      </c>
      <c r="M19" s="42">
        <v>2.88</v>
      </c>
      <c r="N19" s="42">
        <v>5.45</v>
      </c>
      <c r="O19" s="42">
        <v>5.19</v>
      </c>
      <c r="P19" s="42">
        <v>6.08</v>
      </c>
      <c r="Q19" s="42">
        <v>0</v>
      </c>
      <c r="R19" s="42">
        <v>3.73</v>
      </c>
      <c r="S19" s="42">
        <v>3.08</v>
      </c>
      <c r="T19" s="46">
        <v>3.4</v>
      </c>
      <c r="V19" s="44" t="s">
        <v>1054</v>
      </c>
      <c r="W19" s="42">
        <v>3.93</v>
      </c>
      <c r="X19" s="42">
        <v>4.28</v>
      </c>
      <c r="Y19" s="42">
        <v>4.17</v>
      </c>
      <c r="Z19" s="42">
        <v>4.3099999999999996</v>
      </c>
      <c r="AA19" s="42">
        <v>3.64</v>
      </c>
      <c r="AB19" s="42">
        <v>3.1</v>
      </c>
      <c r="AC19" s="42">
        <v>1.66</v>
      </c>
      <c r="AD19" s="46">
        <v>1.26</v>
      </c>
      <c r="AF19" s="44" t="s">
        <v>1055</v>
      </c>
      <c r="AG19" s="42">
        <v>4.1399999999999997</v>
      </c>
      <c r="AH19" s="42">
        <v>6.17</v>
      </c>
      <c r="AI19" s="42">
        <v>3.76</v>
      </c>
      <c r="AJ19" s="42">
        <v>5.12</v>
      </c>
      <c r="AK19" s="42">
        <v>0.48</v>
      </c>
      <c r="AL19" s="42">
        <v>1.84</v>
      </c>
      <c r="AM19" s="42">
        <v>3.76</v>
      </c>
      <c r="AN19" s="46">
        <v>3.17</v>
      </c>
      <c r="AP19" s="44" t="s">
        <v>1056</v>
      </c>
      <c r="AQ19" s="42">
        <v>0</v>
      </c>
      <c r="AR19" s="42">
        <v>0</v>
      </c>
      <c r="AS19" s="42">
        <v>0.85</v>
      </c>
      <c r="AT19" s="42">
        <v>3.04</v>
      </c>
      <c r="AU19" s="42">
        <v>1.61</v>
      </c>
      <c r="AV19" s="42">
        <v>99.99</v>
      </c>
      <c r="AW19" s="42">
        <v>0.28000000000000003</v>
      </c>
      <c r="AX19" s="46">
        <v>6.72</v>
      </c>
      <c r="AZ19" s="44" t="s">
        <v>1057</v>
      </c>
      <c r="BA19" s="42">
        <v>0.53</v>
      </c>
      <c r="BB19" s="42">
        <v>4.8899999999999997</v>
      </c>
      <c r="BC19" s="42">
        <v>0.39</v>
      </c>
      <c r="BD19" s="42">
        <v>1.61</v>
      </c>
      <c r="BE19" s="42">
        <v>2.21</v>
      </c>
      <c r="BF19" s="42">
        <v>1.89</v>
      </c>
      <c r="BG19" s="42">
        <v>0.73</v>
      </c>
      <c r="BH19" s="46">
        <v>4.8899999999999997</v>
      </c>
      <c r="BJ19" s="44" t="s">
        <v>1058</v>
      </c>
      <c r="BK19" s="42">
        <v>12.69</v>
      </c>
      <c r="BL19" s="42">
        <v>1.37</v>
      </c>
      <c r="BM19" s="42">
        <v>0.2</v>
      </c>
      <c r="BN19" s="42">
        <v>1.89</v>
      </c>
      <c r="BO19" s="42">
        <v>1.37</v>
      </c>
      <c r="BP19" s="42">
        <v>2.21</v>
      </c>
      <c r="BQ19" s="42">
        <v>0.24</v>
      </c>
      <c r="BR19" s="46">
        <v>0.24</v>
      </c>
      <c r="BT19" s="44" t="s">
        <v>1056</v>
      </c>
      <c r="BU19" s="42">
        <v>0.85</v>
      </c>
      <c r="BV19" s="42">
        <v>0.45</v>
      </c>
      <c r="BW19" s="42">
        <v>0.15</v>
      </c>
      <c r="BX19" s="42">
        <v>0</v>
      </c>
      <c r="BY19" s="42">
        <v>1.89</v>
      </c>
      <c r="BZ19" s="42">
        <v>0.73</v>
      </c>
      <c r="CA19" s="42">
        <v>0.33</v>
      </c>
      <c r="CB19" s="46">
        <v>2.21</v>
      </c>
    </row>
    <row r="20" spans="2:80">
      <c r="B20" s="44" t="s">
        <v>1059</v>
      </c>
      <c r="C20" s="42">
        <v>2.98</v>
      </c>
      <c r="D20" s="42">
        <v>4.3899999999999997</v>
      </c>
      <c r="E20" s="42">
        <v>5.3</v>
      </c>
      <c r="F20" s="42">
        <v>5.62</v>
      </c>
      <c r="G20" s="42">
        <v>4.33</v>
      </c>
      <c r="H20" s="42">
        <v>3.95</v>
      </c>
      <c r="I20" s="42">
        <v>1.74</v>
      </c>
      <c r="J20" s="46">
        <v>2.2000000000000002</v>
      </c>
      <c r="L20" s="44" t="s">
        <v>1060</v>
      </c>
      <c r="M20" s="42">
        <v>2.84</v>
      </c>
      <c r="N20" s="42">
        <v>2.77</v>
      </c>
      <c r="O20" s="42">
        <v>2.0099999999999998</v>
      </c>
      <c r="P20" s="42">
        <v>6.09</v>
      </c>
      <c r="Q20" s="42">
        <v>0</v>
      </c>
      <c r="R20" s="42">
        <v>3.75</v>
      </c>
      <c r="S20" s="42">
        <v>3.05</v>
      </c>
      <c r="T20" s="46">
        <v>4.08</v>
      </c>
      <c r="V20" s="44" t="s">
        <v>1061</v>
      </c>
      <c r="W20" s="42">
        <v>2.99</v>
      </c>
      <c r="X20" s="42">
        <v>4.26</v>
      </c>
      <c r="Y20" s="42">
        <v>4.17</v>
      </c>
      <c r="Z20" s="42">
        <v>4.28</v>
      </c>
      <c r="AA20" s="42">
        <v>3.59</v>
      </c>
      <c r="AB20" s="42">
        <v>3.16</v>
      </c>
      <c r="AC20" s="42">
        <v>1.64</v>
      </c>
      <c r="AD20" s="46">
        <v>1.25</v>
      </c>
      <c r="AF20" s="44" t="s">
        <v>1062</v>
      </c>
      <c r="AG20" s="42">
        <v>4.1500000000000004</v>
      </c>
      <c r="AH20" s="42">
        <v>6.06</v>
      </c>
      <c r="AI20" s="42">
        <v>3.77</v>
      </c>
      <c r="AJ20" s="42">
        <v>5.15</v>
      </c>
      <c r="AK20" s="42">
        <v>5.44</v>
      </c>
      <c r="AL20" s="42">
        <v>1.89</v>
      </c>
      <c r="AM20" s="42">
        <v>3.75</v>
      </c>
      <c r="AN20" s="46">
        <v>3.13</v>
      </c>
      <c r="AP20" s="44" t="s">
        <v>1063</v>
      </c>
      <c r="AQ20" s="42">
        <v>2.59</v>
      </c>
      <c r="AR20" s="42">
        <v>1.17</v>
      </c>
      <c r="AS20" s="42">
        <v>2.59</v>
      </c>
      <c r="AT20" s="42">
        <v>3.04</v>
      </c>
      <c r="AU20" s="42">
        <v>1.37</v>
      </c>
      <c r="AV20" s="42">
        <v>1.37</v>
      </c>
      <c r="AW20" s="42">
        <v>1.17</v>
      </c>
      <c r="AX20" s="46">
        <v>0</v>
      </c>
      <c r="AZ20" s="44" t="s">
        <v>1064</v>
      </c>
      <c r="BA20" s="42">
        <v>0.53</v>
      </c>
      <c r="BB20" s="42">
        <v>4.8899999999999997</v>
      </c>
      <c r="BC20" s="42">
        <v>0.33</v>
      </c>
      <c r="BD20" s="42">
        <v>1.37</v>
      </c>
      <c r="BE20" s="42">
        <v>20.43</v>
      </c>
      <c r="BF20" s="42">
        <v>1.89</v>
      </c>
      <c r="BG20" s="42">
        <v>0.73</v>
      </c>
      <c r="BH20" s="46">
        <v>1.17</v>
      </c>
      <c r="BJ20" s="44" t="s">
        <v>1065</v>
      </c>
      <c r="BK20" s="42">
        <v>14.87</v>
      </c>
      <c r="BL20" s="42">
        <v>1.37</v>
      </c>
      <c r="BM20" s="42">
        <v>1.61</v>
      </c>
      <c r="BN20" s="42">
        <v>3.56</v>
      </c>
      <c r="BO20" s="42">
        <v>1.89</v>
      </c>
      <c r="BP20" s="42">
        <v>2.59</v>
      </c>
      <c r="BQ20" s="42">
        <v>0.24</v>
      </c>
      <c r="BR20" s="46">
        <v>0.24</v>
      </c>
      <c r="BT20" s="44" t="s">
        <v>1063</v>
      </c>
      <c r="BU20" s="42">
        <v>0.85</v>
      </c>
      <c r="BV20" s="42">
        <v>0.45</v>
      </c>
      <c r="BW20" s="42">
        <v>0.15</v>
      </c>
      <c r="BX20" s="42">
        <v>1.17</v>
      </c>
      <c r="BY20" s="42">
        <v>2.21</v>
      </c>
      <c r="BZ20" s="42">
        <v>0.73</v>
      </c>
      <c r="CA20" s="42">
        <v>0.28000000000000003</v>
      </c>
      <c r="CB20" s="46">
        <v>2.21</v>
      </c>
    </row>
    <row r="21" spans="2:80">
      <c r="B21" s="44" t="s">
        <v>1066</v>
      </c>
      <c r="C21" s="42">
        <v>2.98</v>
      </c>
      <c r="D21" s="42">
        <v>4.4000000000000004</v>
      </c>
      <c r="E21" s="42">
        <v>5.3</v>
      </c>
      <c r="F21" s="42">
        <v>3.89</v>
      </c>
      <c r="G21" s="42">
        <v>4.32</v>
      </c>
      <c r="H21" s="42">
        <v>4.8899999999999997</v>
      </c>
      <c r="I21" s="42">
        <v>1.77</v>
      </c>
      <c r="J21" s="46">
        <v>2.2200000000000002</v>
      </c>
      <c r="L21" s="44" t="s">
        <v>1067</v>
      </c>
      <c r="M21" s="42">
        <v>2.87</v>
      </c>
      <c r="N21" s="42">
        <v>5.48</v>
      </c>
      <c r="O21" s="42">
        <v>5.15</v>
      </c>
      <c r="P21" s="42">
        <v>6.09</v>
      </c>
      <c r="Q21" s="42">
        <v>0</v>
      </c>
      <c r="R21" s="42">
        <v>3.71</v>
      </c>
      <c r="S21" s="42">
        <v>0.01</v>
      </c>
      <c r="T21" s="46">
        <v>3.48</v>
      </c>
      <c r="V21" s="44" t="s">
        <v>1068</v>
      </c>
      <c r="W21" s="42">
        <v>2.29</v>
      </c>
      <c r="X21" s="42">
        <v>3.61</v>
      </c>
      <c r="Y21" s="42">
        <v>2.87</v>
      </c>
      <c r="Z21" s="42">
        <v>4.37</v>
      </c>
      <c r="AA21" s="42">
        <v>3.61</v>
      </c>
      <c r="AB21" s="42">
        <v>3.15</v>
      </c>
      <c r="AC21" s="42">
        <v>1.64</v>
      </c>
      <c r="AD21" s="46">
        <v>1.22</v>
      </c>
      <c r="AF21" s="44" t="s">
        <v>1069</v>
      </c>
      <c r="AG21" s="42">
        <v>4.1399999999999997</v>
      </c>
      <c r="AH21" s="42">
        <v>6.1</v>
      </c>
      <c r="AI21" s="42">
        <v>3.8</v>
      </c>
      <c r="AJ21" s="42">
        <v>5.17</v>
      </c>
      <c r="AK21" s="42">
        <v>5.44</v>
      </c>
      <c r="AL21" s="42">
        <v>1.85</v>
      </c>
      <c r="AM21" s="42">
        <v>3.75</v>
      </c>
      <c r="AN21" s="46">
        <v>3.12</v>
      </c>
      <c r="AP21" s="44" t="s">
        <v>1070</v>
      </c>
      <c r="AQ21" s="42">
        <v>2.21</v>
      </c>
      <c r="AR21" s="42">
        <v>1.17</v>
      </c>
      <c r="AS21" s="42">
        <v>2.21</v>
      </c>
      <c r="AT21" s="42">
        <v>3.56</v>
      </c>
      <c r="AU21" s="42">
        <v>1.37</v>
      </c>
      <c r="AV21" s="42">
        <v>1.17</v>
      </c>
      <c r="AW21" s="42">
        <v>1.17</v>
      </c>
      <c r="AX21" s="46">
        <v>3.04</v>
      </c>
      <c r="AZ21" s="44" t="s">
        <v>1071</v>
      </c>
      <c r="BA21" s="42">
        <v>0.62</v>
      </c>
      <c r="BB21" s="42">
        <v>4.18</v>
      </c>
      <c r="BC21" s="42">
        <v>0.39</v>
      </c>
      <c r="BD21" s="42">
        <v>1.61</v>
      </c>
      <c r="BE21" s="42">
        <v>2.21</v>
      </c>
      <c r="BF21" s="42">
        <v>1.89</v>
      </c>
      <c r="BG21" s="42">
        <v>0.62</v>
      </c>
      <c r="BH21" s="46">
        <v>1.17</v>
      </c>
      <c r="BJ21" s="44" t="s">
        <v>1072</v>
      </c>
      <c r="BK21" s="42">
        <v>10.83</v>
      </c>
      <c r="BL21" s="42">
        <v>0.85</v>
      </c>
      <c r="BM21" s="42">
        <v>0.2</v>
      </c>
      <c r="BN21" s="42">
        <v>1.89</v>
      </c>
      <c r="BO21" s="42">
        <v>1.61</v>
      </c>
      <c r="BP21" s="42">
        <v>4.18</v>
      </c>
      <c r="BQ21" s="42">
        <v>0.17</v>
      </c>
      <c r="BR21" s="46">
        <v>0.53</v>
      </c>
      <c r="BT21" s="44" t="s">
        <v>1070</v>
      </c>
      <c r="BU21" s="42">
        <v>0.85</v>
      </c>
      <c r="BV21" s="42">
        <v>7.88</v>
      </c>
      <c r="BW21" s="42">
        <v>0.15</v>
      </c>
      <c r="BX21" s="42">
        <v>1.17</v>
      </c>
      <c r="BY21" s="42">
        <v>0</v>
      </c>
      <c r="BZ21" s="42">
        <v>0.62</v>
      </c>
      <c r="CA21" s="42">
        <v>0.33</v>
      </c>
      <c r="CB21" s="46">
        <v>3.04</v>
      </c>
    </row>
    <row r="22" spans="2:80">
      <c r="B22" s="44" t="s">
        <v>1073</v>
      </c>
      <c r="C22" s="42">
        <v>3</v>
      </c>
      <c r="D22" s="42">
        <v>4.4000000000000004</v>
      </c>
      <c r="E22" s="42">
        <v>99.99</v>
      </c>
      <c r="F22" s="42">
        <v>0.91</v>
      </c>
      <c r="G22" s="42">
        <v>4.32</v>
      </c>
      <c r="H22" s="42">
        <v>4.2699999999999996</v>
      </c>
      <c r="I22" s="42">
        <v>1.8</v>
      </c>
      <c r="J22" s="46">
        <v>2.2400000000000002</v>
      </c>
      <c r="L22" s="44" t="s">
        <v>1074</v>
      </c>
      <c r="M22" s="42">
        <v>2.86</v>
      </c>
      <c r="N22" s="42">
        <v>5.46</v>
      </c>
      <c r="O22" s="42">
        <v>5.18</v>
      </c>
      <c r="P22" s="42">
        <v>6.08</v>
      </c>
      <c r="Q22" s="42">
        <v>5.16</v>
      </c>
      <c r="R22" s="42">
        <v>3.72</v>
      </c>
      <c r="S22" s="42">
        <v>3.09</v>
      </c>
      <c r="T22" s="46">
        <v>3.39</v>
      </c>
      <c r="V22" s="44" t="s">
        <v>1075</v>
      </c>
      <c r="W22" s="42">
        <v>3.91</v>
      </c>
      <c r="X22" s="42">
        <v>0.19</v>
      </c>
      <c r="Y22" s="42">
        <v>4.1500000000000004</v>
      </c>
      <c r="Z22" s="42">
        <v>4.29</v>
      </c>
      <c r="AA22" s="42">
        <v>2.17</v>
      </c>
      <c r="AB22" s="42">
        <v>3.15</v>
      </c>
      <c r="AC22" s="42">
        <v>1.64</v>
      </c>
      <c r="AD22" s="46">
        <v>1.23</v>
      </c>
      <c r="AF22" s="44" t="s">
        <v>1076</v>
      </c>
      <c r="AG22" s="42">
        <v>4.1399999999999997</v>
      </c>
      <c r="AH22" s="42">
        <v>6.11</v>
      </c>
      <c r="AI22" s="42">
        <v>3.77</v>
      </c>
      <c r="AJ22" s="42">
        <v>5.17</v>
      </c>
      <c r="AK22" s="42">
        <v>5.45</v>
      </c>
      <c r="AL22" s="42">
        <v>1.82</v>
      </c>
      <c r="AM22" s="42">
        <v>3.75</v>
      </c>
      <c r="AN22" s="46">
        <v>3.15</v>
      </c>
      <c r="AP22" s="44" t="s">
        <v>1077</v>
      </c>
      <c r="AQ22" s="42">
        <v>2.59</v>
      </c>
      <c r="AR22" s="42">
        <v>0.85</v>
      </c>
      <c r="AS22" s="42">
        <v>2.59</v>
      </c>
      <c r="AT22" s="42">
        <v>3.04</v>
      </c>
      <c r="AU22" s="42">
        <v>1.61</v>
      </c>
      <c r="AV22" s="42">
        <v>1.17</v>
      </c>
      <c r="AW22" s="42">
        <v>1.17</v>
      </c>
      <c r="AX22" s="46">
        <v>0</v>
      </c>
      <c r="AZ22" s="44" t="s">
        <v>1078</v>
      </c>
      <c r="BA22" s="42">
        <v>0.53</v>
      </c>
      <c r="BB22" s="42">
        <v>3.56</v>
      </c>
      <c r="BC22" s="42">
        <v>0.33</v>
      </c>
      <c r="BD22" s="42">
        <v>1.61</v>
      </c>
      <c r="BE22" s="42">
        <v>2.59</v>
      </c>
      <c r="BF22" s="42">
        <v>1.89</v>
      </c>
      <c r="BG22" s="42">
        <v>0.62</v>
      </c>
      <c r="BH22" s="46">
        <v>1.37</v>
      </c>
      <c r="BJ22" s="44" t="s">
        <v>1079</v>
      </c>
      <c r="BK22" s="42">
        <v>9.24</v>
      </c>
      <c r="BL22" s="42">
        <v>0</v>
      </c>
      <c r="BM22" s="42">
        <v>0.2</v>
      </c>
      <c r="BN22" s="42">
        <v>3.56</v>
      </c>
      <c r="BO22" s="42">
        <v>1.89</v>
      </c>
      <c r="BP22" s="42">
        <v>3.56</v>
      </c>
      <c r="BQ22" s="42">
        <v>0.17</v>
      </c>
      <c r="BR22" s="46">
        <v>0.53</v>
      </c>
      <c r="BT22" s="44" t="s">
        <v>1077</v>
      </c>
      <c r="BU22" s="42">
        <v>0.73</v>
      </c>
      <c r="BV22" s="42">
        <v>0.45</v>
      </c>
      <c r="BW22" s="42">
        <v>0.15</v>
      </c>
      <c r="BX22" s="42">
        <v>1.17</v>
      </c>
      <c r="BY22" s="42">
        <v>0</v>
      </c>
      <c r="BZ22" s="42">
        <v>0.73</v>
      </c>
      <c r="CA22" s="42">
        <v>0.28000000000000003</v>
      </c>
      <c r="CB22" s="46">
        <v>1.89</v>
      </c>
    </row>
    <row r="23" spans="2:80">
      <c r="B23" s="44" t="s">
        <v>1080</v>
      </c>
      <c r="C23" s="42">
        <v>2.97</v>
      </c>
      <c r="D23" s="42">
        <v>4.38</v>
      </c>
      <c r="E23" s="42">
        <v>2.68</v>
      </c>
      <c r="F23" s="42">
        <v>5.63</v>
      </c>
      <c r="G23" s="42">
        <v>4.32</v>
      </c>
      <c r="H23" s="42">
        <v>4.84</v>
      </c>
      <c r="I23" s="42">
        <v>1.76</v>
      </c>
      <c r="J23" s="46">
        <v>2.27</v>
      </c>
      <c r="L23" s="44" t="s">
        <v>1081</v>
      </c>
      <c r="M23" s="42">
        <v>2.83</v>
      </c>
      <c r="N23" s="42">
        <v>5.41</v>
      </c>
      <c r="O23" s="42">
        <v>0</v>
      </c>
      <c r="P23" s="42">
        <v>3.26</v>
      </c>
      <c r="Q23" s="42">
        <v>5.17</v>
      </c>
      <c r="R23" s="42">
        <v>3.74</v>
      </c>
      <c r="S23" s="42">
        <v>3.04</v>
      </c>
      <c r="T23" s="46">
        <v>2.94</v>
      </c>
      <c r="V23" s="44" t="s">
        <v>1082</v>
      </c>
      <c r="W23" s="42">
        <v>3.9</v>
      </c>
      <c r="X23" s="42">
        <v>4.3099999999999996</v>
      </c>
      <c r="Y23" s="42">
        <v>4.1500000000000004</v>
      </c>
      <c r="Z23" s="42">
        <v>4.28</v>
      </c>
      <c r="AA23" s="42">
        <v>3.61</v>
      </c>
      <c r="AB23" s="42">
        <v>3.16</v>
      </c>
      <c r="AC23" s="42">
        <v>1.62</v>
      </c>
      <c r="AD23" s="46">
        <v>1.26</v>
      </c>
      <c r="AF23" s="44" t="s">
        <v>1083</v>
      </c>
      <c r="AG23" s="42">
        <v>4.16</v>
      </c>
      <c r="AH23" s="42">
        <v>6.07</v>
      </c>
      <c r="AI23" s="42">
        <v>3.77</v>
      </c>
      <c r="AJ23" s="42">
        <v>5.13</v>
      </c>
      <c r="AK23" s="42">
        <v>5.46</v>
      </c>
      <c r="AL23" s="42">
        <v>1.85</v>
      </c>
      <c r="AM23" s="42">
        <v>3.74</v>
      </c>
      <c r="AN23" s="46">
        <v>3.11</v>
      </c>
      <c r="AP23" s="44" t="s">
        <v>1084</v>
      </c>
      <c r="AQ23" s="42">
        <v>2.21</v>
      </c>
      <c r="AR23" s="42">
        <v>1.17</v>
      </c>
      <c r="AS23" s="42">
        <v>2.59</v>
      </c>
      <c r="AT23" s="42">
        <v>3.56</v>
      </c>
      <c r="AU23" s="42">
        <v>1.37</v>
      </c>
      <c r="AV23" s="42">
        <v>1.37</v>
      </c>
      <c r="AW23" s="42">
        <v>1.17</v>
      </c>
      <c r="AX23" s="46">
        <v>0</v>
      </c>
      <c r="AZ23" s="44" t="s">
        <v>1085</v>
      </c>
      <c r="BA23" s="42">
        <v>0.45</v>
      </c>
      <c r="BB23" s="42">
        <v>4.18</v>
      </c>
      <c r="BC23" s="42">
        <v>0.33</v>
      </c>
      <c r="BD23" s="42">
        <v>1.61</v>
      </c>
      <c r="BE23" s="42">
        <v>2.21</v>
      </c>
      <c r="BF23" s="42">
        <v>1.89</v>
      </c>
      <c r="BG23" s="42">
        <v>0.73</v>
      </c>
      <c r="BH23" s="46">
        <v>1.17</v>
      </c>
      <c r="BJ23" s="44" t="s">
        <v>1086</v>
      </c>
      <c r="BK23" s="42">
        <v>14.87</v>
      </c>
      <c r="BL23" s="42">
        <v>1.61</v>
      </c>
      <c r="BM23" s="42">
        <v>1.61</v>
      </c>
      <c r="BN23" s="42">
        <v>3.56</v>
      </c>
      <c r="BO23" s="42">
        <v>1.37</v>
      </c>
      <c r="BP23" s="42">
        <v>2.59</v>
      </c>
      <c r="BQ23" s="42">
        <v>0.24</v>
      </c>
      <c r="BR23" s="46">
        <v>0.45</v>
      </c>
      <c r="BT23" s="44" t="s">
        <v>1084</v>
      </c>
      <c r="BU23" s="42">
        <v>0.85</v>
      </c>
      <c r="BV23" s="42">
        <v>0.45</v>
      </c>
      <c r="BW23" s="42">
        <v>0.15</v>
      </c>
      <c r="BX23" s="42">
        <v>1.17</v>
      </c>
      <c r="BY23" s="42">
        <v>1.89</v>
      </c>
      <c r="BZ23" s="42">
        <v>0.73</v>
      </c>
      <c r="CA23" s="42">
        <v>0.28000000000000003</v>
      </c>
      <c r="CB23" s="46">
        <v>1.89</v>
      </c>
    </row>
    <row r="24" spans="2:80">
      <c r="B24" s="44" t="s">
        <v>1087</v>
      </c>
      <c r="C24" s="42">
        <v>3.01</v>
      </c>
      <c r="D24" s="42">
        <v>0</v>
      </c>
      <c r="E24" s="42">
        <v>5.3</v>
      </c>
      <c r="F24" s="42">
        <v>5.63</v>
      </c>
      <c r="G24" s="42">
        <v>4.32</v>
      </c>
      <c r="H24" s="42">
        <v>4.84</v>
      </c>
      <c r="I24" s="42">
        <v>1.73</v>
      </c>
      <c r="J24" s="46">
        <v>2.1800000000000002</v>
      </c>
      <c r="L24" s="44" t="s">
        <v>1088</v>
      </c>
      <c r="M24" s="42">
        <v>2.83</v>
      </c>
      <c r="N24" s="42">
        <v>5.45</v>
      </c>
      <c r="O24" s="42">
        <v>5.19</v>
      </c>
      <c r="P24" s="42">
        <v>6.06</v>
      </c>
      <c r="Q24" s="42">
        <v>0</v>
      </c>
      <c r="R24" s="42">
        <v>3.74</v>
      </c>
      <c r="S24" s="42">
        <v>3.07</v>
      </c>
      <c r="T24" s="46">
        <v>2.93</v>
      </c>
      <c r="V24" s="44" t="s">
        <v>1089</v>
      </c>
      <c r="W24" s="42">
        <v>3.9</v>
      </c>
      <c r="X24" s="42">
        <v>4.25</v>
      </c>
      <c r="Y24" s="42">
        <v>4.21</v>
      </c>
      <c r="Z24" s="42">
        <v>4.2699999999999996</v>
      </c>
      <c r="AA24" s="42">
        <v>0.24</v>
      </c>
      <c r="AB24" s="42">
        <v>3.12</v>
      </c>
      <c r="AC24" s="42">
        <v>0.77</v>
      </c>
      <c r="AD24" s="46">
        <v>1.28</v>
      </c>
      <c r="AF24" s="44" t="s">
        <v>1090</v>
      </c>
      <c r="AG24" s="42">
        <v>4.17</v>
      </c>
      <c r="AH24" s="42">
        <v>6.09</v>
      </c>
      <c r="AI24" s="42">
        <v>3.78</v>
      </c>
      <c r="AJ24" s="42">
        <v>5.15</v>
      </c>
      <c r="AK24" s="42">
        <v>5.47</v>
      </c>
      <c r="AL24" s="42">
        <v>1.84</v>
      </c>
      <c r="AM24" s="42">
        <v>3.73</v>
      </c>
      <c r="AN24" s="46">
        <v>3.04</v>
      </c>
      <c r="AP24" s="44" t="s">
        <v>1091</v>
      </c>
      <c r="AQ24" s="42">
        <v>2.21</v>
      </c>
      <c r="AR24" s="42">
        <v>1.17</v>
      </c>
      <c r="AS24" s="42">
        <v>2.59</v>
      </c>
      <c r="AT24" s="42">
        <v>3.56</v>
      </c>
      <c r="AU24" s="42">
        <v>1.17</v>
      </c>
      <c r="AV24" s="42">
        <v>1.37</v>
      </c>
      <c r="AW24" s="42">
        <v>1.17</v>
      </c>
      <c r="AX24" s="46">
        <v>0</v>
      </c>
      <c r="AZ24" s="44" t="s">
        <v>1092</v>
      </c>
      <c r="BA24" s="42">
        <v>0.45</v>
      </c>
      <c r="BB24" s="42">
        <v>4.8899999999999997</v>
      </c>
      <c r="BC24" s="42">
        <v>0.39</v>
      </c>
      <c r="BD24" s="42">
        <v>1.61</v>
      </c>
      <c r="BE24" s="42">
        <v>2.59</v>
      </c>
      <c r="BF24" s="42">
        <v>1.89</v>
      </c>
      <c r="BG24" s="42">
        <v>0.62</v>
      </c>
      <c r="BH24" s="46">
        <v>1.17</v>
      </c>
      <c r="BJ24" s="44" t="s">
        <v>1093</v>
      </c>
      <c r="BK24" s="42">
        <v>12.69</v>
      </c>
      <c r="BL24" s="42">
        <v>1.61</v>
      </c>
      <c r="BM24" s="42">
        <v>1.61</v>
      </c>
      <c r="BN24" s="42">
        <v>3.56</v>
      </c>
      <c r="BO24" s="42">
        <v>1.89</v>
      </c>
      <c r="BP24" s="42">
        <v>2.21</v>
      </c>
      <c r="BQ24" s="42">
        <v>0.28000000000000003</v>
      </c>
      <c r="BR24" s="46">
        <v>0.24</v>
      </c>
      <c r="BT24" s="44" t="s">
        <v>1091</v>
      </c>
      <c r="BU24" s="42">
        <v>0.73</v>
      </c>
      <c r="BV24" s="42">
        <v>0.45</v>
      </c>
      <c r="BW24" s="42">
        <v>0.15</v>
      </c>
      <c r="BX24" s="42">
        <v>1.17</v>
      </c>
      <c r="BY24" s="42">
        <v>1.89</v>
      </c>
      <c r="BZ24" s="42">
        <v>0.73</v>
      </c>
      <c r="CA24" s="42">
        <v>0.28000000000000003</v>
      </c>
      <c r="CB24" s="46">
        <v>1.89</v>
      </c>
    </row>
    <row r="25" spans="2:80">
      <c r="B25" s="44" t="s">
        <v>1094</v>
      </c>
      <c r="C25" s="42">
        <v>3</v>
      </c>
      <c r="D25" s="42">
        <v>4.37</v>
      </c>
      <c r="E25" s="42">
        <v>5.3</v>
      </c>
      <c r="F25" s="42">
        <v>5.63</v>
      </c>
      <c r="G25" s="42">
        <v>4.3099999999999996</v>
      </c>
      <c r="H25" s="42">
        <v>0.45</v>
      </c>
      <c r="I25" s="42">
        <v>1.75</v>
      </c>
      <c r="J25" s="46">
        <v>2.2200000000000002</v>
      </c>
      <c r="L25" s="44" t="s">
        <v>1095</v>
      </c>
      <c r="M25" s="42">
        <v>2.84</v>
      </c>
      <c r="N25" s="42">
        <v>5.45</v>
      </c>
      <c r="O25" s="42">
        <v>5.18</v>
      </c>
      <c r="P25" s="42">
        <v>6.08</v>
      </c>
      <c r="Q25" s="42">
        <v>5.38</v>
      </c>
      <c r="R25" s="42">
        <v>3.76</v>
      </c>
      <c r="S25" s="42">
        <v>3.03</v>
      </c>
      <c r="T25" s="46">
        <v>2.34</v>
      </c>
      <c r="V25" s="44" t="s">
        <v>1096</v>
      </c>
      <c r="W25" s="42">
        <v>3.92</v>
      </c>
      <c r="X25" s="42">
        <v>4.28</v>
      </c>
      <c r="Y25" s="42">
        <v>4.16</v>
      </c>
      <c r="Z25" s="42">
        <v>4.3499999999999996</v>
      </c>
      <c r="AA25" s="42">
        <v>0.02</v>
      </c>
      <c r="AB25" s="42">
        <v>3.14</v>
      </c>
      <c r="AC25" s="42">
        <v>1.57</v>
      </c>
      <c r="AD25" s="46">
        <v>1.21</v>
      </c>
      <c r="AF25" s="44" t="s">
        <v>1097</v>
      </c>
      <c r="AG25" s="42">
        <v>1.1000000000000001</v>
      </c>
      <c r="AH25" s="42">
        <v>6.11</v>
      </c>
      <c r="AI25" s="42">
        <v>3.78</v>
      </c>
      <c r="AJ25" s="42">
        <v>5.22</v>
      </c>
      <c r="AK25" s="42">
        <v>5.47</v>
      </c>
      <c r="AL25" s="42">
        <v>1.86</v>
      </c>
      <c r="AM25" s="42">
        <v>3.75</v>
      </c>
      <c r="AN25" s="46">
        <v>3.18</v>
      </c>
      <c r="AP25" s="44" t="s">
        <v>1098</v>
      </c>
      <c r="AQ25" s="42">
        <v>2.21</v>
      </c>
      <c r="AR25" s="42">
        <v>1.17</v>
      </c>
      <c r="AS25" s="42">
        <v>2.59</v>
      </c>
      <c r="AT25" s="42">
        <v>3.56</v>
      </c>
      <c r="AU25" s="42">
        <v>1.37</v>
      </c>
      <c r="AV25" s="42">
        <v>1.17</v>
      </c>
      <c r="AW25" s="42">
        <v>1.17</v>
      </c>
      <c r="AX25" s="46">
        <v>0</v>
      </c>
      <c r="AZ25" s="44" t="s">
        <v>1099</v>
      </c>
      <c r="BA25" s="42">
        <v>0.53</v>
      </c>
      <c r="BB25" s="42">
        <v>4.18</v>
      </c>
      <c r="BC25" s="42">
        <v>0.39</v>
      </c>
      <c r="BD25" s="42">
        <v>1.61</v>
      </c>
      <c r="BE25" s="42">
        <v>2.21</v>
      </c>
      <c r="BF25" s="42">
        <v>1.89</v>
      </c>
      <c r="BG25" s="42">
        <v>0.73</v>
      </c>
      <c r="BH25" s="46">
        <v>1.17</v>
      </c>
      <c r="BJ25" s="44" t="s">
        <v>1100</v>
      </c>
      <c r="BK25" s="42">
        <v>14.87</v>
      </c>
      <c r="BL25" s="42">
        <v>1.37</v>
      </c>
      <c r="BM25" s="42">
        <v>0.2</v>
      </c>
      <c r="BN25" s="42">
        <v>3.56</v>
      </c>
      <c r="BO25" s="42">
        <v>1.89</v>
      </c>
      <c r="BP25" s="42">
        <v>2.59</v>
      </c>
      <c r="BQ25" s="42">
        <v>0.2</v>
      </c>
      <c r="BR25" s="46">
        <v>0.2</v>
      </c>
      <c r="BT25" s="44" t="s">
        <v>1098</v>
      </c>
      <c r="BU25" s="42">
        <v>0.85</v>
      </c>
      <c r="BV25" s="42">
        <v>0.45</v>
      </c>
      <c r="BW25" s="42">
        <v>0.15</v>
      </c>
      <c r="BX25" s="42">
        <v>1.17</v>
      </c>
      <c r="BY25" s="42">
        <v>1.61</v>
      </c>
      <c r="BZ25" s="42">
        <v>0.73</v>
      </c>
      <c r="CA25" s="42">
        <v>0.28000000000000003</v>
      </c>
      <c r="CB25" s="46">
        <v>3.56</v>
      </c>
    </row>
    <row r="26" spans="2:80">
      <c r="B26" s="44" t="s">
        <v>1101</v>
      </c>
      <c r="C26" s="42">
        <v>3.02</v>
      </c>
      <c r="D26" s="42">
        <v>4.3600000000000003</v>
      </c>
      <c r="E26" s="42">
        <v>5.32</v>
      </c>
      <c r="F26" s="42">
        <v>5.62</v>
      </c>
      <c r="G26" s="42">
        <v>4.32</v>
      </c>
      <c r="H26" s="42">
        <v>4.8899999999999997</v>
      </c>
      <c r="I26" s="42">
        <v>1.75</v>
      </c>
      <c r="J26" s="46">
        <v>2.2799999999999998</v>
      </c>
      <c r="L26" s="44" t="s">
        <v>1102</v>
      </c>
      <c r="M26" s="42">
        <v>2.85</v>
      </c>
      <c r="N26" s="42">
        <v>5.47</v>
      </c>
      <c r="O26" s="42">
        <v>5.15</v>
      </c>
      <c r="P26" s="42">
        <v>6.03</v>
      </c>
      <c r="Q26" s="42">
        <v>0</v>
      </c>
      <c r="R26" s="42">
        <v>3.77</v>
      </c>
      <c r="S26" s="42">
        <v>0.97</v>
      </c>
      <c r="T26" s="46">
        <v>3.41</v>
      </c>
      <c r="V26" s="44" t="s">
        <v>1103</v>
      </c>
      <c r="W26" s="42">
        <v>3.91</v>
      </c>
      <c r="X26" s="42">
        <v>4.2699999999999996</v>
      </c>
      <c r="Y26" s="42">
        <v>4.16</v>
      </c>
      <c r="Z26" s="42">
        <v>4.33</v>
      </c>
      <c r="AA26" s="42">
        <v>3.59</v>
      </c>
      <c r="AB26" s="42">
        <v>3.12</v>
      </c>
      <c r="AC26" s="42">
        <v>1.62</v>
      </c>
      <c r="AD26" s="46">
        <v>1.2</v>
      </c>
      <c r="AF26" s="44" t="s">
        <v>1104</v>
      </c>
      <c r="AG26" s="42">
        <v>4.1500000000000004</v>
      </c>
      <c r="AH26" s="42">
        <v>6.1</v>
      </c>
      <c r="AI26" s="42">
        <v>3.76</v>
      </c>
      <c r="AJ26" s="42">
        <v>5.24</v>
      </c>
      <c r="AK26" s="42">
        <v>5.45</v>
      </c>
      <c r="AL26" s="42">
        <v>1.88</v>
      </c>
      <c r="AM26" s="42">
        <v>3.72</v>
      </c>
      <c r="AN26" s="46">
        <v>3.18</v>
      </c>
      <c r="AP26" s="44" t="s">
        <v>1105</v>
      </c>
      <c r="AQ26" s="42">
        <v>2.21</v>
      </c>
      <c r="AR26" s="42">
        <v>1.17</v>
      </c>
      <c r="AS26" s="42">
        <v>2.59</v>
      </c>
      <c r="AT26" s="42">
        <v>3.56</v>
      </c>
      <c r="AU26" s="42">
        <v>1.37</v>
      </c>
      <c r="AV26" s="42">
        <v>62.1</v>
      </c>
      <c r="AW26" s="42">
        <v>1.17</v>
      </c>
      <c r="AX26" s="46">
        <v>2.59</v>
      </c>
      <c r="AZ26" s="44" t="s">
        <v>1106</v>
      </c>
      <c r="BA26" s="42">
        <v>0.53</v>
      </c>
      <c r="BB26" s="42">
        <v>4.18</v>
      </c>
      <c r="BC26" s="42">
        <v>0.15</v>
      </c>
      <c r="BD26" s="42">
        <v>1.61</v>
      </c>
      <c r="BE26" s="42">
        <v>2.59</v>
      </c>
      <c r="BF26" s="42">
        <v>1.89</v>
      </c>
      <c r="BG26" s="42">
        <v>0.73</v>
      </c>
      <c r="BH26" s="46">
        <v>1.17</v>
      </c>
      <c r="BJ26" s="44" t="s">
        <v>1107</v>
      </c>
      <c r="BK26" s="42">
        <v>12.69</v>
      </c>
      <c r="BL26" s="42">
        <v>1.37</v>
      </c>
      <c r="BM26" s="42">
        <v>1.89</v>
      </c>
      <c r="BN26" s="42">
        <v>3.56</v>
      </c>
      <c r="BO26" s="42">
        <v>1.89</v>
      </c>
      <c r="BP26" s="42">
        <v>2.21</v>
      </c>
      <c r="BQ26" s="42">
        <v>0.24</v>
      </c>
      <c r="BR26" s="46">
        <v>0.2</v>
      </c>
      <c r="BT26" s="44" t="s">
        <v>1105</v>
      </c>
      <c r="BU26" s="42">
        <v>0.85</v>
      </c>
      <c r="BV26" s="42">
        <v>0.39</v>
      </c>
      <c r="BW26" s="42">
        <v>0.15</v>
      </c>
      <c r="BX26" s="42">
        <v>1.17</v>
      </c>
      <c r="BY26" s="42">
        <v>2.21</v>
      </c>
      <c r="BZ26" s="42">
        <v>0.73</v>
      </c>
      <c r="CA26" s="42">
        <v>0.33</v>
      </c>
      <c r="CB26" s="46">
        <v>2.21</v>
      </c>
    </row>
    <row r="27" spans="2:80">
      <c r="B27" s="44" t="s">
        <v>1108</v>
      </c>
      <c r="C27" s="42">
        <v>2.98</v>
      </c>
      <c r="D27" s="42">
        <v>4.41</v>
      </c>
      <c r="E27" s="42">
        <v>5.3</v>
      </c>
      <c r="F27" s="42">
        <v>5.63</v>
      </c>
      <c r="G27" s="42">
        <v>4.3099999999999996</v>
      </c>
      <c r="H27" s="42">
        <v>4.8600000000000003</v>
      </c>
      <c r="I27" s="42">
        <v>1.72</v>
      </c>
      <c r="J27" s="46">
        <v>2.25</v>
      </c>
      <c r="L27" s="44" t="s">
        <v>1109</v>
      </c>
      <c r="M27" s="42">
        <v>2.82</v>
      </c>
      <c r="N27" s="42">
        <v>5.47</v>
      </c>
      <c r="O27" s="42">
        <v>5.16</v>
      </c>
      <c r="P27" s="42">
        <v>6.07</v>
      </c>
      <c r="Q27" s="42">
        <v>0</v>
      </c>
      <c r="R27" s="42">
        <v>3.71</v>
      </c>
      <c r="S27" s="42">
        <v>3.03</v>
      </c>
      <c r="T27" s="46">
        <v>99.99</v>
      </c>
      <c r="V27" s="44" t="s">
        <v>1110</v>
      </c>
      <c r="W27" s="42">
        <v>3.93</v>
      </c>
      <c r="X27" s="42">
        <v>4.26</v>
      </c>
      <c r="Y27" s="42">
        <v>4.1500000000000004</v>
      </c>
      <c r="Z27" s="42">
        <v>4.29</v>
      </c>
      <c r="AA27" s="42">
        <v>3.62</v>
      </c>
      <c r="AB27" s="42">
        <v>3.15</v>
      </c>
      <c r="AC27" s="42">
        <v>1.62</v>
      </c>
      <c r="AD27" s="46">
        <v>1.29</v>
      </c>
      <c r="AF27" s="44" t="s">
        <v>1111</v>
      </c>
      <c r="AG27" s="42">
        <v>4.1399999999999997</v>
      </c>
      <c r="AH27" s="42">
        <v>6.1</v>
      </c>
      <c r="AI27" s="42">
        <v>3.82</v>
      </c>
      <c r="AJ27" s="42">
        <v>4.04</v>
      </c>
      <c r="AK27" s="42">
        <v>0.22</v>
      </c>
      <c r="AL27" s="42">
        <v>1.84</v>
      </c>
      <c r="AM27" s="42">
        <v>3.73</v>
      </c>
      <c r="AN27" s="46">
        <v>3.11</v>
      </c>
      <c r="AP27" s="44" t="s">
        <v>1112</v>
      </c>
      <c r="AQ27" s="42">
        <v>2.21</v>
      </c>
      <c r="AR27" s="42">
        <v>1.17</v>
      </c>
      <c r="AS27" s="42">
        <v>2.59</v>
      </c>
      <c r="AT27" s="42">
        <v>3.56</v>
      </c>
      <c r="AU27" s="42">
        <v>6.72</v>
      </c>
      <c r="AV27" s="42">
        <v>1.17</v>
      </c>
      <c r="AW27" s="42">
        <v>1.37</v>
      </c>
      <c r="AX27" s="46">
        <v>0</v>
      </c>
      <c r="AZ27" s="44" t="s">
        <v>1113</v>
      </c>
      <c r="BA27" s="42">
        <v>0.62</v>
      </c>
      <c r="BB27" s="42">
        <v>4.18</v>
      </c>
      <c r="BC27" s="42">
        <v>0.33</v>
      </c>
      <c r="BD27" s="42">
        <v>1.61</v>
      </c>
      <c r="BE27" s="42">
        <v>2.59</v>
      </c>
      <c r="BF27" s="42">
        <v>1.89</v>
      </c>
      <c r="BG27" s="42">
        <v>0.62</v>
      </c>
      <c r="BH27" s="46">
        <v>1.37</v>
      </c>
      <c r="BJ27" s="44" t="s">
        <v>1114</v>
      </c>
      <c r="BK27" s="42">
        <v>12.69</v>
      </c>
      <c r="BL27" s="42">
        <v>1.61</v>
      </c>
      <c r="BM27" s="42">
        <v>1.89</v>
      </c>
      <c r="BN27" s="42">
        <v>3.56</v>
      </c>
      <c r="BO27" s="42">
        <v>1.61</v>
      </c>
      <c r="BP27" s="42">
        <v>3.56</v>
      </c>
      <c r="BQ27" s="42">
        <v>0.2</v>
      </c>
      <c r="BR27" s="46">
        <v>0.2</v>
      </c>
      <c r="BT27" s="44" t="s">
        <v>1112</v>
      </c>
      <c r="BU27" s="42">
        <v>0.85</v>
      </c>
      <c r="BV27" s="42">
        <v>0.45</v>
      </c>
      <c r="BW27" s="42">
        <v>0.15</v>
      </c>
      <c r="BX27" s="42">
        <v>0</v>
      </c>
      <c r="BY27" s="42">
        <v>1.89</v>
      </c>
      <c r="BZ27" s="42">
        <v>0.73</v>
      </c>
      <c r="CA27" s="42">
        <v>0.33</v>
      </c>
      <c r="CB27" s="46">
        <v>1.89</v>
      </c>
    </row>
    <row r="28" spans="2:80">
      <c r="B28" s="44" t="s">
        <v>1115</v>
      </c>
      <c r="C28" s="42">
        <v>3.02</v>
      </c>
      <c r="D28" s="42">
        <v>4.3899999999999997</v>
      </c>
      <c r="E28" s="42">
        <v>5.3</v>
      </c>
      <c r="F28" s="42">
        <v>5.64</v>
      </c>
      <c r="G28" s="42">
        <v>4.34</v>
      </c>
      <c r="H28" s="42">
        <v>3.89</v>
      </c>
      <c r="I28" s="42">
        <v>1.77</v>
      </c>
      <c r="J28" s="46">
        <v>2.25</v>
      </c>
      <c r="L28" s="44" t="s">
        <v>1116</v>
      </c>
      <c r="M28" s="42">
        <v>2.85</v>
      </c>
      <c r="N28" s="42">
        <v>5.45</v>
      </c>
      <c r="O28" s="42">
        <v>0</v>
      </c>
      <c r="P28" s="42">
        <v>3.41</v>
      </c>
      <c r="Q28" s="42">
        <v>0</v>
      </c>
      <c r="R28" s="42">
        <v>3.73</v>
      </c>
      <c r="S28" s="42">
        <v>3.08</v>
      </c>
      <c r="T28" s="46">
        <v>3.42</v>
      </c>
      <c r="V28" s="44" t="s">
        <v>1117</v>
      </c>
      <c r="W28" s="42">
        <v>3.9</v>
      </c>
      <c r="X28" s="42">
        <v>4.26</v>
      </c>
      <c r="Y28" s="42">
        <v>4.16</v>
      </c>
      <c r="Z28" s="42">
        <v>4.3099999999999996</v>
      </c>
      <c r="AA28" s="42">
        <v>3.6</v>
      </c>
      <c r="AB28" s="42">
        <v>3.13</v>
      </c>
      <c r="AC28" s="42">
        <v>1.64</v>
      </c>
      <c r="AD28" s="46">
        <v>1.23</v>
      </c>
      <c r="AF28" s="44" t="s">
        <v>1118</v>
      </c>
      <c r="AG28" s="42">
        <v>4.2</v>
      </c>
      <c r="AH28" s="42">
        <v>6.08</v>
      </c>
      <c r="AI28" s="42">
        <v>3.77</v>
      </c>
      <c r="AJ28" s="42">
        <v>5.14</v>
      </c>
      <c r="AK28" s="42">
        <v>4.32</v>
      </c>
      <c r="AL28" s="42">
        <v>1.84</v>
      </c>
      <c r="AM28" s="42">
        <v>3.76</v>
      </c>
      <c r="AN28" s="46">
        <v>0.17</v>
      </c>
      <c r="AP28" s="44" t="s">
        <v>1119</v>
      </c>
      <c r="AQ28" s="42">
        <v>2.21</v>
      </c>
      <c r="AR28" s="42">
        <v>0</v>
      </c>
      <c r="AS28" s="42">
        <v>2.21</v>
      </c>
      <c r="AT28" s="42">
        <v>3.56</v>
      </c>
      <c r="AU28" s="42">
        <v>1.37</v>
      </c>
      <c r="AV28" s="42">
        <v>1.17</v>
      </c>
      <c r="AW28" s="42">
        <v>1.37</v>
      </c>
      <c r="AX28" s="46">
        <v>0</v>
      </c>
      <c r="AZ28" s="44" t="s">
        <v>1120</v>
      </c>
      <c r="BA28" s="42">
        <v>0.45</v>
      </c>
      <c r="BB28" s="42">
        <v>0.45</v>
      </c>
      <c r="BC28" s="42">
        <v>0.17</v>
      </c>
      <c r="BD28" s="42">
        <v>4.18</v>
      </c>
      <c r="BE28" s="42">
        <v>17.43</v>
      </c>
      <c r="BF28" s="42">
        <v>1.89</v>
      </c>
      <c r="BG28" s="42">
        <v>0.62</v>
      </c>
      <c r="BH28" s="46">
        <v>4.18</v>
      </c>
      <c r="BJ28" s="44" t="s">
        <v>1121</v>
      </c>
      <c r="BK28" s="42">
        <v>12.69</v>
      </c>
      <c r="BL28" s="42">
        <v>1.37</v>
      </c>
      <c r="BM28" s="42">
        <v>1.61</v>
      </c>
      <c r="BN28" s="42">
        <v>4.18</v>
      </c>
      <c r="BO28" s="42">
        <v>1.89</v>
      </c>
      <c r="BP28" s="42">
        <v>2.21</v>
      </c>
      <c r="BQ28" s="42">
        <v>0.17</v>
      </c>
      <c r="BR28" s="46">
        <v>0.2</v>
      </c>
      <c r="BT28" s="44" t="s">
        <v>1119</v>
      </c>
      <c r="BU28" s="42">
        <v>0</v>
      </c>
      <c r="BV28" s="42">
        <v>1.37</v>
      </c>
      <c r="BW28" s="42">
        <v>0.13</v>
      </c>
      <c r="BX28" s="42">
        <v>6.72</v>
      </c>
      <c r="BY28" s="42">
        <v>1.89</v>
      </c>
      <c r="BZ28" s="42">
        <v>0.33</v>
      </c>
      <c r="CA28" s="42">
        <v>0.33</v>
      </c>
      <c r="CB28" s="46">
        <v>3.56</v>
      </c>
    </row>
    <row r="29" spans="2:80">
      <c r="B29" s="44" t="s">
        <v>1122</v>
      </c>
      <c r="C29" s="42">
        <v>2.99</v>
      </c>
      <c r="D29" s="42">
        <v>4.41</v>
      </c>
      <c r="E29" s="42">
        <v>5.32</v>
      </c>
      <c r="F29" s="42">
        <v>4.29</v>
      </c>
      <c r="G29" s="42">
        <v>4.33</v>
      </c>
      <c r="H29" s="42">
        <v>4.8499999999999996</v>
      </c>
      <c r="I29" s="42">
        <v>1.74</v>
      </c>
      <c r="J29" s="46">
        <v>2.2400000000000002</v>
      </c>
      <c r="L29" s="44" t="s">
        <v>1123</v>
      </c>
      <c r="M29" s="42">
        <v>2.86</v>
      </c>
      <c r="N29" s="42">
        <v>5.47</v>
      </c>
      <c r="O29" s="42">
        <v>5.18</v>
      </c>
      <c r="P29" s="42">
        <v>6.03</v>
      </c>
      <c r="Q29" s="42">
        <v>0</v>
      </c>
      <c r="R29" s="42">
        <v>3.73</v>
      </c>
      <c r="S29" s="42">
        <v>3.04</v>
      </c>
      <c r="T29" s="46">
        <v>3.5</v>
      </c>
      <c r="V29" s="44" t="s">
        <v>1124</v>
      </c>
      <c r="W29" s="42">
        <v>3.9</v>
      </c>
      <c r="X29" s="42">
        <v>4.25</v>
      </c>
      <c r="Y29" s="42">
        <v>4.18</v>
      </c>
      <c r="Z29" s="42">
        <v>4.33</v>
      </c>
      <c r="AA29" s="42">
        <v>3.56</v>
      </c>
      <c r="AB29" s="42">
        <v>1.3</v>
      </c>
      <c r="AC29" s="42">
        <v>1.63</v>
      </c>
      <c r="AD29" s="46">
        <v>1.23</v>
      </c>
      <c r="AF29" s="44" t="s">
        <v>1125</v>
      </c>
      <c r="AG29" s="42">
        <v>4.17</v>
      </c>
      <c r="AH29" s="42">
        <v>6.11</v>
      </c>
      <c r="AI29" s="42">
        <v>3.8</v>
      </c>
      <c r="AJ29" s="42">
        <v>5.18</v>
      </c>
      <c r="AK29" s="42">
        <v>5.45</v>
      </c>
      <c r="AL29" s="42">
        <v>1.86</v>
      </c>
      <c r="AM29" s="42">
        <v>3.75</v>
      </c>
      <c r="AN29" s="46">
        <v>3.22</v>
      </c>
      <c r="AP29" s="44" t="s">
        <v>1126</v>
      </c>
      <c r="AQ29" s="42">
        <v>0.85</v>
      </c>
      <c r="AR29" s="42">
        <v>0</v>
      </c>
      <c r="AS29" s="42">
        <v>0</v>
      </c>
      <c r="AT29" s="42">
        <v>2.59</v>
      </c>
      <c r="AU29" s="42">
        <v>1.61</v>
      </c>
      <c r="AV29" s="42">
        <v>99.99</v>
      </c>
      <c r="AW29" s="42">
        <v>0.39</v>
      </c>
      <c r="AX29" s="46">
        <v>6.72</v>
      </c>
      <c r="AZ29" s="44" t="s">
        <v>1127</v>
      </c>
      <c r="BA29" s="42">
        <v>1.17</v>
      </c>
      <c r="BB29" s="42">
        <v>0.45</v>
      </c>
      <c r="BC29" s="42">
        <v>4.8899999999999997</v>
      </c>
      <c r="BD29" s="42">
        <v>1.61</v>
      </c>
      <c r="BE29" s="42">
        <v>20.43</v>
      </c>
      <c r="BF29" s="42">
        <v>1.61</v>
      </c>
      <c r="BG29" s="42">
        <v>0.73</v>
      </c>
      <c r="BH29" s="46">
        <v>1.37</v>
      </c>
      <c r="BJ29" s="44" t="s">
        <v>1128</v>
      </c>
      <c r="BK29" s="42">
        <v>10.83</v>
      </c>
      <c r="BL29" s="42">
        <v>1.37</v>
      </c>
      <c r="BM29" s="42">
        <v>1.61</v>
      </c>
      <c r="BN29" s="42">
        <v>3.04</v>
      </c>
      <c r="BO29" s="42">
        <v>1.61</v>
      </c>
      <c r="BP29" s="42">
        <v>2.59</v>
      </c>
      <c r="BQ29" s="42">
        <v>0.24</v>
      </c>
      <c r="BR29" s="46">
        <v>0.53</v>
      </c>
      <c r="BT29" s="44" t="s">
        <v>1126</v>
      </c>
      <c r="BU29" s="42">
        <v>0.85</v>
      </c>
      <c r="BV29" s="42">
        <v>1.37</v>
      </c>
      <c r="BW29" s="42">
        <v>0.13</v>
      </c>
      <c r="BX29" s="42">
        <v>2.59</v>
      </c>
      <c r="BY29" s="42">
        <v>0.85</v>
      </c>
      <c r="BZ29" s="42">
        <v>0.28000000000000003</v>
      </c>
      <c r="CA29" s="42">
        <v>0.33</v>
      </c>
      <c r="CB29" s="46">
        <v>2.59</v>
      </c>
    </row>
    <row r="30" spans="2:80">
      <c r="B30" s="44" t="s">
        <v>1129</v>
      </c>
      <c r="C30" s="42">
        <v>3</v>
      </c>
      <c r="D30" s="42">
        <v>4.42</v>
      </c>
      <c r="E30" s="42">
        <v>5.28</v>
      </c>
      <c r="F30" s="42">
        <v>5.65</v>
      </c>
      <c r="G30" s="42">
        <v>4.3099999999999996</v>
      </c>
      <c r="H30" s="42">
        <v>4.88</v>
      </c>
      <c r="I30" s="42">
        <v>1.78</v>
      </c>
      <c r="J30" s="46">
        <v>2.21</v>
      </c>
      <c r="L30" s="44" t="s">
        <v>1130</v>
      </c>
      <c r="M30" s="42">
        <v>1.97</v>
      </c>
      <c r="N30" s="42">
        <v>5.41</v>
      </c>
      <c r="O30" s="42">
        <v>5.16</v>
      </c>
      <c r="P30" s="42">
        <v>3.43</v>
      </c>
      <c r="Q30" s="42">
        <v>0</v>
      </c>
      <c r="R30" s="42">
        <v>3.75</v>
      </c>
      <c r="S30" s="42">
        <v>3.03</v>
      </c>
      <c r="T30" s="46">
        <v>3.4</v>
      </c>
      <c r="V30" s="44" t="s">
        <v>1131</v>
      </c>
      <c r="W30" s="42">
        <v>3.91</v>
      </c>
      <c r="X30" s="42">
        <v>4.3099999999999996</v>
      </c>
      <c r="Y30" s="42">
        <v>2.97</v>
      </c>
      <c r="Z30" s="42">
        <v>4.28</v>
      </c>
      <c r="AA30" s="42">
        <v>3.63</v>
      </c>
      <c r="AB30" s="42">
        <v>3.09</v>
      </c>
      <c r="AC30" s="42">
        <v>1.64</v>
      </c>
      <c r="AD30" s="46">
        <v>1.21</v>
      </c>
      <c r="AF30" s="44" t="s">
        <v>1132</v>
      </c>
      <c r="AG30" s="42">
        <v>4.1399999999999997</v>
      </c>
      <c r="AH30" s="42">
        <v>6.08</v>
      </c>
      <c r="AI30" s="42">
        <v>3.77</v>
      </c>
      <c r="AJ30" s="42">
        <v>5.17</v>
      </c>
      <c r="AK30" s="42">
        <v>5.45</v>
      </c>
      <c r="AL30" s="42">
        <v>1.85</v>
      </c>
      <c r="AM30" s="42">
        <v>3.75</v>
      </c>
      <c r="AN30" s="46">
        <v>3.12</v>
      </c>
      <c r="AP30" s="44" t="s">
        <v>1133</v>
      </c>
      <c r="AQ30" s="42">
        <v>2.59</v>
      </c>
      <c r="AR30" s="42">
        <v>0</v>
      </c>
      <c r="AS30" s="42">
        <v>2.59</v>
      </c>
      <c r="AT30" s="42">
        <v>3.04</v>
      </c>
      <c r="AU30" s="42">
        <v>1.37</v>
      </c>
      <c r="AV30" s="42">
        <v>1.17</v>
      </c>
      <c r="AW30" s="42">
        <v>1.17</v>
      </c>
      <c r="AX30" s="46">
        <v>0</v>
      </c>
      <c r="AZ30" s="44" t="s">
        <v>1134</v>
      </c>
      <c r="BA30" s="42">
        <v>0.53</v>
      </c>
      <c r="BB30" s="42">
        <v>4.18</v>
      </c>
      <c r="BC30" s="42">
        <v>0.33</v>
      </c>
      <c r="BD30" s="42">
        <v>1.61</v>
      </c>
      <c r="BE30" s="42">
        <v>2.59</v>
      </c>
      <c r="BF30" s="42">
        <v>7.88</v>
      </c>
      <c r="BG30" s="42">
        <v>0.73</v>
      </c>
      <c r="BH30" s="46">
        <v>1.17</v>
      </c>
      <c r="BJ30" s="44" t="s">
        <v>1135</v>
      </c>
      <c r="BK30" s="42">
        <v>10.83</v>
      </c>
      <c r="BL30" s="42">
        <v>1.37</v>
      </c>
      <c r="BM30" s="42">
        <v>1.61</v>
      </c>
      <c r="BN30" s="42">
        <v>3.56</v>
      </c>
      <c r="BO30" s="42">
        <v>1.61</v>
      </c>
      <c r="BP30" s="42">
        <v>3.56</v>
      </c>
      <c r="BQ30" s="42">
        <v>0.24</v>
      </c>
      <c r="BR30" s="46">
        <v>0.85</v>
      </c>
      <c r="BT30" s="44" t="s">
        <v>1133</v>
      </c>
      <c r="BU30" s="42">
        <v>0.85</v>
      </c>
      <c r="BV30" s="42">
        <v>0.45</v>
      </c>
      <c r="BW30" s="42">
        <v>0.15</v>
      </c>
      <c r="BX30" s="42">
        <v>1.17</v>
      </c>
      <c r="BY30" s="42">
        <v>2.21</v>
      </c>
      <c r="BZ30" s="42">
        <v>0.73</v>
      </c>
      <c r="CA30" s="42">
        <v>0.24</v>
      </c>
      <c r="CB30" s="46">
        <v>2.21</v>
      </c>
    </row>
    <row r="31" spans="2:80">
      <c r="B31" s="44" t="s">
        <v>1136</v>
      </c>
      <c r="C31" s="42">
        <v>3.01</v>
      </c>
      <c r="D31" s="42">
        <v>4.3899999999999997</v>
      </c>
      <c r="E31" s="42">
        <v>5.29</v>
      </c>
      <c r="F31" s="42">
        <v>5.61</v>
      </c>
      <c r="G31" s="42">
        <v>4.3</v>
      </c>
      <c r="H31" s="42">
        <v>4.91</v>
      </c>
      <c r="I31" s="42">
        <v>0</v>
      </c>
      <c r="J31" s="46">
        <v>3.27</v>
      </c>
      <c r="L31" s="44" t="s">
        <v>1137</v>
      </c>
      <c r="M31" s="42">
        <v>2.84</v>
      </c>
      <c r="N31" s="42">
        <v>5.46</v>
      </c>
      <c r="O31" s="42">
        <v>5.2</v>
      </c>
      <c r="P31" s="42">
        <v>6.11</v>
      </c>
      <c r="Q31" s="42">
        <v>0</v>
      </c>
      <c r="R31" s="42">
        <v>1.64</v>
      </c>
      <c r="S31" s="42">
        <v>3.07</v>
      </c>
      <c r="T31" s="46">
        <v>4.1500000000000004</v>
      </c>
      <c r="V31" s="44" t="s">
        <v>1138</v>
      </c>
      <c r="W31" s="42">
        <v>3.94</v>
      </c>
      <c r="X31" s="42">
        <v>4.26</v>
      </c>
      <c r="Y31" s="42">
        <v>4.12</v>
      </c>
      <c r="Z31" s="42">
        <v>4.32</v>
      </c>
      <c r="AA31" s="42">
        <v>3.6</v>
      </c>
      <c r="AB31" s="42">
        <v>3.15</v>
      </c>
      <c r="AC31" s="42">
        <v>1.62</v>
      </c>
      <c r="AD31" s="46">
        <v>1.23</v>
      </c>
      <c r="AF31" s="44" t="s">
        <v>1139</v>
      </c>
      <c r="AG31" s="42">
        <v>4.1399999999999997</v>
      </c>
      <c r="AH31" s="42">
        <v>1.04</v>
      </c>
      <c r="AI31" s="42">
        <v>3.79</v>
      </c>
      <c r="AJ31" s="42">
        <v>5.08</v>
      </c>
      <c r="AK31" s="42">
        <v>5.45</v>
      </c>
      <c r="AL31" s="42">
        <v>1.84</v>
      </c>
      <c r="AM31" s="42">
        <v>3.74</v>
      </c>
      <c r="AN31" s="46">
        <v>3.18</v>
      </c>
      <c r="AP31" s="44" t="s">
        <v>1140</v>
      </c>
      <c r="AQ31" s="42">
        <v>2.59</v>
      </c>
      <c r="AR31" s="42">
        <v>0</v>
      </c>
      <c r="AS31" s="42">
        <v>9.24</v>
      </c>
      <c r="AT31" s="42">
        <v>3.56</v>
      </c>
      <c r="AU31" s="42">
        <v>1.17</v>
      </c>
      <c r="AV31" s="42">
        <v>1.17</v>
      </c>
      <c r="AW31" s="42">
        <v>1.37</v>
      </c>
      <c r="AX31" s="46">
        <v>1.17</v>
      </c>
      <c r="AZ31" s="44" t="s">
        <v>1141</v>
      </c>
      <c r="BA31" s="42">
        <v>0.62</v>
      </c>
      <c r="BB31" s="42">
        <v>3.56</v>
      </c>
      <c r="BC31" s="42">
        <v>0.33</v>
      </c>
      <c r="BD31" s="42">
        <v>3.56</v>
      </c>
      <c r="BE31" s="42">
        <v>2.59</v>
      </c>
      <c r="BF31" s="42">
        <v>1.89</v>
      </c>
      <c r="BG31" s="42">
        <v>0.62</v>
      </c>
      <c r="BH31" s="46">
        <v>4.18</v>
      </c>
      <c r="BJ31" s="44" t="s">
        <v>1142</v>
      </c>
      <c r="BK31" s="42">
        <v>12.69</v>
      </c>
      <c r="BL31" s="42">
        <v>1.37</v>
      </c>
      <c r="BM31" s="42">
        <v>1.61</v>
      </c>
      <c r="BN31" s="42">
        <v>3.56</v>
      </c>
      <c r="BO31" s="42">
        <v>1.89</v>
      </c>
      <c r="BP31" s="42">
        <v>0.85</v>
      </c>
      <c r="BQ31" s="42">
        <v>0.2</v>
      </c>
      <c r="BR31" s="46">
        <v>0.45</v>
      </c>
      <c r="BT31" s="44" t="s">
        <v>1140</v>
      </c>
      <c r="BU31" s="42">
        <v>0.73</v>
      </c>
      <c r="BV31" s="42">
        <v>0.45</v>
      </c>
      <c r="BW31" s="42">
        <v>0.15</v>
      </c>
      <c r="BX31" s="42">
        <v>1.17</v>
      </c>
      <c r="BY31" s="42">
        <v>2.21</v>
      </c>
      <c r="BZ31" s="42">
        <v>0.33</v>
      </c>
      <c r="CA31" s="42">
        <v>0.39</v>
      </c>
      <c r="CB31" s="46">
        <v>1.89</v>
      </c>
    </row>
    <row r="32" spans="2:80">
      <c r="B32" s="44" t="s">
        <v>1143</v>
      </c>
      <c r="C32" s="42">
        <v>2.96</v>
      </c>
      <c r="D32" s="42">
        <v>4.32</v>
      </c>
      <c r="E32" s="42">
        <v>5.31</v>
      </c>
      <c r="F32" s="42">
        <v>4.53</v>
      </c>
      <c r="G32" s="42">
        <v>4.34</v>
      </c>
      <c r="H32" s="42">
        <v>4.8099999999999996</v>
      </c>
      <c r="I32" s="42">
        <v>1.75</v>
      </c>
      <c r="J32" s="46">
        <v>2.25</v>
      </c>
      <c r="L32" s="44" t="s">
        <v>1144</v>
      </c>
      <c r="M32" s="42">
        <v>2.85</v>
      </c>
      <c r="N32" s="42">
        <v>5.46</v>
      </c>
      <c r="O32" s="42">
        <v>5.18</v>
      </c>
      <c r="P32" s="42">
        <v>6.06</v>
      </c>
      <c r="Q32" s="42">
        <v>0</v>
      </c>
      <c r="R32" s="42">
        <v>3.72</v>
      </c>
      <c r="S32" s="42">
        <v>3.03</v>
      </c>
      <c r="T32" s="46">
        <v>3.47</v>
      </c>
      <c r="V32" s="44" t="s">
        <v>1145</v>
      </c>
      <c r="W32" s="42">
        <v>3.9</v>
      </c>
      <c r="X32" s="42">
        <v>3.67</v>
      </c>
      <c r="Y32" s="42">
        <v>4.1500000000000004</v>
      </c>
      <c r="Z32" s="42">
        <v>4.3</v>
      </c>
      <c r="AA32" s="42">
        <v>3.61</v>
      </c>
      <c r="AB32" s="42">
        <v>3.11</v>
      </c>
      <c r="AC32" s="42">
        <v>1.62</v>
      </c>
      <c r="AD32" s="46">
        <v>1.21</v>
      </c>
      <c r="AF32" s="44" t="s">
        <v>1146</v>
      </c>
      <c r="AG32" s="42">
        <v>4.1500000000000004</v>
      </c>
      <c r="AH32" s="42">
        <v>6.11</v>
      </c>
      <c r="AI32" s="42">
        <v>3.78</v>
      </c>
      <c r="AJ32" s="42">
        <v>2.37</v>
      </c>
      <c r="AK32" s="42">
        <v>5.44</v>
      </c>
      <c r="AL32" s="42">
        <v>1.1399999999999999</v>
      </c>
      <c r="AM32" s="42">
        <v>3.74</v>
      </c>
      <c r="AN32" s="46">
        <v>0</v>
      </c>
      <c r="AP32" s="44" t="s">
        <v>1147</v>
      </c>
      <c r="AQ32" s="42">
        <v>2.59</v>
      </c>
      <c r="AR32" s="42">
        <v>1.17</v>
      </c>
      <c r="AS32" s="42">
        <v>0</v>
      </c>
      <c r="AT32" s="42">
        <v>3.56</v>
      </c>
      <c r="AU32" s="42">
        <v>1.37</v>
      </c>
      <c r="AV32" s="42">
        <v>1.37</v>
      </c>
      <c r="AW32" s="42">
        <v>1.37</v>
      </c>
      <c r="AX32" s="46">
        <v>0</v>
      </c>
      <c r="AZ32" s="44" t="s">
        <v>1148</v>
      </c>
      <c r="BA32" s="42">
        <v>0.53</v>
      </c>
      <c r="BB32" s="42">
        <v>4.18</v>
      </c>
      <c r="BC32" s="42">
        <v>0.39</v>
      </c>
      <c r="BD32" s="42">
        <v>3.56</v>
      </c>
      <c r="BE32" s="42">
        <v>2.21</v>
      </c>
      <c r="BF32" s="42">
        <v>1.61</v>
      </c>
      <c r="BG32" s="42">
        <v>0.62</v>
      </c>
      <c r="BH32" s="46">
        <v>1.37</v>
      </c>
      <c r="BJ32" s="44" t="s">
        <v>1149</v>
      </c>
      <c r="BK32" s="42">
        <v>12.69</v>
      </c>
      <c r="BL32" s="42">
        <v>0.85</v>
      </c>
      <c r="BM32" s="42">
        <v>0.2</v>
      </c>
      <c r="BN32" s="42">
        <v>1.89</v>
      </c>
      <c r="BO32" s="42">
        <v>1.37</v>
      </c>
      <c r="BP32" s="42">
        <v>4.18</v>
      </c>
      <c r="BQ32" s="42">
        <v>0.2</v>
      </c>
      <c r="BR32" s="46">
        <v>0.85</v>
      </c>
      <c r="BT32" s="44" t="s">
        <v>1147</v>
      </c>
      <c r="BU32" s="42">
        <v>0.85</v>
      </c>
      <c r="BV32" s="42">
        <v>0.45</v>
      </c>
      <c r="BW32" s="42">
        <v>0.15</v>
      </c>
      <c r="BX32" s="42">
        <v>1.17</v>
      </c>
      <c r="BY32" s="42">
        <v>2.21</v>
      </c>
      <c r="BZ32" s="42">
        <v>0.73</v>
      </c>
      <c r="CA32" s="42">
        <v>0.28000000000000003</v>
      </c>
      <c r="CB32" s="46">
        <v>3.56</v>
      </c>
    </row>
    <row r="33" spans="2:80">
      <c r="B33" s="44" t="s">
        <v>1150</v>
      </c>
      <c r="C33" s="42">
        <v>3.02</v>
      </c>
      <c r="D33" s="42">
        <v>0</v>
      </c>
      <c r="E33" s="42">
        <v>4.6399999999999997</v>
      </c>
      <c r="F33" s="42">
        <v>5.64</v>
      </c>
      <c r="G33" s="42">
        <v>4.34</v>
      </c>
      <c r="H33" s="42">
        <v>3.32</v>
      </c>
      <c r="I33" s="42">
        <v>1.76</v>
      </c>
      <c r="J33" s="46">
        <v>2.2400000000000002</v>
      </c>
      <c r="L33" s="44" t="s">
        <v>1151</v>
      </c>
      <c r="M33" s="42">
        <v>2.85</v>
      </c>
      <c r="N33" s="42">
        <v>5.43</v>
      </c>
      <c r="O33" s="42">
        <v>5.19</v>
      </c>
      <c r="P33" s="42">
        <v>6.05</v>
      </c>
      <c r="Q33" s="42">
        <v>0</v>
      </c>
      <c r="R33" s="42">
        <v>3.71</v>
      </c>
      <c r="S33" s="42">
        <v>3.05</v>
      </c>
      <c r="T33" s="46">
        <v>3.47</v>
      </c>
      <c r="V33" s="44" t="s">
        <v>1152</v>
      </c>
      <c r="W33" s="42">
        <v>3.94</v>
      </c>
      <c r="X33" s="42">
        <v>4.05</v>
      </c>
      <c r="Y33" s="42">
        <v>4.16</v>
      </c>
      <c r="Z33" s="42">
        <v>4.3099999999999996</v>
      </c>
      <c r="AA33" s="42">
        <v>3.59</v>
      </c>
      <c r="AB33" s="42">
        <v>3.1</v>
      </c>
      <c r="AC33" s="42">
        <v>1.61</v>
      </c>
      <c r="AD33" s="46">
        <v>1.23</v>
      </c>
      <c r="AF33" s="44" t="s">
        <v>1153</v>
      </c>
      <c r="AG33" s="42">
        <v>4.16</v>
      </c>
      <c r="AH33" s="42">
        <v>6.08</v>
      </c>
      <c r="AI33" s="42">
        <v>3.76</v>
      </c>
      <c r="AJ33" s="42">
        <v>5.0999999999999996</v>
      </c>
      <c r="AK33" s="42">
        <v>5.46</v>
      </c>
      <c r="AL33" s="42">
        <v>1.85</v>
      </c>
      <c r="AM33" s="42">
        <v>3.75</v>
      </c>
      <c r="AN33" s="46">
        <v>3.22</v>
      </c>
      <c r="AP33" s="44" t="s">
        <v>1154</v>
      </c>
      <c r="AQ33" s="42">
        <v>2.59</v>
      </c>
      <c r="AR33" s="42">
        <v>1.17</v>
      </c>
      <c r="AS33" s="42">
        <v>2.21</v>
      </c>
      <c r="AT33" s="42">
        <v>14.87</v>
      </c>
      <c r="AU33" s="42">
        <v>1.37</v>
      </c>
      <c r="AV33" s="42">
        <v>1.17</v>
      </c>
      <c r="AW33" s="42">
        <v>1.17</v>
      </c>
      <c r="AX33" s="46">
        <v>0</v>
      </c>
      <c r="AZ33" s="44" t="s">
        <v>1155</v>
      </c>
      <c r="BA33" s="42">
        <v>0.53</v>
      </c>
      <c r="BB33" s="42">
        <v>4.18</v>
      </c>
      <c r="BC33" s="42">
        <v>0.15</v>
      </c>
      <c r="BD33" s="42">
        <v>1.61</v>
      </c>
      <c r="BE33" s="42">
        <v>2.21</v>
      </c>
      <c r="BF33" s="42">
        <v>1.61</v>
      </c>
      <c r="BG33" s="42">
        <v>0.45</v>
      </c>
      <c r="BH33" s="46">
        <v>1.17</v>
      </c>
      <c r="BJ33" s="44" t="s">
        <v>1156</v>
      </c>
      <c r="BK33" s="42">
        <v>12.69</v>
      </c>
      <c r="BL33" s="42">
        <v>1.61</v>
      </c>
      <c r="BM33" s="42">
        <v>1.61</v>
      </c>
      <c r="BN33" s="42">
        <v>3.56</v>
      </c>
      <c r="BO33" s="42">
        <v>1.89</v>
      </c>
      <c r="BP33" s="42">
        <v>2.59</v>
      </c>
      <c r="BQ33" s="42">
        <v>0.24</v>
      </c>
      <c r="BR33" s="46">
        <v>0.2</v>
      </c>
      <c r="BT33" s="44" t="s">
        <v>1154</v>
      </c>
      <c r="BU33" s="42">
        <v>0.73</v>
      </c>
      <c r="BV33" s="42">
        <v>0.39</v>
      </c>
      <c r="BW33" s="42">
        <v>0.15</v>
      </c>
      <c r="BX33" s="42">
        <v>0</v>
      </c>
      <c r="BY33" s="42">
        <v>2.21</v>
      </c>
      <c r="BZ33" s="42">
        <v>0.73</v>
      </c>
      <c r="CA33" s="42">
        <v>0.45</v>
      </c>
      <c r="CB33" s="46">
        <v>2.21</v>
      </c>
    </row>
    <row r="34" spans="2:80">
      <c r="B34" s="44" t="s">
        <v>1157</v>
      </c>
      <c r="C34" s="42">
        <v>3.05</v>
      </c>
      <c r="D34" s="42">
        <v>4.42</v>
      </c>
      <c r="E34" s="42">
        <v>5.3</v>
      </c>
      <c r="F34" s="42">
        <v>5.62</v>
      </c>
      <c r="G34" s="42">
        <v>4.34</v>
      </c>
      <c r="H34" s="42">
        <v>2.2999999999999998</v>
      </c>
      <c r="I34" s="42">
        <v>1.75</v>
      </c>
      <c r="J34" s="46">
        <v>2.2599999999999998</v>
      </c>
      <c r="L34" s="44" t="s">
        <v>1158</v>
      </c>
      <c r="M34" s="42">
        <v>2.87</v>
      </c>
      <c r="N34" s="42">
        <v>5.47</v>
      </c>
      <c r="O34" s="42">
        <v>5.18</v>
      </c>
      <c r="P34" s="42">
        <v>5.34</v>
      </c>
      <c r="Q34" s="42">
        <v>0</v>
      </c>
      <c r="R34" s="42">
        <v>3.74</v>
      </c>
      <c r="S34" s="42">
        <v>0.23</v>
      </c>
      <c r="T34" s="46">
        <v>3.42</v>
      </c>
      <c r="V34" s="44" t="s">
        <v>1159</v>
      </c>
      <c r="W34" s="42">
        <v>3.89</v>
      </c>
      <c r="X34" s="42">
        <v>4.25</v>
      </c>
      <c r="Y34" s="42">
        <v>4.1900000000000004</v>
      </c>
      <c r="Z34" s="42">
        <v>4.32</v>
      </c>
      <c r="AA34" s="42">
        <v>3.63</v>
      </c>
      <c r="AB34" s="42">
        <v>2.35</v>
      </c>
      <c r="AC34" s="42">
        <v>1.62</v>
      </c>
      <c r="AD34" s="46">
        <v>1.24</v>
      </c>
      <c r="AF34" s="44" t="s">
        <v>1160</v>
      </c>
      <c r="AG34" s="42">
        <v>4.1500000000000004</v>
      </c>
      <c r="AH34" s="42">
        <v>6.13</v>
      </c>
      <c r="AI34" s="42">
        <v>3.78</v>
      </c>
      <c r="AJ34" s="42">
        <v>5.63</v>
      </c>
      <c r="AK34" s="42">
        <v>5.44</v>
      </c>
      <c r="AL34" s="42">
        <v>1.84</v>
      </c>
      <c r="AM34" s="42">
        <v>3.77</v>
      </c>
      <c r="AN34" s="46">
        <v>3.25</v>
      </c>
      <c r="AP34" s="44" t="s">
        <v>1161</v>
      </c>
      <c r="AQ34" s="42">
        <v>2.59</v>
      </c>
      <c r="AR34" s="42">
        <v>1.17</v>
      </c>
      <c r="AS34" s="42">
        <v>2.59</v>
      </c>
      <c r="AT34" s="42">
        <v>3.56</v>
      </c>
      <c r="AU34" s="42">
        <v>1.37</v>
      </c>
      <c r="AV34" s="42">
        <v>1.17</v>
      </c>
      <c r="AW34" s="42">
        <v>1.17</v>
      </c>
      <c r="AX34" s="46">
        <v>0</v>
      </c>
      <c r="AZ34" s="44" t="s">
        <v>1162</v>
      </c>
      <c r="BA34" s="42">
        <v>0.53</v>
      </c>
      <c r="BB34" s="42">
        <v>4.18</v>
      </c>
      <c r="BC34" s="42">
        <v>0.39</v>
      </c>
      <c r="BD34" s="42">
        <v>1.61</v>
      </c>
      <c r="BE34" s="42">
        <v>2.21</v>
      </c>
      <c r="BF34" s="42">
        <v>1.89</v>
      </c>
      <c r="BG34" s="42">
        <v>0.62</v>
      </c>
      <c r="BH34" s="46">
        <v>1.17</v>
      </c>
      <c r="BJ34" s="44" t="s">
        <v>1163</v>
      </c>
      <c r="BK34" s="42">
        <v>10.83</v>
      </c>
      <c r="BL34" s="42">
        <v>1.37</v>
      </c>
      <c r="BM34" s="42">
        <v>1.61</v>
      </c>
      <c r="BN34" s="42">
        <v>3.56</v>
      </c>
      <c r="BO34" s="42">
        <v>1.89</v>
      </c>
      <c r="BP34" s="42">
        <v>2.59</v>
      </c>
      <c r="BQ34" s="42">
        <v>0.24</v>
      </c>
      <c r="BR34" s="46">
        <v>0.24</v>
      </c>
      <c r="BT34" s="44" t="s">
        <v>1161</v>
      </c>
      <c r="BU34" s="42">
        <v>0.85</v>
      </c>
      <c r="BV34" s="42">
        <v>0.45</v>
      </c>
      <c r="BW34" s="42">
        <v>0.15</v>
      </c>
      <c r="BX34" s="42">
        <v>1.17</v>
      </c>
      <c r="BY34" s="42">
        <v>0.85</v>
      </c>
      <c r="BZ34" s="42">
        <v>0.39</v>
      </c>
      <c r="CA34" s="42">
        <v>0.39</v>
      </c>
      <c r="CB34" s="46">
        <v>1.89</v>
      </c>
    </row>
    <row r="35" spans="2:80">
      <c r="B35" s="44" t="s">
        <v>1164</v>
      </c>
      <c r="C35" s="42">
        <v>3.01</v>
      </c>
      <c r="D35" s="42">
        <v>4.3099999999999996</v>
      </c>
      <c r="E35" s="42">
        <v>5.3</v>
      </c>
      <c r="F35" s="42">
        <v>5.63</v>
      </c>
      <c r="G35" s="42">
        <v>4.33</v>
      </c>
      <c r="H35" s="42">
        <v>4.84</v>
      </c>
      <c r="I35" s="42">
        <v>1.76</v>
      </c>
      <c r="J35" s="46">
        <v>2.2000000000000002</v>
      </c>
      <c r="L35" s="44" t="s">
        <v>1165</v>
      </c>
      <c r="M35" s="42">
        <v>2.85</v>
      </c>
      <c r="N35" s="42">
        <v>5.5</v>
      </c>
      <c r="O35" s="42">
        <v>5.21</v>
      </c>
      <c r="P35" s="42">
        <v>6.11</v>
      </c>
      <c r="Q35" s="42">
        <v>0</v>
      </c>
      <c r="R35" s="42">
        <v>3.74</v>
      </c>
      <c r="S35" s="42">
        <v>3.05</v>
      </c>
      <c r="T35" s="46">
        <v>3.47</v>
      </c>
      <c r="V35" s="44" t="s">
        <v>1166</v>
      </c>
      <c r="W35" s="42">
        <v>3.92</v>
      </c>
      <c r="X35" s="42">
        <v>4.24</v>
      </c>
      <c r="Y35" s="42">
        <v>4.1900000000000004</v>
      </c>
      <c r="Z35" s="42">
        <v>4.32</v>
      </c>
      <c r="AA35" s="42">
        <v>3.63</v>
      </c>
      <c r="AB35" s="42">
        <v>3.12</v>
      </c>
      <c r="AC35" s="42">
        <v>1.62</v>
      </c>
      <c r="AD35" s="46">
        <v>1.3</v>
      </c>
      <c r="AF35" s="44" t="s">
        <v>1167</v>
      </c>
      <c r="AG35" s="42">
        <v>4.1500000000000004</v>
      </c>
      <c r="AH35" s="42">
        <v>6.19</v>
      </c>
      <c r="AI35" s="42">
        <v>3.78</v>
      </c>
      <c r="AJ35" s="42">
        <v>5.12</v>
      </c>
      <c r="AK35" s="42">
        <v>5.44</v>
      </c>
      <c r="AL35" s="42">
        <v>1.87</v>
      </c>
      <c r="AM35" s="42">
        <v>3.73</v>
      </c>
      <c r="AN35" s="46">
        <v>0</v>
      </c>
      <c r="AP35" s="44" t="s">
        <v>1168</v>
      </c>
      <c r="AQ35" s="42">
        <v>2.59</v>
      </c>
      <c r="AR35" s="42">
        <v>0</v>
      </c>
      <c r="AS35" s="42">
        <v>2.59</v>
      </c>
      <c r="AT35" s="42">
        <v>3.56</v>
      </c>
      <c r="AU35" s="42">
        <v>1.37</v>
      </c>
      <c r="AV35" s="42">
        <v>1.17</v>
      </c>
      <c r="AW35" s="42">
        <v>1.17</v>
      </c>
      <c r="AX35" s="46">
        <v>3.04</v>
      </c>
      <c r="AZ35" s="44" t="s">
        <v>1169</v>
      </c>
      <c r="BA35" s="42">
        <v>0.62</v>
      </c>
      <c r="BB35" s="42">
        <v>4.18</v>
      </c>
      <c r="BC35" s="42">
        <v>0.39</v>
      </c>
      <c r="BD35" s="42">
        <v>1.61</v>
      </c>
      <c r="BE35" s="42">
        <v>2.21</v>
      </c>
      <c r="BF35" s="42">
        <v>1.61</v>
      </c>
      <c r="BG35" s="42">
        <v>0.73</v>
      </c>
      <c r="BH35" s="46">
        <v>1.17</v>
      </c>
      <c r="BJ35" s="44" t="s">
        <v>1170</v>
      </c>
      <c r="BK35" s="42">
        <v>12.69</v>
      </c>
      <c r="BL35" s="42">
        <v>1.37</v>
      </c>
      <c r="BM35" s="42">
        <v>1.61</v>
      </c>
      <c r="BN35" s="42">
        <v>3.56</v>
      </c>
      <c r="BO35" s="42">
        <v>1.61</v>
      </c>
      <c r="BP35" s="42">
        <v>2.21</v>
      </c>
      <c r="BQ35" s="42">
        <v>0.24</v>
      </c>
      <c r="BR35" s="46">
        <v>0.2</v>
      </c>
      <c r="BT35" s="44" t="s">
        <v>1168</v>
      </c>
      <c r="BU35" s="42">
        <v>0.85</v>
      </c>
      <c r="BV35" s="42">
        <v>0.45</v>
      </c>
      <c r="BW35" s="42">
        <v>0.15</v>
      </c>
      <c r="BX35" s="42">
        <v>1.17</v>
      </c>
      <c r="BY35" s="42">
        <v>1.89</v>
      </c>
      <c r="BZ35" s="42">
        <v>0.73</v>
      </c>
      <c r="CA35" s="42">
        <v>0.28000000000000003</v>
      </c>
      <c r="CB35" s="46">
        <v>3.04</v>
      </c>
    </row>
    <row r="36" spans="2:80">
      <c r="B36" s="44" t="s">
        <v>1171</v>
      </c>
      <c r="C36" s="42">
        <v>3.03</v>
      </c>
      <c r="D36" s="42">
        <v>4.37</v>
      </c>
      <c r="E36" s="42">
        <v>5.31</v>
      </c>
      <c r="F36" s="42">
        <v>5.65</v>
      </c>
      <c r="G36" s="42">
        <v>4.3</v>
      </c>
      <c r="H36" s="42">
        <v>4.83</v>
      </c>
      <c r="I36" s="42">
        <v>1.73</v>
      </c>
      <c r="J36" s="46">
        <v>2.2799999999999998</v>
      </c>
      <c r="L36" s="44" t="s">
        <v>1172</v>
      </c>
      <c r="M36" s="42">
        <v>2.85</v>
      </c>
      <c r="N36" s="42">
        <v>5.45</v>
      </c>
      <c r="O36" s="42">
        <v>1.69</v>
      </c>
      <c r="P36" s="42">
        <v>6.08</v>
      </c>
      <c r="Q36" s="42">
        <v>0</v>
      </c>
      <c r="R36" s="42">
        <v>3.76</v>
      </c>
      <c r="S36" s="42">
        <v>3.06</v>
      </c>
      <c r="T36" s="46">
        <v>0</v>
      </c>
      <c r="V36" s="44" t="s">
        <v>1173</v>
      </c>
      <c r="W36" s="42">
        <v>3.92</v>
      </c>
      <c r="X36" s="42">
        <v>4.25</v>
      </c>
      <c r="Y36" s="42">
        <v>4.1500000000000004</v>
      </c>
      <c r="Z36" s="42">
        <v>4.33</v>
      </c>
      <c r="AA36" s="42">
        <v>1.51</v>
      </c>
      <c r="AB36" s="42">
        <v>3.14</v>
      </c>
      <c r="AC36" s="42">
        <v>1.67</v>
      </c>
      <c r="AD36" s="46">
        <v>1.24</v>
      </c>
      <c r="AF36" s="44" t="s">
        <v>1174</v>
      </c>
      <c r="AG36" s="42">
        <v>4.17</v>
      </c>
      <c r="AH36" s="42">
        <v>6.08</v>
      </c>
      <c r="AI36" s="42">
        <v>3.78</v>
      </c>
      <c r="AJ36" s="42">
        <v>0.02</v>
      </c>
      <c r="AK36" s="42">
        <v>5.45</v>
      </c>
      <c r="AL36" s="42">
        <v>1.85</v>
      </c>
      <c r="AM36" s="42">
        <v>3.72</v>
      </c>
      <c r="AN36" s="46">
        <v>3.14</v>
      </c>
      <c r="AP36" s="44" t="s">
        <v>1175</v>
      </c>
      <c r="AQ36" s="42">
        <v>2.59</v>
      </c>
      <c r="AR36" s="42">
        <v>1.17</v>
      </c>
      <c r="AS36" s="42">
        <v>2.59</v>
      </c>
      <c r="AT36" s="42">
        <v>3.56</v>
      </c>
      <c r="AU36" s="42">
        <v>1.37</v>
      </c>
      <c r="AV36" s="42">
        <v>85.32</v>
      </c>
      <c r="AW36" s="42">
        <v>1.37</v>
      </c>
      <c r="AX36" s="46">
        <v>0</v>
      </c>
      <c r="AZ36" s="44" t="s">
        <v>1176</v>
      </c>
      <c r="BA36" s="42">
        <v>0.53</v>
      </c>
      <c r="BB36" s="42">
        <v>0.45</v>
      </c>
      <c r="BC36" s="42">
        <v>0.33</v>
      </c>
      <c r="BD36" s="42">
        <v>1.61</v>
      </c>
      <c r="BE36" s="42">
        <v>2.59</v>
      </c>
      <c r="BF36" s="42">
        <v>1.89</v>
      </c>
      <c r="BG36" s="42">
        <v>0.73</v>
      </c>
      <c r="BH36" s="46">
        <v>1.17</v>
      </c>
      <c r="BJ36" s="44" t="s">
        <v>1177</v>
      </c>
      <c r="BK36" s="42">
        <v>12.69</v>
      </c>
      <c r="BL36" s="42">
        <v>1.17</v>
      </c>
      <c r="BM36" s="42">
        <v>1.61</v>
      </c>
      <c r="BN36" s="42">
        <v>1.89</v>
      </c>
      <c r="BO36" s="42">
        <v>1.17</v>
      </c>
      <c r="BP36" s="42">
        <v>2.21</v>
      </c>
      <c r="BQ36" s="42">
        <v>0.24</v>
      </c>
      <c r="BR36" s="46">
        <v>0.45</v>
      </c>
      <c r="BT36" s="44" t="s">
        <v>1175</v>
      </c>
      <c r="BU36" s="42">
        <v>0.85</v>
      </c>
      <c r="BV36" s="42">
        <v>1.17</v>
      </c>
      <c r="BW36" s="42">
        <v>0.15</v>
      </c>
      <c r="BX36" s="42">
        <v>1.17</v>
      </c>
      <c r="BY36" s="42">
        <v>2.21</v>
      </c>
      <c r="BZ36" s="42">
        <v>0.73</v>
      </c>
      <c r="CA36" s="42">
        <v>0.33</v>
      </c>
      <c r="CB36" s="46">
        <v>2.59</v>
      </c>
    </row>
    <row r="37" spans="2:80">
      <c r="B37" s="44" t="s">
        <v>1178</v>
      </c>
      <c r="C37" s="42">
        <v>3</v>
      </c>
      <c r="D37" s="42">
        <v>4.41</v>
      </c>
      <c r="E37" s="42">
        <v>5.33</v>
      </c>
      <c r="F37" s="42">
        <v>5.62</v>
      </c>
      <c r="G37" s="42">
        <v>4.33</v>
      </c>
      <c r="H37" s="42">
        <v>3.4</v>
      </c>
      <c r="I37" s="42">
        <v>1.76</v>
      </c>
      <c r="J37" s="46">
        <v>1.46</v>
      </c>
      <c r="L37" s="44" t="s">
        <v>1179</v>
      </c>
      <c r="M37" s="42">
        <v>2.86</v>
      </c>
      <c r="N37" s="42">
        <v>5.42</v>
      </c>
      <c r="O37" s="42">
        <v>5.15</v>
      </c>
      <c r="P37" s="42">
        <v>6.08</v>
      </c>
      <c r="Q37" s="42">
        <v>0</v>
      </c>
      <c r="R37" s="42">
        <v>1.0900000000000001</v>
      </c>
      <c r="S37" s="42">
        <v>3.1</v>
      </c>
      <c r="T37" s="46">
        <v>3.43</v>
      </c>
      <c r="V37" s="44" t="s">
        <v>1180</v>
      </c>
      <c r="W37" s="42">
        <v>3.89</v>
      </c>
      <c r="X37" s="42">
        <v>4.26</v>
      </c>
      <c r="Y37" s="42">
        <v>4.18</v>
      </c>
      <c r="Z37" s="42">
        <v>4.29</v>
      </c>
      <c r="AA37" s="42">
        <v>3.63</v>
      </c>
      <c r="AB37" s="42">
        <v>3.14</v>
      </c>
      <c r="AC37" s="42">
        <v>1.64</v>
      </c>
      <c r="AD37" s="46">
        <v>1.22</v>
      </c>
      <c r="AF37" s="44" t="s">
        <v>1181</v>
      </c>
      <c r="AG37" s="42">
        <v>4.18</v>
      </c>
      <c r="AH37" s="42">
        <v>6.13</v>
      </c>
      <c r="AI37" s="42">
        <v>3.54</v>
      </c>
      <c r="AJ37" s="42">
        <v>5.16</v>
      </c>
      <c r="AK37" s="42">
        <v>5.45</v>
      </c>
      <c r="AL37" s="42">
        <v>1.83</v>
      </c>
      <c r="AM37" s="42">
        <v>3.72</v>
      </c>
      <c r="AN37" s="46">
        <v>0</v>
      </c>
      <c r="AP37" s="44" t="s">
        <v>1182</v>
      </c>
      <c r="AQ37" s="42">
        <v>0</v>
      </c>
      <c r="AR37" s="42">
        <v>1.17</v>
      </c>
      <c r="AS37" s="42">
        <v>2.59</v>
      </c>
      <c r="AT37" s="42">
        <v>3.56</v>
      </c>
      <c r="AU37" s="42">
        <v>1.37</v>
      </c>
      <c r="AV37" s="42">
        <v>1.37</v>
      </c>
      <c r="AW37" s="42">
        <v>1.17</v>
      </c>
      <c r="AX37" s="46">
        <v>0</v>
      </c>
      <c r="AZ37" s="44" t="s">
        <v>1183</v>
      </c>
      <c r="BA37" s="42">
        <v>0.53</v>
      </c>
      <c r="BB37" s="42">
        <v>4.18</v>
      </c>
      <c r="BC37" s="42">
        <v>0.33</v>
      </c>
      <c r="BD37" s="42">
        <v>1.61</v>
      </c>
      <c r="BE37" s="42">
        <v>2.21</v>
      </c>
      <c r="BF37" s="42">
        <v>1.89</v>
      </c>
      <c r="BG37" s="42">
        <v>0.73</v>
      </c>
      <c r="BH37" s="46">
        <v>1.17</v>
      </c>
      <c r="BJ37" s="44" t="s">
        <v>1184</v>
      </c>
      <c r="BK37" s="42">
        <v>12.69</v>
      </c>
      <c r="BL37" s="42">
        <v>1.37</v>
      </c>
      <c r="BM37" s="42">
        <v>1.61</v>
      </c>
      <c r="BN37" s="42">
        <v>3.56</v>
      </c>
      <c r="BO37" s="42">
        <v>1.37</v>
      </c>
      <c r="BP37" s="42">
        <v>2.59</v>
      </c>
      <c r="BQ37" s="42">
        <v>0.24</v>
      </c>
      <c r="BR37" s="46">
        <v>0.2</v>
      </c>
      <c r="BT37" s="44" t="s">
        <v>1182</v>
      </c>
      <c r="BU37" s="42">
        <v>0.85</v>
      </c>
      <c r="BV37" s="42">
        <v>0.53</v>
      </c>
      <c r="BW37" s="42">
        <v>0.15</v>
      </c>
      <c r="BX37" s="42">
        <v>1.17</v>
      </c>
      <c r="BY37" s="42">
        <v>0.85</v>
      </c>
      <c r="BZ37" s="42">
        <v>0.73</v>
      </c>
      <c r="CA37" s="42">
        <v>0.28000000000000003</v>
      </c>
      <c r="CB37" s="46">
        <v>2.21</v>
      </c>
    </row>
    <row r="38" spans="2:80">
      <c r="B38" s="44" t="s">
        <v>1185</v>
      </c>
      <c r="C38" s="42">
        <v>3</v>
      </c>
      <c r="D38" s="42">
        <v>4.38</v>
      </c>
      <c r="E38" s="42">
        <v>5.31</v>
      </c>
      <c r="F38" s="42">
        <v>1.36</v>
      </c>
      <c r="G38" s="42">
        <v>4.33</v>
      </c>
      <c r="H38" s="42">
        <v>4.79</v>
      </c>
      <c r="I38" s="42">
        <v>1.74</v>
      </c>
      <c r="J38" s="46">
        <v>2.27</v>
      </c>
      <c r="L38" s="44" t="s">
        <v>1186</v>
      </c>
      <c r="M38" s="42">
        <v>2.86</v>
      </c>
      <c r="N38" s="42">
        <v>5.45</v>
      </c>
      <c r="O38" s="42">
        <v>5.24</v>
      </c>
      <c r="P38" s="42">
        <v>6.06</v>
      </c>
      <c r="Q38" s="42">
        <v>0</v>
      </c>
      <c r="R38" s="42">
        <v>3.74</v>
      </c>
      <c r="S38" s="42">
        <v>3.02</v>
      </c>
      <c r="T38" s="46">
        <v>3.6</v>
      </c>
      <c r="V38" s="44" t="s">
        <v>1187</v>
      </c>
      <c r="W38" s="42">
        <v>3.92</v>
      </c>
      <c r="X38" s="42">
        <v>4.2699999999999996</v>
      </c>
      <c r="Y38" s="42">
        <v>4.18</v>
      </c>
      <c r="Z38" s="42">
        <v>4.26</v>
      </c>
      <c r="AA38" s="42">
        <v>3.64</v>
      </c>
      <c r="AB38" s="42">
        <v>3.13</v>
      </c>
      <c r="AC38" s="42">
        <v>1.64</v>
      </c>
      <c r="AD38" s="46">
        <v>1.21</v>
      </c>
      <c r="AF38" s="44" t="s">
        <v>1188</v>
      </c>
      <c r="AG38" s="42">
        <v>4.17</v>
      </c>
      <c r="AH38" s="42">
        <v>4.1399999999999997</v>
      </c>
      <c r="AI38" s="42">
        <v>3.8</v>
      </c>
      <c r="AJ38" s="42">
        <v>5.15</v>
      </c>
      <c r="AK38" s="42">
        <v>4.62</v>
      </c>
      <c r="AL38" s="42">
        <v>1.83</v>
      </c>
      <c r="AM38" s="42">
        <v>3.74</v>
      </c>
      <c r="AN38" s="46">
        <v>3.15</v>
      </c>
      <c r="AP38" s="44" t="s">
        <v>1189</v>
      </c>
      <c r="AQ38" s="42">
        <v>3.04</v>
      </c>
      <c r="AR38" s="42">
        <v>1.17</v>
      </c>
      <c r="AS38" s="42">
        <v>9.24</v>
      </c>
      <c r="AT38" s="42">
        <v>3.56</v>
      </c>
      <c r="AU38" s="42">
        <v>1.61</v>
      </c>
      <c r="AV38" s="42">
        <v>1.37</v>
      </c>
      <c r="AW38" s="42">
        <v>1.37</v>
      </c>
      <c r="AX38" s="46">
        <v>0</v>
      </c>
      <c r="AZ38" s="44" t="s">
        <v>1190</v>
      </c>
      <c r="BA38" s="42">
        <v>0.53</v>
      </c>
      <c r="BB38" s="42">
        <v>4.18</v>
      </c>
      <c r="BC38" s="42">
        <v>0.39</v>
      </c>
      <c r="BD38" s="42">
        <v>1.89</v>
      </c>
      <c r="BE38" s="42">
        <v>2.21</v>
      </c>
      <c r="BF38" s="42">
        <v>1.89</v>
      </c>
      <c r="BG38" s="42">
        <v>0.73</v>
      </c>
      <c r="BH38" s="46">
        <v>1.17</v>
      </c>
      <c r="BJ38" s="44" t="s">
        <v>1191</v>
      </c>
      <c r="BK38" s="42">
        <v>12.69</v>
      </c>
      <c r="BL38" s="42">
        <v>1.61</v>
      </c>
      <c r="BM38" s="42">
        <v>1.61</v>
      </c>
      <c r="BN38" s="42">
        <v>3.56</v>
      </c>
      <c r="BO38" s="42">
        <v>1.17</v>
      </c>
      <c r="BP38" s="42">
        <v>2.21</v>
      </c>
      <c r="BQ38" s="42">
        <v>0.2</v>
      </c>
      <c r="BR38" s="46">
        <v>0.2</v>
      </c>
      <c r="BT38" s="44" t="s">
        <v>1189</v>
      </c>
      <c r="BU38" s="42">
        <v>0.73</v>
      </c>
      <c r="BV38" s="42">
        <v>0.45</v>
      </c>
      <c r="BW38" s="42">
        <v>0.15</v>
      </c>
      <c r="BX38" s="42">
        <v>1.17</v>
      </c>
      <c r="BY38" s="42">
        <v>2.21</v>
      </c>
      <c r="BZ38" s="42">
        <v>0.73</v>
      </c>
      <c r="CA38" s="42">
        <v>0.45</v>
      </c>
      <c r="CB38" s="46">
        <v>2.21</v>
      </c>
    </row>
    <row r="39" spans="2:80">
      <c r="B39" s="44" t="s">
        <v>1192</v>
      </c>
      <c r="C39" s="42">
        <v>3.01</v>
      </c>
      <c r="D39" s="42">
        <v>0</v>
      </c>
      <c r="E39" s="42">
        <v>5.3</v>
      </c>
      <c r="F39" s="42">
        <v>5.63</v>
      </c>
      <c r="G39" s="42">
        <v>4.32</v>
      </c>
      <c r="H39" s="42">
        <v>4.83</v>
      </c>
      <c r="I39" s="42">
        <v>1.71</v>
      </c>
      <c r="J39" s="46">
        <v>2.3199999999999998</v>
      </c>
      <c r="L39" s="44" t="s">
        <v>1193</v>
      </c>
      <c r="M39" s="42">
        <v>2.1</v>
      </c>
      <c r="N39" s="42">
        <v>5.49</v>
      </c>
      <c r="O39" s="42">
        <v>5.15</v>
      </c>
      <c r="P39" s="42">
        <v>6.05</v>
      </c>
      <c r="Q39" s="42">
        <v>0</v>
      </c>
      <c r="R39" s="42">
        <v>0.68</v>
      </c>
      <c r="S39" s="42">
        <v>3.05</v>
      </c>
      <c r="T39" s="46">
        <v>3.44</v>
      </c>
      <c r="V39" s="44" t="s">
        <v>1194</v>
      </c>
      <c r="W39" s="42">
        <v>3.31</v>
      </c>
      <c r="X39" s="42">
        <v>4.26</v>
      </c>
      <c r="Y39" s="42">
        <v>4.17</v>
      </c>
      <c r="Z39" s="42">
        <v>4.3</v>
      </c>
      <c r="AA39" s="42">
        <v>3.58</v>
      </c>
      <c r="AB39" s="42">
        <v>3.14</v>
      </c>
      <c r="AC39" s="42">
        <v>1.63</v>
      </c>
      <c r="AD39" s="46">
        <v>1.37</v>
      </c>
      <c r="AF39" s="44" t="s">
        <v>1195</v>
      </c>
      <c r="AG39" s="42">
        <v>4.16</v>
      </c>
      <c r="AH39" s="42">
        <v>6.08</v>
      </c>
      <c r="AI39" s="42">
        <v>3.77</v>
      </c>
      <c r="AJ39" s="42">
        <v>0.98</v>
      </c>
      <c r="AK39" s="42">
        <v>5.48</v>
      </c>
      <c r="AL39" s="42">
        <v>1.85</v>
      </c>
      <c r="AM39" s="42">
        <v>2.56</v>
      </c>
      <c r="AN39" s="46">
        <v>0</v>
      </c>
      <c r="AP39" s="44" t="s">
        <v>1196</v>
      </c>
      <c r="AQ39" s="42">
        <v>2.59</v>
      </c>
      <c r="AR39" s="42">
        <v>1.17</v>
      </c>
      <c r="AS39" s="42">
        <v>2.59</v>
      </c>
      <c r="AT39" s="42">
        <v>3.04</v>
      </c>
      <c r="AU39" s="42">
        <v>1.37</v>
      </c>
      <c r="AV39" s="42">
        <v>1.17</v>
      </c>
      <c r="AW39" s="42">
        <v>1.17</v>
      </c>
      <c r="AX39" s="46">
        <v>2.59</v>
      </c>
      <c r="AZ39" s="44" t="s">
        <v>1197</v>
      </c>
      <c r="BA39" s="42">
        <v>0.53</v>
      </c>
      <c r="BB39" s="42">
        <v>4.18</v>
      </c>
      <c r="BC39" s="42">
        <v>0.39</v>
      </c>
      <c r="BD39" s="42">
        <v>1.61</v>
      </c>
      <c r="BE39" s="42">
        <v>2.21</v>
      </c>
      <c r="BF39" s="42">
        <v>1.89</v>
      </c>
      <c r="BG39" s="42">
        <v>0.73</v>
      </c>
      <c r="BH39" s="46">
        <v>1.17</v>
      </c>
      <c r="BJ39" s="44" t="s">
        <v>1198</v>
      </c>
      <c r="BK39" s="42">
        <v>12.69</v>
      </c>
      <c r="BL39" s="42">
        <v>1.37</v>
      </c>
      <c r="BM39" s="42">
        <v>1.61</v>
      </c>
      <c r="BN39" s="42">
        <v>3.04</v>
      </c>
      <c r="BO39" s="42">
        <v>1.61</v>
      </c>
      <c r="BP39" s="42">
        <v>2.59</v>
      </c>
      <c r="BQ39" s="42">
        <v>0.24</v>
      </c>
      <c r="BR39" s="46">
        <v>0.2</v>
      </c>
      <c r="BT39" s="44" t="s">
        <v>1196</v>
      </c>
      <c r="BU39" s="42">
        <v>0.85</v>
      </c>
      <c r="BV39" s="42">
        <v>0.45</v>
      </c>
      <c r="BW39" s="42">
        <v>0.15</v>
      </c>
      <c r="BX39" s="42">
        <v>1.17</v>
      </c>
      <c r="BY39" s="42">
        <v>1.89</v>
      </c>
      <c r="BZ39" s="42">
        <v>0.73</v>
      </c>
      <c r="CA39" s="42">
        <v>0.33</v>
      </c>
      <c r="CB39" s="46">
        <v>2.21</v>
      </c>
    </row>
    <row r="40" spans="2:80">
      <c r="B40" s="44" t="s">
        <v>1199</v>
      </c>
      <c r="C40" s="42">
        <v>3.02</v>
      </c>
      <c r="D40" s="42">
        <v>4.4000000000000004</v>
      </c>
      <c r="E40" s="42">
        <v>5.3</v>
      </c>
      <c r="F40" s="42">
        <v>5.64</v>
      </c>
      <c r="G40" s="42">
        <v>4.32</v>
      </c>
      <c r="H40" s="42">
        <v>4.8</v>
      </c>
      <c r="I40" s="42">
        <v>1.71</v>
      </c>
      <c r="J40" s="46">
        <v>2.23</v>
      </c>
      <c r="L40" s="44" t="s">
        <v>1200</v>
      </c>
      <c r="M40" s="42">
        <v>2.77</v>
      </c>
      <c r="N40" s="42">
        <v>5.42</v>
      </c>
      <c r="O40" s="42">
        <v>5.15</v>
      </c>
      <c r="P40" s="42">
        <v>6.04</v>
      </c>
      <c r="Q40" s="42">
        <v>5.14</v>
      </c>
      <c r="R40" s="42">
        <v>2.0499999999999998</v>
      </c>
      <c r="S40" s="42">
        <v>3.05</v>
      </c>
      <c r="T40" s="46">
        <v>3.44</v>
      </c>
      <c r="V40" s="44" t="s">
        <v>1201</v>
      </c>
      <c r="W40" s="42">
        <v>3.94</v>
      </c>
      <c r="X40" s="42">
        <v>4.29</v>
      </c>
      <c r="Y40" s="42">
        <v>4.1500000000000004</v>
      </c>
      <c r="Z40" s="42">
        <v>4.2300000000000004</v>
      </c>
      <c r="AA40" s="42">
        <v>3.62</v>
      </c>
      <c r="AB40" s="42">
        <v>3.14</v>
      </c>
      <c r="AC40" s="42">
        <v>1.61</v>
      </c>
      <c r="AD40" s="46">
        <v>1.24</v>
      </c>
      <c r="AF40" s="44" t="s">
        <v>1202</v>
      </c>
      <c r="AG40" s="42">
        <v>4.1500000000000004</v>
      </c>
      <c r="AH40" s="42">
        <v>6.11</v>
      </c>
      <c r="AI40" s="42">
        <v>3.79</v>
      </c>
      <c r="AJ40" s="42">
        <v>5.13</v>
      </c>
      <c r="AK40" s="42">
        <v>5.44</v>
      </c>
      <c r="AL40" s="42">
        <v>1.86</v>
      </c>
      <c r="AM40" s="42">
        <v>3.75</v>
      </c>
      <c r="AN40" s="46">
        <v>3.09</v>
      </c>
      <c r="AP40" s="44" t="s">
        <v>1203</v>
      </c>
      <c r="AQ40" s="42">
        <v>14.87</v>
      </c>
      <c r="AR40" s="42">
        <v>0</v>
      </c>
      <c r="AS40" s="42">
        <v>0</v>
      </c>
      <c r="AT40" s="42">
        <v>2.59</v>
      </c>
      <c r="AU40" s="42">
        <v>1.61</v>
      </c>
      <c r="AV40" s="42">
        <v>99.99</v>
      </c>
      <c r="AW40" s="42">
        <v>0.33</v>
      </c>
      <c r="AX40" s="46">
        <v>3.04</v>
      </c>
      <c r="AZ40" s="44" t="s">
        <v>1204</v>
      </c>
      <c r="BA40" s="42">
        <v>0.45</v>
      </c>
      <c r="BB40" s="42">
        <v>0.62</v>
      </c>
      <c r="BC40" s="42">
        <v>0.15</v>
      </c>
      <c r="BD40" s="42">
        <v>1.61</v>
      </c>
      <c r="BE40" s="42">
        <v>20.43</v>
      </c>
      <c r="BF40" s="42">
        <v>1.89</v>
      </c>
      <c r="BG40" s="42">
        <v>0.62</v>
      </c>
      <c r="BH40" s="46">
        <v>1.37</v>
      </c>
      <c r="BJ40" s="44" t="s">
        <v>1205</v>
      </c>
      <c r="BK40" s="42">
        <v>9.24</v>
      </c>
      <c r="BL40" s="42">
        <v>1.37</v>
      </c>
      <c r="BM40" s="42">
        <v>1.61</v>
      </c>
      <c r="BN40" s="42">
        <v>3.56</v>
      </c>
      <c r="BO40" s="42">
        <v>1.61</v>
      </c>
      <c r="BP40" s="42">
        <v>2.59</v>
      </c>
      <c r="BQ40" s="42">
        <v>0.2</v>
      </c>
      <c r="BR40" s="46">
        <v>0.53</v>
      </c>
      <c r="BT40" s="44" t="s">
        <v>1203</v>
      </c>
      <c r="BU40" s="42">
        <v>0</v>
      </c>
      <c r="BV40" s="42">
        <v>7.88</v>
      </c>
      <c r="BW40" s="42">
        <v>0.13</v>
      </c>
      <c r="BX40" s="42">
        <v>4.18</v>
      </c>
      <c r="BY40" s="42">
        <v>0.85</v>
      </c>
      <c r="BZ40" s="42">
        <v>0.33</v>
      </c>
      <c r="CA40" s="42">
        <v>0.39</v>
      </c>
      <c r="CB40" s="46">
        <v>3.04</v>
      </c>
    </row>
    <row r="41" spans="2:80">
      <c r="B41" s="44" t="s">
        <v>1206</v>
      </c>
      <c r="C41" s="42">
        <v>3</v>
      </c>
      <c r="D41" s="42">
        <v>4.3600000000000003</v>
      </c>
      <c r="E41" s="42">
        <v>5.32</v>
      </c>
      <c r="F41" s="42">
        <v>0.1</v>
      </c>
      <c r="G41" s="42">
        <v>4.3499999999999996</v>
      </c>
      <c r="H41" s="42">
        <v>4.8899999999999997</v>
      </c>
      <c r="I41" s="42">
        <v>1.78</v>
      </c>
      <c r="J41" s="46">
        <v>2.2799999999999998</v>
      </c>
      <c r="L41" s="44" t="s">
        <v>1207</v>
      </c>
      <c r="M41" s="42">
        <v>2.83</v>
      </c>
      <c r="N41" s="42">
        <v>5.45</v>
      </c>
      <c r="O41" s="42">
        <v>5.17</v>
      </c>
      <c r="P41" s="42">
        <v>4.18</v>
      </c>
      <c r="Q41" s="42">
        <v>0</v>
      </c>
      <c r="R41" s="42">
        <v>3.72</v>
      </c>
      <c r="S41" s="42">
        <v>3.05</v>
      </c>
      <c r="T41" s="46">
        <v>3.44</v>
      </c>
      <c r="V41" s="44" t="s">
        <v>1208</v>
      </c>
      <c r="W41" s="42">
        <v>3.9</v>
      </c>
      <c r="X41" s="42">
        <v>4.25</v>
      </c>
      <c r="Y41" s="42">
        <v>0.35</v>
      </c>
      <c r="Z41" s="42">
        <v>4.3</v>
      </c>
      <c r="AA41" s="42">
        <v>3.61</v>
      </c>
      <c r="AB41" s="42">
        <v>3.12</v>
      </c>
      <c r="AC41" s="42">
        <v>1.63</v>
      </c>
      <c r="AD41" s="46">
        <v>1.2</v>
      </c>
      <c r="AF41" s="44" t="s">
        <v>1209</v>
      </c>
      <c r="AG41" s="42">
        <v>4.1399999999999997</v>
      </c>
      <c r="AH41" s="42">
        <v>6.14</v>
      </c>
      <c r="AI41" s="42">
        <v>3.77</v>
      </c>
      <c r="AJ41" s="42">
        <v>5.18</v>
      </c>
      <c r="AK41" s="42">
        <v>5.45</v>
      </c>
      <c r="AL41" s="42">
        <v>1.84</v>
      </c>
      <c r="AM41" s="42">
        <v>3.78</v>
      </c>
      <c r="AN41" s="46">
        <v>3.16</v>
      </c>
      <c r="AP41" s="44" t="s">
        <v>1210</v>
      </c>
      <c r="AQ41" s="42">
        <v>0</v>
      </c>
      <c r="AR41" s="42">
        <v>0</v>
      </c>
      <c r="AS41" s="42">
        <v>0</v>
      </c>
      <c r="AT41" s="42">
        <v>2.59</v>
      </c>
      <c r="AU41" s="42">
        <v>1.61</v>
      </c>
      <c r="AV41" s="42">
        <v>99.99</v>
      </c>
      <c r="AW41" s="42">
        <v>0.39</v>
      </c>
      <c r="AX41" s="46">
        <v>3.04</v>
      </c>
      <c r="AZ41" s="44" t="s">
        <v>1211</v>
      </c>
      <c r="BA41" s="42">
        <v>0.53</v>
      </c>
      <c r="BB41" s="42">
        <v>0.45</v>
      </c>
      <c r="BC41" s="42">
        <v>0.17</v>
      </c>
      <c r="BD41" s="42">
        <v>3.56</v>
      </c>
      <c r="BE41" s="42">
        <v>20.43</v>
      </c>
      <c r="BF41" s="42">
        <v>1.89</v>
      </c>
      <c r="BG41" s="42">
        <v>0.73</v>
      </c>
      <c r="BH41" s="46">
        <v>1.17</v>
      </c>
      <c r="BJ41" s="44" t="s">
        <v>1212</v>
      </c>
      <c r="BK41" s="42">
        <v>14.87</v>
      </c>
      <c r="BL41" s="42">
        <v>1.61</v>
      </c>
      <c r="BM41" s="42">
        <v>1.61</v>
      </c>
      <c r="BN41" s="42">
        <v>3.56</v>
      </c>
      <c r="BO41" s="42">
        <v>1.89</v>
      </c>
      <c r="BP41" s="42">
        <v>2.21</v>
      </c>
      <c r="BQ41" s="42">
        <v>0.17</v>
      </c>
      <c r="BR41" s="46">
        <v>0.2</v>
      </c>
      <c r="BT41" s="44" t="s">
        <v>1210</v>
      </c>
      <c r="BU41" s="42">
        <v>0.85</v>
      </c>
      <c r="BV41" s="42">
        <v>0.45</v>
      </c>
      <c r="BW41" s="42">
        <v>0.15</v>
      </c>
      <c r="BX41" s="42">
        <v>2.21</v>
      </c>
      <c r="BY41" s="42">
        <v>1.89</v>
      </c>
      <c r="BZ41" s="42">
        <v>0.62</v>
      </c>
      <c r="CA41" s="42">
        <v>0.28000000000000003</v>
      </c>
      <c r="CB41" s="46">
        <v>1.89</v>
      </c>
    </row>
    <row r="42" spans="2:80">
      <c r="B42" s="44" t="s">
        <v>1213</v>
      </c>
      <c r="C42" s="42">
        <v>3</v>
      </c>
      <c r="D42" s="42">
        <v>4.3899999999999997</v>
      </c>
      <c r="E42" s="42">
        <v>5.34</v>
      </c>
      <c r="F42" s="42">
        <v>4.18</v>
      </c>
      <c r="G42" s="42">
        <v>4.34</v>
      </c>
      <c r="H42" s="42">
        <v>4.83</v>
      </c>
      <c r="I42" s="42">
        <v>1.78</v>
      </c>
      <c r="J42" s="46">
        <v>3.22</v>
      </c>
      <c r="L42" s="44" t="s">
        <v>1214</v>
      </c>
      <c r="M42" s="42">
        <v>2.82</v>
      </c>
      <c r="N42" s="42">
        <v>5.47</v>
      </c>
      <c r="O42" s="42">
        <v>5.18</v>
      </c>
      <c r="P42" s="42">
        <v>4.55</v>
      </c>
      <c r="Q42" s="42">
        <v>0</v>
      </c>
      <c r="R42" s="42">
        <v>3.77</v>
      </c>
      <c r="S42" s="42">
        <v>3.08</v>
      </c>
      <c r="T42" s="46">
        <v>2.9</v>
      </c>
      <c r="V42" s="44" t="s">
        <v>1215</v>
      </c>
      <c r="W42" s="42">
        <v>3.89</v>
      </c>
      <c r="X42" s="42">
        <v>4.29</v>
      </c>
      <c r="Y42" s="42">
        <v>4.1500000000000004</v>
      </c>
      <c r="Z42" s="42">
        <v>4.32</v>
      </c>
      <c r="AA42" s="42">
        <v>3.6</v>
      </c>
      <c r="AB42" s="42">
        <v>3.12</v>
      </c>
      <c r="AC42" s="42">
        <v>1.63</v>
      </c>
      <c r="AD42" s="46">
        <v>1.28</v>
      </c>
      <c r="AF42" s="44" t="s">
        <v>1216</v>
      </c>
      <c r="AG42" s="42">
        <v>4.1399999999999997</v>
      </c>
      <c r="AH42" s="42">
        <v>6.13</v>
      </c>
      <c r="AI42" s="42">
        <v>3.77</v>
      </c>
      <c r="AJ42" s="42">
        <v>5.12</v>
      </c>
      <c r="AK42" s="42">
        <v>4.38</v>
      </c>
      <c r="AL42" s="42">
        <v>1.87</v>
      </c>
      <c r="AM42" s="42">
        <v>0.48</v>
      </c>
      <c r="AN42" s="46">
        <v>3.24</v>
      </c>
      <c r="AP42" s="44" t="s">
        <v>1217</v>
      </c>
      <c r="AQ42" s="42">
        <v>2.59</v>
      </c>
      <c r="AR42" s="42">
        <v>0</v>
      </c>
      <c r="AS42" s="42">
        <v>2.59</v>
      </c>
      <c r="AT42" s="42">
        <v>3.56</v>
      </c>
      <c r="AU42" s="42">
        <v>1.61</v>
      </c>
      <c r="AV42" s="42">
        <v>1.17</v>
      </c>
      <c r="AW42" s="42">
        <v>1.17</v>
      </c>
      <c r="AX42" s="46">
        <v>1.17</v>
      </c>
      <c r="AZ42" s="44" t="s">
        <v>1218</v>
      </c>
      <c r="BA42" s="42">
        <v>0.53</v>
      </c>
      <c r="BB42" s="42">
        <v>4.18</v>
      </c>
      <c r="BC42" s="42">
        <v>0.33</v>
      </c>
      <c r="BD42" s="42">
        <v>1.61</v>
      </c>
      <c r="BE42" s="42">
        <v>17.43</v>
      </c>
      <c r="BF42" s="42">
        <v>1.89</v>
      </c>
      <c r="BG42" s="42">
        <v>0.73</v>
      </c>
      <c r="BH42" s="46">
        <v>1.17</v>
      </c>
      <c r="BJ42" s="44" t="s">
        <v>1219</v>
      </c>
      <c r="BK42" s="42">
        <v>14.87</v>
      </c>
      <c r="BL42" s="42">
        <v>1.61</v>
      </c>
      <c r="BM42" s="42">
        <v>1.61</v>
      </c>
      <c r="BN42" s="42">
        <v>3.56</v>
      </c>
      <c r="BO42" s="42">
        <v>1.89</v>
      </c>
      <c r="BP42" s="42">
        <v>2.21</v>
      </c>
      <c r="BQ42" s="42">
        <v>0.24</v>
      </c>
      <c r="BR42" s="46">
        <v>0.2</v>
      </c>
      <c r="BT42" s="44" t="s">
        <v>1217</v>
      </c>
      <c r="BU42" s="42">
        <v>0.85</v>
      </c>
      <c r="BV42" s="42">
        <v>0.45</v>
      </c>
      <c r="BW42" s="42">
        <v>0.15</v>
      </c>
      <c r="BX42" s="42">
        <v>10.83</v>
      </c>
      <c r="BY42" s="42">
        <v>0.85</v>
      </c>
      <c r="BZ42" s="42">
        <v>0.62</v>
      </c>
      <c r="CA42" s="42">
        <v>0.28000000000000003</v>
      </c>
      <c r="CB42" s="46">
        <v>3.56</v>
      </c>
    </row>
    <row r="43" spans="2:80">
      <c r="B43" s="44" t="s">
        <v>1220</v>
      </c>
      <c r="C43" s="42">
        <v>3.02</v>
      </c>
      <c r="D43" s="42">
        <v>4.3899999999999997</v>
      </c>
      <c r="E43" s="42">
        <v>5.32</v>
      </c>
      <c r="F43" s="42">
        <v>5.65</v>
      </c>
      <c r="G43" s="42">
        <v>4.33</v>
      </c>
      <c r="H43" s="42">
        <v>2.6</v>
      </c>
      <c r="I43" s="42">
        <v>1.75</v>
      </c>
      <c r="J43" s="46">
        <v>2.2799999999999998</v>
      </c>
      <c r="L43" s="44" t="s">
        <v>1221</v>
      </c>
      <c r="M43" s="42">
        <v>2.85</v>
      </c>
      <c r="N43" s="42">
        <v>5.5</v>
      </c>
      <c r="O43" s="42">
        <v>5.19</v>
      </c>
      <c r="P43" s="42">
        <v>6.07</v>
      </c>
      <c r="Q43" s="42">
        <v>0</v>
      </c>
      <c r="R43" s="42">
        <v>3.74</v>
      </c>
      <c r="S43" s="42">
        <v>3.04</v>
      </c>
      <c r="T43" s="46">
        <v>3.4</v>
      </c>
      <c r="V43" s="44" t="s">
        <v>1222</v>
      </c>
      <c r="W43" s="42">
        <v>1.1299999999999999</v>
      </c>
      <c r="X43" s="42">
        <v>4.25</v>
      </c>
      <c r="Y43" s="42">
        <v>4.17</v>
      </c>
      <c r="Z43" s="42">
        <v>4.2699999999999996</v>
      </c>
      <c r="AA43" s="42">
        <v>3.62</v>
      </c>
      <c r="AB43" s="42">
        <v>3.11</v>
      </c>
      <c r="AC43" s="42">
        <v>1.61</v>
      </c>
      <c r="AD43" s="46">
        <v>1.23</v>
      </c>
      <c r="AF43" s="44" t="s">
        <v>1223</v>
      </c>
      <c r="AG43" s="42">
        <v>4.17</v>
      </c>
      <c r="AH43" s="42">
        <v>6.11</v>
      </c>
      <c r="AI43" s="42">
        <v>3.8</v>
      </c>
      <c r="AJ43" s="42">
        <v>5.34</v>
      </c>
      <c r="AK43" s="42">
        <v>5.43</v>
      </c>
      <c r="AL43" s="42">
        <v>1.84</v>
      </c>
      <c r="AM43" s="42">
        <v>3.73</v>
      </c>
      <c r="AN43" s="46">
        <v>0</v>
      </c>
      <c r="AP43" s="44" t="s">
        <v>1224</v>
      </c>
      <c r="AQ43" s="42">
        <v>2.59</v>
      </c>
      <c r="AR43" s="42">
        <v>0</v>
      </c>
      <c r="AS43" s="42">
        <v>2.59</v>
      </c>
      <c r="AT43" s="42">
        <v>3.56</v>
      </c>
      <c r="AU43" s="42">
        <v>1.37</v>
      </c>
      <c r="AV43" s="42">
        <v>1.17</v>
      </c>
      <c r="AW43" s="42">
        <v>0</v>
      </c>
      <c r="AX43" s="46">
        <v>0</v>
      </c>
      <c r="AZ43" s="44" t="s">
        <v>1225</v>
      </c>
      <c r="BA43" s="42">
        <v>0.62</v>
      </c>
      <c r="BB43" s="42">
        <v>4.18</v>
      </c>
      <c r="BC43" s="42">
        <v>0.39</v>
      </c>
      <c r="BD43" s="42">
        <v>1.61</v>
      </c>
      <c r="BE43" s="42">
        <v>2.21</v>
      </c>
      <c r="BF43" s="42">
        <v>1.89</v>
      </c>
      <c r="BG43" s="42">
        <v>0.62</v>
      </c>
      <c r="BH43" s="46">
        <v>1.17</v>
      </c>
      <c r="BJ43" s="44" t="s">
        <v>1226</v>
      </c>
      <c r="BK43" s="42">
        <v>10.83</v>
      </c>
      <c r="BL43" s="42">
        <v>0</v>
      </c>
      <c r="BM43" s="42">
        <v>0.2</v>
      </c>
      <c r="BN43" s="42">
        <v>1.89</v>
      </c>
      <c r="BO43" s="42">
        <v>1.61</v>
      </c>
      <c r="BP43" s="42">
        <v>0.85</v>
      </c>
      <c r="BQ43" s="42">
        <v>0.17</v>
      </c>
      <c r="BR43" s="46">
        <v>0.53</v>
      </c>
      <c r="BT43" s="44" t="s">
        <v>1224</v>
      </c>
      <c r="BU43" s="42">
        <v>0.85</v>
      </c>
      <c r="BV43" s="42">
        <v>0.45</v>
      </c>
      <c r="BW43" s="42">
        <v>0.15</v>
      </c>
      <c r="BX43" s="42">
        <v>0</v>
      </c>
      <c r="BY43" s="42">
        <v>1.89</v>
      </c>
      <c r="BZ43" s="42">
        <v>0.73</v>
      </c>
      <c r="CA43" s="42">
        <v>0.28000000000000003</v>
      </c>
      <c r="CB43" s="46">
        <v>2.21</v>
      </c>
    </row>
    <row r="44" spans="2:80">
      <c r="B44" s="44" t="s">
        <v>1227</v>
      </c>
      <c r="C44" s="42">
        <v>2.98</v>
      </c>
      <c r="D44" s="42">
        <v>4.3899999999999997</v>
      </c>
      <c r="E44" s="42">
        <v>5.29</v>
      </c>
      <c r="F44" s="42">
        <v>5.63</v>
      </c>
      <c r="G44" s="42">
        <v>4.34</v>
      </c>
      <c r="H44" s="42">
        <v>4.84</v>
      </c>
      <c r="I44" s="42">
        <v>1.75</v>
      </c>
      <c r="J44" s="46">
        <v>2.2200000000000002</v>
      </c>
      <c r="L44" s="44" t="s">
        <v>1228</v>
      </c>
      <c r="M44" s="42">
        <v>2.84</v>
      </c>
      <c r="N44" s="42">
        <v>5.51</v>
      </c>
      <c r="O44" s="42">
        <v>2.0699999999999998</v>
      </c>
      <c r="P44" s="42">
        <v>3.54</v>
      </c>
      <c r="Q44" s="42">
        <v>0</v>
      </c>
      <c r="R44" s="42">
        <v>3.75</v>
      </c>
      <c r="S44" s="42">
        <v>0.62</v>
      </c>
      <c r="T44" s="46">
        <v>3.48</v>
      </c>
      <c r="V44" s="44" t="s">
        <v>1229</v>
      </c>
      <c r="W44" s="42">
        <v>1.06</v>
      </c>
      <c r="X44" s="42">
        <v>4.28</v>
      </c>
      <c r="Y44" s="42">
        <v>4.12</v>
      </c>
      <c r="Z44" s="42">
        <v>4.29</v>
      </c>
      <c r="AA44" s="42">
        <v>3.59</v>
      </c>
      <c r="AB44" s="42">
        <v>3.15</v>
      </c>
      <c r="AC44" s="42">
        <v>1.66</v>
      </c>
      <c r="AD44" s="46">
        <v>1.27</v>
      </c>
      <c r="AF44" s="44" t="s">
        <v>1230</v>
      </c>
      <c r="AG44" s="42">
        <v>4.1399999999999997</v>
      </c>
      <c r="AH44" s="42">
        <v>6.11</v>
      </c>
      <c r="AI44" s="42">
        <v>3.78</v>
      </c>
      <c r="AJ44" s="42">
        <v>5.16</v>
      </c>
      <c r="AK44" s="42">
        <v>5.45</v>
      </c>
      <c r="AL44" s="42">
        <v>1.84</v>
      </c>
      <c r="AM44" s="42">
        <v>3.77</v>
      </c>
      <c r="AN44" s="46">
        <v>3.15</v>
      </c>
      <c r="AP44" s="44" t="s">
        <v>1231</v>
      </c>
      <c r="AQ44" s="42">
        <v>20.43</v>
      </c>
      <c r="AR44" s="42">
        <v>1.17</v>
      </c>
      <c r="AS44" s="42">
        <v>0</v>
      </c>
      <c r="AT44" s="42">
        <v>3.56</v>
      </c>
      <c r="AU44" s="42">
        <v>1.61</v>
      </c>
      <c r="AV44" s="42">
        <v>1.17</v>
      </c>
      <c r="AW44" s="42">
        <v>1.17</v>
      </c>
      <c r="AX44" s="46">
        <v>0</v>
      </c>
      <c r="AZ44" s="44" t="s">
        <v>1232</v>
      </c>
      <c r="BA44" s="42">
        <v>0.62</v>
      </c>
      <c r="BB44" s="42">
        <v>0.45</v>
      </c>
      <c r="BC44" s="42">
        <v>0.39</v>
      </c>
      <c r="BD44" s="42">
        <v>1.61</v>
      </c>
      <c r="BE44" s="42">
        <v>2.21</v>
      </c>
      <c r="BF44" s="42">
        <v>1.89</v>
      </c>
      <c r="BG44" s="42">
        <v>0.62</v>
      </c>
      <c r="BH44" s="46">
        <v>0</v>
      </c>
      <c r="BJ44" s="44" t="s">
        <v>1233</v>
      </c>
      <c r="BK44" s="42">
        <v>14.87</v>
      </c>
      <c r="BL44" s="42">
        <v>1.37</v>
      </c>
      <c r="BM44" s="42">
        <v>1.61</v>
      </c>
      <c r="BN44" s="42">
        <v>3.56</v>
      </c>
      <c r="BO44" s="42">
        <v>1.61</v>
      </c>
      <c r="BP44" s="42">
        <v>2.59</v>
      </c>
      <c r="BQ44" s="42">
        <v>0.24</v>
      </c>
      <c r="BR44" s="46">
        <v>0.2</v>
      </c>
      <c r="BT44" s="44" t="s">
        <v>1231</v>
      </c>
      <c r="BU44" s="42">
        <v>1.17</v>
      </c>
      <c r="BV44" s="42">
        <v>0.45</v>
      </c>
      <c r="BW44" s="42">
        <v>0.15</v>
      </c>
      <c r="BX44" s="42">
        <v>0</v>
      </c>
      <c r="BY44" s="42">
        <v>1.89</v>
      </c>
      <c r="BZ44" s="42">
        <v>0.33</v>
      </c>
      <c r="CA44" s="42">
        <v>0.45</v>
      </c>
      <c r="CB44" s="46">
        <v>2.21</v>
      </c>
    </row>
    <row r="45" spans="2:80">
      <c r="B45" s="44" t="s">
        <v>1234</v>
      </c>
      <c r="C45" s="42">
        <v>3.01</v>
      </c>
      <c r="D45" s="42">
        <v>4.3499999999999996</v>
      </c>
      <c r="E45" s="42">
        <v>5.32</v>
      </c>
      <c r="F45" s="42">
        <v>5.63</v>
      </c>
      <c r="G45" s="42">
        <v>4.3600000000000003</v>
      </c>
      <c r="H45" s="42">
        <v>4.8499999999999996</v>
      </c>
      <c r="I45" s="42">
        <v>1.75</v>
      </c>
      <c r="J45" s="46">
        <v>2.69</v>
      </c>
      <c r="L45" s="44" t="s">
        <v>1235</v>
      </c>
      <c r="M45" s="42">
        <v>2.81</v>
      </c>
      <c r="N45" s="42">
        <v>5.43</v>
      </c>
      <c r="O45" s="42">
        <v>5.23</v>
      </c>
      <c r="P45" s="42">
        <v>6.05</v>
      </c>
      <c r="Q45" s="42">
        <v>0</v>
      </c>
      <c r="R45" s="42">
        <v>3.42</v>
      </c>
      <c r="S45" s="42">
        <v>3.07</v>
      </c>
      <c r="T45" s="46">
        <v>3.45</v>
      </c>
      <c r="V45" s="44" t="s">
        <v>1236</v>
      </c>
      <c r="W45" s="42">
        <v>3.92</v>
      </c>
      <c r="X45" s="42">
        <v>4.28</v>
      </c>
      <c r="Y45" s="42">
        <v>4.1500000000000004</v>
      </c>
      <c r="Z45" s="42">
        <v>4.29</v>
      </c>
      <c r="AA45" s="42">
        <v>3.66</v>
      </c>
      <c r="AB45" s="42">
        <v>3.13</v>
      </c>
      <c r="AC45" s="42">
        <v>1.64</v>
      </c>
      <c r="AD45" s="46">
        <v>1.26</v>
      </c>
      <c r="AF45" s="44" t="s">
        <v>1237</v>
      </c>
      <c r="AG45" s="42">
        <v>4.16</v>
      </c>
      <c r="AH45" s="42">
        <v>6.08</v>
      </c>
      <c r="AI45" s="42">
        <v>3.79</v>
      </c>
      <c r="AJ45" s="42">
        <v>1.57</v>
      </c>
      <c r="AK45" s="42">
        <v>5.47</v>
      </c>
      <c r="AL45" s="42">
        <v>1.83</v>
      </c>
      <c r="AM45" s="42">
        <v>3.74</v>
      </c>
      <c r="AN45" s="46">
        <v>3.05</v>
      </c>
      <c r="AP45" s="44" t="s">
        <v>1238</v>
      </c>
      <c r="AQ45" s="42">
        <v>2.59</v>
      </c>
      <c r="AR45" s="42">
        <v>1.17</v>
      </c>
      <c r="AS45" s="42">
        <v>2.59</v>
      </c>
      <c r="AT45" s="42">
        <v>2.59</v>
      </c>
      <c r="AU45" s="42">
        <v>1.37</v>
      </c>
      <c r="AV45" s="42">
        <v>1.17</v>
      </c>
      <c r="AW45" s="42">
        <v>1.37</v>
      </c>
      <c r="AX45" s="46">
        <v>3.04</v>
      </c>
      <c r="AZ45" s="44" t="s">
        <v>1239</v>
      </c>
      <c r="BA45" s="42">
        <v>0.62</v>
      </c>
      <c r="BB45" s="42">
        <v>0.62</v>
      </c>
      <c r="BC45" s="42">
        <v>0.15</v>
      </c>
      <c r="BD45" s="42">
        <v>1.61</v>
      </c>
      <c r="BE45" s="42">
        <v>2.21</v>
      </c>
      <c r="BF45" s="42">
        <v>1.61</v>
      </c>
      <c r="BG45" s="42">
        <v>0.62</v>
      </c>
      <c r="BH45" s="46">
        <v>1.17</v>
      </c>
      <c r="BJ45" s="44" t="s">
        <v>1240</v>
      </c>
      <c r="BK45" s="42">
        <v>14.87</v>
      </c>
      <c r="BL45" s="42">
        <v>1.37</v>
      </c>
      <c r="BM45" s="42">
        <v>1.61</v>
      </c>
      <c r="BN45" s="42">
        <v>3.56</v>
      </c>
      <c r="BO45" s="42">
        <v>1.89</v>
      </c>
      <c r="BP45" s="42">
        <v>2.21</v>
      </c>
      <c r="BQ45" s="42">
        <v>0.24</v>
      </c>
      <c r="BR45" s="46">
        <v>0.53</v>
      </c>
      <c r="BT45" s="44" t="s">
        <v>1238</v>
      </c>
      <c r="BU45" s="42">
        <v>0.85</v>
      </c>
      <c r="BV45" s="42">
        <v>0.45</v>
      </c>
      <c r="BW45" s="42">
        <v>0.15</v>
      </c>
      <c r="BX45" s="42">
        <v>1.17</v>
      </c>
      <c r="BY45" s="42">
        <v>1.89</v>
      </c>
      <c r="BZ45" s="42">
        <v>0.62</v>
      </c>
      <c r="CA45" s="42">
        <v>0.33</v>
      </c>
      <c r="CB45" s="46">
        <v>2.21</v>
      </c>
    </row>
    <row r="46" spans="2:80">
      <c r="B46" s="44" t="s">
        <v>1241</v>
      </c>
      <c r="C46" s="42">
        <v>3</v>
      </c>
      <c r="D46" s="42">
        <v>4.3899999999999997</v>
      </c>
      <c r="E46" s="42">
        <v>5.26</v>
      </c>
      <c r="F46" s="42">
        <v>5.63</v>
      </c>
      <c r="G46" s="42">
        <v>4.3</v>
      </c>
      <c r="H46" s="42">
        <v>4.88</v>
      </c>
      <c r="I46" s="42">
        <v>1.75</v>
      </c>
      <c r="J46" s="46">
        <v>2.27</v>
      </c>
      <c r="L46" s="44" t="s">
        <v>1242</v>
      </c>
      <c r="M46" s="42">
        <v>2.85</v>
      </c>
      <c r="N46" s="42">
        <v>5.46</v>
      </c>
      <c r="O46" s="42">
        <v>5.23</v>
      </c>
      <c r="P46" s="42">
        <v>0.25</v>
      </c>
      <c r="Q46" s="42">
        <v>5.13</v>
      </c>
      <c r="R46" s="42">
        <v>3.78</v>
      </c>
      <c r="S46" s="42">
        <v>3.06</v>
      </c>
      <c r="T46" s="46">
        <v>3.47</v>
      </c>
      <c r="V46" s="44" t="s">
        <v>1243</v>
      </c>
      <c r="W46" s="42">
        <v>3.94</v>
      </c>
      <c r="X46" s="42">
        <v>4.2699999999999996</v>
      </c>
      <c r="Y46" s="42">
        <v>4.17</v>
      </c>
      <c r="Z46" s="42">
        <v>4.28</v>
      </c>
      <c r="AA46" s="42">
        <v>3.55</v>
      </c>
      <c r="AB46" s="42">
        <v>3.16</v>
      </c>
      <c r="AC46" s="42">
        <v>1.66</v>
      </c>
      <c r="AD46" s="46">
        <v>1.28</v>
      </c>
      <c r="AF46" s="44" t="s">
        <v>1244</v>
      </c>
      <c r="AG46" s="42">
        <v>4.1500000000000004</v>
      </c>
      <c r="AH46" s="42">
        <v>6.07</v>
      </c>
      <c r="AI46" s="42">
        <v>3.79</v>
      </c>
      <c r="AJ46" s="42">
        <v>5.0999999999999996</v>
      </c>
      <c r="AK46" s="42">
        <v>5.48</v>
      </c>
      <c r="AL46" s="42">
        <v>1.85</v>
      </c>
      <c r="AM46" s="42">
        <v>3.74</v>
      </c>
      <c r="AN46" s="46">
        <v>3.13</v>
      </c>
      <c r="AP46" s="44" t="s">
        <v>1245</v>
      </c>
      <c r="AQ46" s="42">
        <v>0</v>
      </c>
      <c r="AR46" s="42">
        <v>1.17</v>
      </c>
      <c r="AS46" s="42">
        <v>2.59</v>
      </c>
      <c r="AT46" s="42">
        <v>3.04</v>
      </c>
      <c r="AU46" s="42">
        <v>1.37</v>
      </c>
      <c r="AV46" s="42">
        <v>1.17</v>
      </c>
      <c r="AW46" s="42">
        <v>1.37</v>
      </c>
      <c r="AX46" s="46">
        <v>3.04</v>
      </c>
      <c r="AZ46" s="44" t="s">
        <v>1246</v>
      </c>
      <c r="BA46" s="42">
        <v>0.53</v>
      </c>
      <c r="BB46" s="42">
        <v>4.18</v>
      </c>
      <c r="BC46" s="42">
        <v>0.39</v>
      </c>
      <c r="BD46" s="42">
        <v>1.61</v>
      </c>
      <c r="BE46" s="42">
        <v>2.21</v>
      </c>
      <c r="BF46" s="42">
        <v>1.89</v>
      </c>
      <c r="BG46" s="42">
        <v>0.73</v>
      </c>
      <c r="BH46" s="46">
        <v>1.17</v>
      </c>
      <c r="BJ46" s="44" t="s">
        <v>1247</v>
      </c>
      <c r="BK46" s="42">
        <v>14.87</v>
      </c>
      <c r="BL46" s="42">
        <v>1.37</v>
      </c>
      <c r="BM46" s="42">
        <v>1.61</v>
      </c>
      <c r="BN46" s="42">
        <v>3.56</v>
      </c>
      <c r="BO46" s="42">
        <v>1.61</v>
      </c>
      <c r="BP46" s="42">
        <v>2.21</v>
      </c>
      <c r="BQ46" s="42">
        <v>0.24</v>
      </c>
      <c r="BR46" s="46">
        <v>0.2</v>
      </c>
      <c r="BT46" s="44" t="s">
        <v>1245</v>
      </c>
      <c r="BU46" s="42">
        <v>0.85</v>
      </c>
      <c r="BV46" s="42">
        <v>7.88</v>
      </c>
      <c r="BW46" s="42">
        <v>0.15</v>
      </c>
      <c r="BX46" s="42">
        <v>1.17</v>
      </c>
      <c r="BY46" s="42">
        <v>0.85</v>
      </c>
      <c r="BZ46" s="42">
        <v>0.73</v>
      </c>
      <c r="CA46" s="42">
        <v>0.28000000000000003</v>
      </c>
      <c r="CB46" s="46">
        <v>2.21</v>
      </c>
    </row>
    <row r="47" spans="2:80">
      <c r="B47" s="44" t="s">
        <v>1248</v>
      </c>
      <c r="C47" s="42">
        <v>3.02</v>
      </c>
      <c r="D47" s="42">
        <v>4.3600000000000003</v>
      </c>
      <c r="E47" s="42">
        <v>5.27</v>
      </c>
      <c r="F47" s="42">
        <v>5.66</v>
      </c>
      <c r="G47" s="42">
        <v>4.32</v>
      </c>
      <c r="H47" s="42">
        <v>4.7699999999999996</v>
      </c>
      <c r="I47" s="42">
        <v>1.74</v>
      </c>
      <c r="J47" s="46">
        <v>3.25</v>
      </c>
      <c r="L47" s="44" t="s">
        <v>1249</v>
      </c>
      <c r="M47" s="42">
        <v>2.83</v>
      </c>
      <c r="N47" s="42">
        <v>5.47</v>
      </c>
      <c r="O47" s="42">
        <v>5.14</v>
      </c>
      <c r="P47" s="42">
        <v>6.01</v>
      </c>
      <c r="Q47" s="42">
        <v>0</v>
      </c>
      <c r="R47" s="42">
        <v>2.58</v>
      </c>
      <c r="S47" s="42">
        <v>2.7</v>
      </c>
      <c r="T47" s="46">
        <v>3.51</v>
      </c>
      <c r="V47" s="44" t="s">
        <v>1250</v>
      </c>
      <c r="W47" s="42">
        <v>3.92</v>
      </c>
      <c r="X47" s="42">
        <v>4.2699999999999996</v>
      </c>
      <c r="Y47" s="42">
        <v>4.13</v>
      </c>
      <c r="Z47" s="42">
        <v>4.3099999999999996</v>
      </c>
      <c r="AA47" s="42">
        <v>1.3</v>
      </c>
      <c r="AB47" s="42">
        <v>3.1</v>
      </c>
      <c r="AC47" s="42">
        <v>1.64</v>
      </c>
      <c r="AD47" s="46">
        <v>1.22</v>
      </c>
      <c r="AF47" s="44" t="s">
        <v>1251</v>
      </c>
      <c r="AG47" s="42">
        <v>4.17</v>
      </c>
      <c r="AH47" s="42">
        <v>6.08</v>
      </c>
      <c r="AI47" s="42">
        <v>3.84</v>
      </c>
      <c r="AJ47" s="42">
        <v>6.21</v>
      </c>
      <c r="AK47" s="42">
        <v>5.44</v>
      </c>
      <c r="AL47" s="42">
        <v>1.82</v>
      </c>
      <c r="AM47" s="42">
        <v>3.75</v>
      </c>
      <c r="AN47" s="46">
        <v>0</v>
      </c>
      <c r="AP47" s="44" t="s">
        <v>1252</v>
      </c>
      <c r="AQ47" s="42">
        <v>2.21</v>
      </c>
      <c r="AR47" s="42">
        <v>1.17</v>
      </c>
      <c r="AS47" s="42">
        <v>0</v>
      </c>
      <c r="AT47" s="42">
        <v>3.56</v>
      </c>
      <c r="AU47" s="42">
        <v>1.17</v>
      </c>
      <c r="AV47" s="42">
        <v>1.17</v>
      </c>
      <c r="AW47" s="42">
        <v>0.45</v>
      </c>
      <c r="AX47" s="46">
        <v>0</v>
      </c>
      <c r="AZ47" s="44" t="s">
        <v>1253</v>
      </c>
      <c r="BA47" s="42">
        <v>0.62</v>
      </c>
      <c r="BB47" s="42">
        <v>4.8899999999999997</v>
      </c>
      <c r="BC47" s="42">
        <v>0.33</v>
      </c>
      <c r="BD47" s="42">
        <v>1.61</v>
      </c>
      <c r="BE47" s="42">
        <v>1.89</v>
      </c>
      <c r="BF47" s="42">
        <v>1.89</v>
      </c>
      <c r="BG47" s="42">
        <v>0.73</v>
      </c>
      <c r="BH47" s="46">
        <v>1.17</v>
      </c>
      <c r="BJ47" s="44" t="s">
        <v>1254</v>
      </c>
      <c r="BK47" s="42">
        <v>14.87</v>
      </c>
      <c r="BL47" s="42">
        <v>1.61</v>
      </c>
      <c r="BM47" s="42">
        <v>1.89</v>
      </c>
      <c r="BN47" s="42">
        <v>3.04</v>
      </c>
      <c r="BO47" s="42">
        <v>1.61</v>
      </c>
      <c r="BP47" s="42">
        <v>2.59</v>
      </c>
      <c r="BQ47" s="42">
        <v>0.24</v>
      </c>
      <c r="BR47" s="46">
        <v>0.2</v>
      </c>
      <c r="BT47" s="44" t="s">
        <v>1252</v>
      </c>
      <c r="BU47" s="42">
        <v>0.85</v>
      </c>
      <c r="BV47" s="42">
        <v>0.45</v>
      </c>
      <c r="BW47" s="42">
        <v>0.15</v>
      </c>
      <c r="BX47" s="42">
        <v>0</v>
      </c>
      <c r="BY47" s="42">
        <v>1.89</v>
      </c>
      <c r="BZ47" s="42">
        <v>0.53</v>
      </c>
      <c r="CA47" s="42">
        <v>0.33</v>
      </c>
      <c r="CB47" s="46">
        <v>2.21</v>
      </c>
    </row>
    <row r="48" spans="2:80">
      <c r="B48" s="44" t="s">
        <v>1255</v>
      </c>
      <c r="C48" s="42">
        <v>3.02</v>
      </c>
      <c r="D48" s="42">
        <v>4.37</v>
      </c>
      <c r="E48" s="42">
        <v>2.06</v>
      </c>
      <c r="F48" s="42">
        <v>4.7300000000000004</v>
      </c>
      <c r="G48" s="42">
        <v>4.33</v>
      </c>
      <c r="H48" s="42">
        <v>4.84</v>
      </c>
      <c r="I48" s="42">
        <v>1.81</v>
      </c>
      <c r="J48" s="46">
        <v>2.48</v>
      </c>
      <c r="L48" s="44" t="s">
        <v>1256</v>
      </c>
      <c r="M48" s="42">
        <v>2.82</v>
      </c>
      <c r="N48" s="42">
        <v>5.45</v>
      </c>
      <c r="O48" s="42">
        <v>5.15</v>
      </c>
      <c r="P48" s="42">
        <v>6.06</v>
      </c>
      <c r="Q48" s="42">
        <v>0</v>
      </c>
      <c r="R48" s="42">
        <v>3.75</v>
      </c>
      <c r="S48" s="42">
        <v>3.04</v>
      </c>
      <c r="T48" s="46">
        <v>3.42</v>
      </c>
      <c r="V48" s="44" t="s">
        <v>1257</v>
      </c>
      <c r="W48" s="42">
        <v>3.96</v>
      </c>
      <c r="X48" s="42">
        <v>4.28</v>
      </c>
      <c r="Y48" s="42">
        <v>4.18</v>
      </c>
      <c r="Z48" s="42">
        <v>4.29</v>
      </c>
      <c r="AA48" s="42">
        <v>3.59</v>
      </c>
      <c r="AB48" s="42">
        <v>3.16</v>
      </c>
      <c r="AC48" s="42">
        <v>1.63</v>
      </c>
      <c r="AD48" s="46">
        <v>1.26</v>
      </c>
      <c r="AF48" s="44" t="s">
        <v>1258</v>
      </c>
      <c r="AG48" s="42">
        <v>4.17</v>
      </c>
      <c r="AH48" s="42">
        <v>6.02</v>
      </c>
      <c r="AI48" s="42">
        <v>3.73</v>
      </c>
      <c r="AJ48" s="42">
        <v>5.13</v>
      </c>
      <c r="AK48" s="42">
        <v>5.47</v>
      </c>
      <c r="AL48" s="42">
        <v>1.84</v>
      </c>
      <c r="AM48" s="42">
        <v>3.77</v>
      </c>
      <c r="AN48" s="46">
        <v>3.18</v>
      </c>
      <c r="AP48" s="44" t="s">
        <v>1259</v>
      </c>
      <c r="AQ48" s="42">
        <v>2.59</v>
      </c>
      <c r="AR48" s="42">
        <v>0</v>
      </c>
      <c r="AS48" s="42">
        <v>9.24</v>
      </c>
      <c r="AT48" s="42">
        <v>2.59</v>
      </c>
      <c r="AU48" s="42">
        <v>1.37</v>
      </c>
      <c r="AV48" s="42">
        <v>1.37</v>
      </c>
      <c r="AW48" s="42">
        <v>1.17</v>
      </c>
      <c r="AX48" s="46">
        <v>0</v>
      </c>
      <c r="AZ48" s="44" t="s">
        <v>1260</v>
      </c>
      <c r="BA48" s="42">
        <v>0.62</v>
      </c>
      <c r="BB48" s="42">
        <v>0.45</v>
      </c>
      <c r="BC48" s="42">
        <v>0.39</v>
      </c>
      <c r="BD48" s="42">
        <v>1.61</v>
      </c>
      <c r="BE48" s="42">
        <v>2.21</v>
      </c>
      <c r="BF48" s="42">
        <v>1.61</v>
      </c>
      <c r="BG48" s="42">
        <v>0.62</v>
      </c>
      <c r="BH48" s="46">
        <v>1.17</v>
      </c>
      <c r="BJ48" s="44" t="s">
        <v>1261</v>
      </c>
      <c r="BK48" s="42">
        <v>14.87</v>
      </c>
      <c r="BL48" s="42">
        <v>1.37</v>
      </c>
      <c r="BM48" s="42">
        <v>1.61</v>
      </c>
      <c r="BN48" s="42">
        <v>3.56</v>
      </c>
      <c r="BO48" s="42">
        <v>1.89</v>
      </c>
      <c r="BP48" s="42">
        <v>2.59</v>
      </c>
      <c r="BQ48" s="42">
        <v>0.2</v>
      </c>
      <c r="BR48" s="46">
        <v>0.2</v>
      </c>
      <c r="BT48" s="44" t="s">
        <v>1259</v>
      </c>
      <c r="BU48" s="42">
        <v>0.73</v>
      </c>
      <c r="BV48" s="42">
        <v>0.45</v>
      </c>
      <c r="BW48" s="42">
        <v>0.15</v>
      </c>
      <c r="BX48" s="42">
        <v>1.17</v>
      </c>
      <c r="BY48" s="42">
        <v>2.21</v>
      </c>
      <c r="BZ48" s="42">
        <v>0.85</v>
      </c>
      <c r="CA48" s="42">
        <v>0.28000000000000003</v>
      </c>
      <c r="CB48" s="46">
        <v>3.56</v>
      </c>
    </row>
    <row r="49" spans="2:80">
      <c r="B49" s="44" t="s">
        <v>1262</v>
      </c>
      <c r="C49" s="42">
        <v>1.57</v>
      </c>
      <c r="D49" s="42">
        <v>0</v>
      </c>
      <c r="E49" s="42">
        <v>5.3</v>
      </c>
      <c r="F49" s="42">
        <v>5.63</v>
      </c>
      <c r="G49" s="42">
        <v>4.32</v>
      </c>
      <c r="H49" s="42">
        <v>2.71</v>
      </c>
      <c r="I49" s="42">
        <v>1.76</v>
      </c>
      <c r="J49" s="46">
        <v>2.23</v>
      </c>
      <c r="L49" s="44" t="s">
        <v>1263</v>
      </c>
      <c r="M49" s="42">
        <v>2.85</v>
      </c>
      <c r="N49" s="42">
        <v>5.47</v>
      </c>
      <c r="O49" s="42">
        <v>5.21</v>
      </c>
      <c r="P49" s="42">
        <v>6.05</v>
      </c>
      <c r="Q49" s="42">
        <v>0</v>
      </c>
      <c r="R49" s="42">
        <v>3.73</v>
      </c>
      <c r="S49" s="42">
        <v>3.09</v>
      </c>
      <c r="T49" s="46">
        <v>0</v>
      </c>
      <c r="V49" s="44" t="s">
        <v>1264</v>
      </c>
      <c r="W49" s="42">
        <v>3.91</v>
      </c>
      <c r="X49" s="42">
        <v>4.28</v>
      </c>
      <c r="Y49" s="42">
        <v>4.1900000000000004</v>
      </c>
      <c r="Z49" s="42">
        <v>4.29</v>
      </c>
      <c r="AA49" s="42">
        <v>3.65</v>
      </c>
      <c r="AB49" s="42">
        <v>3.15</v>
      </c>
      <c r="AC49" s="42">
        <v>1.63</v>
      </c>
      <c r="AD49" s="46">
        <v>1.24</v>
      </c>
      <c r="AF49" s="44" t="s">
        <v>1265</v>
      </c>
      <c r="AG49" s="42">
        <v>4.1399999999999997</v>
      </c>
      <c r="AH49" s="42">
        <v>6.05</v>
      </c>
      <c r="AI49" s="42">
        <v>3.78</v>
      </c>
      <c r="AJ49" s="42">
        <v>5.36</v>
      </c>
      <c r="AK49" s="42">
        <v>4.18</v>
      </c>
      <c r="AL49" s="42">
        <v>1.85</v>
      </c>
      <c r="AM49" s="42">
        <v>3.78</v>
      </c>
      <c r="AN49" s="46">
        <v>3.21</v>
      </c>
      <c r="AP49" s="44" t="s">
        <v>1266</v>
      </c>
      <c r="AQ49" s="42">
        <v>2.59</v>
      </c>
      <c r="AR49" s="42">
        <v>1.17</v>
      </c>
      <c r="AS49" s="42">
        <v>2.21</v>
      </c>
      <c r="AT49" s="42">
        <v>3.56</v>
      </c>
      <c r="AU49" s="42">
        <v>1.37</v>
      </c>
      <c r="AV49" s="42">
        <v>62.1</v>
      </c>
      <c r="AW49" s="42">
        <v>1.37</v>
      </c>
      <c r="AX49" s="46">
        <v>0</v>
      </c>
      <c r="AZ49" s="44" t="s">
        <v>1267</v>
      </c>
      <c r="BA49" s="42">
        <v>0.62</v>
      </c>
      <c r="BB49" s="42">
        <v>4.18</v>
      </c>
      <c r="BC49" s="42">
        <v>0.39</v>
      </c>
      <c r="BD49" s="42">
        <v>3.04</v>
      </c>
      <c r="BE49" s="42">
        <v>2.59</v>
      </c>
      <c r="BF49" s="42">
        <v>7.88</v>
      </c>
      <c r="BG49" s="42">
        <v>0.62</v>
      </c>
      <c r="BH49" s="46">
        <v>1.17</v>
      </c>
      <c r="BJ49" s="44" t="s">
        <v>1268</v>
      </c>
      <c r="BK49" s="42">
        <v>14.87</v>
      </c>
      <c r="BL49" s="42">
        <v>1.61</v>
      </c>
      <c r="BM49" s="42">
        <v>1.61</v>
      </c>
      <c r="BN49" s="42">
        <v>3.56</v>
      </c>
      <c r="BO49" s="42">
        <v>1.89</v>
      </c>
      <c r="BP49" s="42">
        <v>2.59</v>
      </c>
      <c r="BQ49" s="42">
        <v>0.24</v>
      </c>
      <c r="BR49" s="46">
        <v>0.2</v>
      </c>
      <c r="BT49" s="44" t="s">
        <v>1266</v>
      </c>
      <c r="BU49" s="42">
        <v>0.73</v>
      </c>
      <c r="BV49" s="42">
        <v>0.45</v>
      </c>
      <c r="BW49" s="42">
        <v>0.15</v>
      </c>
      <c r="BX49" s="42">
        <v>1.17</v>
      </c>
      <c r="BY49" s="42">
        <v>1.89</v>
      </c>
      <c r="BZ49" s="42">
        <v>0.73</v>
      </c>
      <c r="CA49" s="42">
        <v>0.24</v>
      </c>
      <c r="CB49" s="46">
        <v>1.89</v>
      </c>
    </row>
    <row r="50" spans="2:80">
      <c r="B50" s="44" t="s">
        <v>1269</v>
      </c>
      <c r="C50" s="42">
        <v>3.01</v>
      </c>
      <c r="D50" s="42">
        <v>4.37</v>
      </c>
      <c r="E50" s="42">
        <v>5.3</v>
      </c>
      <c r="F50" s="42">
        <v>4.8499999999999996</v>
      </c>
      <c r="G50" s="42">
        <v>4.32</v>
      </c>
      <c r="H50" s="42">
        <v>4.82</v>
      </c>
      <c r="I50" s="42">
        <v>1.7</v>
      </c>
      <c r="J50" s="46">
        <v>2.25</v>
      </c>
      <c r="L50" s="44" t="s">
        <v>1270</v>
      </c>
      <c r="M50" s="42">
        <v>2.84</v>
      </c>
      <c r="N50" s="42">
        <v>5.42</v>
      </c>
      <c r="O50" s="42">
        <v>5.19</v>
      </c>
      <c r="P50" s="42">
        <v>6.1</v>
      </c>
      <c r="Q50" s="42">
        <v>0</v>
      </c>
      <c r="R50" s="42">
        <v>3.71</v>
      </c>
      <c r="S50" s="42">
        <v>3.02</v>
      </c>
      <c r="T50" s="46">
        <v>3.39</v>
      </c>
      <c r="V50" s="44" t="s">
        <v>1271</v>
      </c>
      <c r="W50" s="42">
        <v>3.89</v>
      </c>
      <c r="X50" s="42">
        <v>4.26</v>
      </c>
      <c r="Y50" s="42">
        <v>4.18</v>
      </c>
      <c r="Z50" s="42">
        <v>4.3</v>
      </c>
      <c r="AA50" s="42">
        <v>3.65</v>
      </c>
      <c r="AB50" s="42">
        <v>3.16</v>
      </c>
      <c r="AC50" s="42">
        <v>1.63</v>
      </c>
      <c r="AD50" s="46">
        <v>1.28</v>
      </c>
      <c r="AF50" s="44" t="s">
        <v>1272</v>
      </c>
      <c r="AG50" s="42">
        <v>4.16</v>
      </c>
      <c r="AH50" s="42">
        <v>6.09</v>
      </c>
      <c r="AI50" s="42">
        <v>3.78</v>
      </c>
      <c r="AJ50" s="42">
        <v>5.15</v>
      </c>
      <c r="AK50" s="42">
        <v>5.45</v>
      </c>
      <c r="AL50" s="42">
        <v>1.84</v>
      </c>
      <c r="AM50" s="42">
        <v>3.72</v>
      </c>
      <c r="AN50" s="46">
        <v>3.17</v>
      </c>
      <c r="AP50" s="44" t="s">
        <v>1273</v>
      </c>
      <c r="AQ50" s="42">
        <v>2.21</v>
      </c>
      <c r="AR50" s="42">
        <v>1.17</v>
      </c>
      <c r="AS50" s="42">
        <v>2.59</v>
      </c>
      <c r="AT50" s="42">
        <v>3.56</v>
      </c>
      <c r="AU50" s="42">
        <v>1.37</v>
      </c>
      <c r="AV50" s="42">
        <v>1.17</v>
      </c>
      <c r="AW50" s="42">
        <v>1.17</v>
      </c>
      <c r="AX50" s="46">
        <v>0</v>
      </c>
      <c r="AZ50" s="44" t="s">
        <v>1274</v>
      </c>
      <c r="BA50" s="42">
        <v>0.45</v>
      </c>
      <c r="BB50" s="42">
        <v>4.18</v>
      </c>
      <c r="BC50" s="42">
        <v>0.33</v>
      </c>
      <c r="BD50" s="42">
        <v>1.61</v>
      </c>
      <c r="BE50" s="42">
        <v>2.59</v>
      </c>
      <c r="BF50" s="42">
        <v>1.89</v>
      </c>
      <c r="BG50" s="42">
        <v>0.73</v>
      </c>
      <c r="BH50" s="46">
        <v>1.17</v>
      </c>
      <c r="BJ50" s="44" t="s">
        <v>1275</v>
      </c>
      <c r="BK50" s="42">
        <v>14.87</v>
      </c>
      <c r="BL50" s="42">
        <v>1.37</v>
      </c>
      <c r="BM50" s="42">
        <v>1.61</v>
      </c>
      <c r="BN50" s="42">
        <v>1.89</v>
      </c>
      <c r="BO50" s="42">
        <v>1.89</v>
      </c>
      <c r="BP50" s="42">
        <v>2.59</v>
      </c>
      <c r="BQ50" s="42">
        <v>0.2</v>
      </c>
      <c r="BR50" s="46">
        <v>0.24</v>
      </c>
      <c r="BT50" s="44" t="s">
        <v>1273</v>
      </c>
      <c r="BU50" s="42">
        <v>0.85</v>
      </c>
      <c r="BV50" s="42">
        <v>0.45</v>
      </c>
      <c r="BW50" s="42">
        <v>0.17</v>
      </c>
      <c r="BX50" s="42">
        <v>1.17</v>
      </c>
      <c r="BY50" s="42">
        <v>1.89</v>
      </c>
      <c r="BZ50" s="42">
        <v>0.73</v>
      </c>
      <c r="CA50" s="42">
        <v>0.24</v>
      </c>
      <c r="CB50" s="46">
        <v>2.21</v>
      </c>
    </row>
    <row r="51" spans="2:80">
      <c r="B51" s="44" t="s">
        <v>1276</v>
      </c>
      <c r="C51" s="42">
        <v>2.95</v>
      </c>
      <c r="D51" s="42">
        <v>4.3899999999999997</v>
      </c>
      <c r="E51" s="42">
        <v>5.3</v>
      </c>
      <c r="F51" s="42">
        <v>5.62</v>
      </c>
      <c r="G51" s="42">
        <v>4.33</v>
      </c>
      <c r="H51" s="42">
        <v>4.8099999999999996</v>
      </c>
      <c r="I51" s="42">
        <v>1.76</v>
      </c>
      <c r="J51" s="46">
        <v>2.2400000000000002</v>
      </c>
      <c r="L51" s="44" t="s">
        <v>1277</v>
      </c>
      <c r="M51" s="42">
        <v>2.81</v>
      </c>
      <c r="N51" s="42">
        <v>5.44</v>
      </c>
      <c r="O51" s="42">
        <v>99.99</v>
      </c>
      <c r="P51" s="42">
        <v>4.8099999999999996</v>
      </c>
      <c r="Q51" s="42">
        <v>0</v>
      </c>
      <c r="R51" s="42">
        <v>3.75</v>
      </c>
      <c r="S51" s="42">
        <v>3.05</v>
      </c>
      <c r="T51" s="46">
        <v>3.35</v>
      </c>
      <c r="V51" s="44" t="s">
        <v>1278</v>
      </c>
      <c r="W51" s="42">
        <v>3.9</v>
      </c>
      <c r="X51" s="42">
        <v>4.2699999999999996</v>
      </c>
      <c r="Y51" s="42">
        <v>4.16</v>
      </c>
      <c r="Z51" s="42">
        <v>4.32</v>
      </c>
      <c r="AA51" s="42">
        <v>3.57</v>
      </c>
      <c r="AB51" s="42">
        <v>3.13</v>
      </c>
      <c r="AC51" s="42">
        <v>1.64</v>
      </c>
      <c r="AD51" s="46">
        <v>1.29</v>
      </c>
      <c r="AF51" s="44" t="s">
        <v>1279</v>
      </c>
      <c r="AG51" s="42">
        <v>4.1399999999999997</v>
      </c>
      <c r="AH51" s="42">
        <v>6.06</v>
      </c>
      <c r="AI51" s="42">
        <v>3.76</v>
      </c>
      <c r="AJ51" s="42">
        <v>6.26</v>
      </c>
      <c r="AK51" s="42">
        <v>5.45</v>
      </c>
      <c r="AL51" s="42">
        <v>1.85</v>
      </c>
      <c r="AM51" s="42">
        <v>3.75</v>
      </c>
      <c r="AN51" s="46">
        <v>3.04</v>
      </c>
      <c r="AP51" s="44" t="s">
        <v>1280</v>
      </c>
      <c r="AQ51" s="42">
        <v>0</v>
      </c>
      <c r="AR51" s="42">
        <v>0</v>
      </c>
      <c r="AS51" s="42">
        <v>0</v>
      </c>
      <c r="AT51" s="42">
        <v>2.59</v>
      </c>
      <c r="AU51" s="42">
        <v>1.61</v>
      </c>
      <c r="AV51" s="42">
        <v>99.99</v>
      </c>
      <c r="AW51" s="42">
        <v>0.39</v>
      </c>
      <c r="AX51" s="46">
        <v>6.72</v>
      </c>
      <c r="AZ51" s="44" t="s">
        <v>1281</v>
      </c>
      <c r="BA51" s="42">
        <v>0</v>
      </c>
      <c r="BB51" s="42">
        <v>0.39</v>
      </c>
      <c r="BC51" s="42">
        <v>0.15</v>
      </c>
      <c r="BD51" s="42">
        <v>3.56</v>
      </c>
      <c r="BE51" s="42">
        <v>20.43</v>
      </c>
      <c r="BF51" s="42">
        <v>1.89</v>
      </c>
      <c r="BG51" s="42">
        <v>0.73</v>
      </c>
      <c r="BH51" s="46">
        <v>1.17</v>
      </c>
      <c r="BJ51" s="44" t="s">
        <v>1282</v>
      </c>
      <c r="BK51" s="42">
        <v>12.69</v>
      </c>
      <c r="BL51" s="42">
        <v>1.61</v>
      </c>
      <c r="BM51" s="42">
        <v>10.83</v>
      </c>
      <c r="BN51" s="42">
        <v>3.56</v>
      </c>
      <c r="BO51" s="42">
        <v>1.89</v>
      </c>
      <c r="BP51" s="42">
        <v>2.59</v>
      </c>
      <c r="BQ51" s="42">
        <v>0.24</v>
      </c>
      <c r="BR51" s="46">
        <v>0.2</v>
      </c>
      <c r="BT51" s="44" t="s">
        <v>1280</v>
      </c>
      <c r="BU51" s="42">
        <v>0.73</v>
      </c>
      <c r="BV51" s="42">
        <v>6.72</v>
      </c>
      <c r="BW51" s="42">
        <v>0.11</v>
      </c>
      <c r="BX51" s="42">
        <v>2.21</v>
      </c>
      <c r="BY51" s="42">
        <v>0.85</v>
      </c>
      <c r="BZ51" s="42">
        <v>0.28000000000000003</v>
      </c>
      <c r="CA51" s="42">
        <v>0.45</v>
      </c>
      <c r="CB51" s="46">
        <v>3.56</v>
      </c>
    </row>
    <row r="52" spans="2:80">
      <c r="B52" s="44" t="s">
        <v>1283</v>
      </c>
      <c r="C52" s="42">
        <v>3</v>
      </c>
      <c r="D52" s="42">
        <v>4.37</v>
      </c>
      <c r="E52" s="42">
        <v>5.28</v>
      </c>
      <c r="F52" s="42">
        <v>5.62</v>
      </c>
      <c r="G52" s="42">
        <v>4.32</v>
      </c>
      <c r="H52" s="42">
        <v>4.68</v>
      </c>
      <c r="I52" s="42">
        <v>1.77</v>
      </c>
      <c r="J52" s="46">
        <v>3.26</v>
      </c>
      <c r="L52" s="44" t="s">
        <v>1284</v>
      </c>
      <c r="M52" s="42">
        <v>2.88</v>
      </c>
      <c r="N52" s="42">
        <v>5.4</v>
      </c>
      <c r="O52" s="42">
        <v>5.19</v>
      </c>
      <c r="P52" s="42">
        <v>6.06</v>
      </c>
      <c r="Q52" s="42">
        <v>2.31</v>
      </c>
      <c r="R52" s="42">
        <v>3.7</v>
      </c>
      <c r="S52" s="42">
        <v>3.03</v>
      </c>
      <c r="T52" s="46">
        <v>3.44</v>
      </c>
      <c r="V52" s="44" t="s">
        <v>1285</v>
      </c>
      <c r="W52" s="42">
        <v>3.94</v>
      </c>
      <c r="X52" s="42">
        <v>4.2699999999999996</v>
      </c>
      <c r="Y52" s="42">
        <v>4.16</v>
      </c>
      <c r="Z52" s="42">
        <v>4.25</v>
      </c>
      <c r="AA52" s="42">
        <v>3.58</v>
      </c>
      <c r="AB52" s="42">
        <v>3.14</v>
      </c>
      <c r="AC52" s="42">
        <v>1.62</v>
      </c>
      <c r="AD52" s="46">
        <v>1.25</v>
      </c>
      <c r="AF52" s="44" t="s">
        <v>1286</v>
      </c>
      <c r="AG52" s="42">
        <v>3.93</v>
      </c>
      <c r="AH52" s="42">
        <v>0</v>
      </c>
      <c r="AI52" s="42">
        <v>3.14</v>
      </c>
      <c r="AJ52" s="42">
        <v>2.76</v>
      </c>
      <c r="AK52" s="42">
        <v>5.4</v>
      </c>
      <c r="AL52" s="42">
        <v>1.84</v>
      </c>
      <c r="AM52" s="42">
        <v>3.75</v>
      </c>
      <c r="AN52" s="46">
        <v>0</v>
      </c>
      <c r="AP52" s="44" t="s">
        <v>1287</v>
      </c>
      <c r="AQ52" s="42">
        <v>20.43</v>
      </c>
      <c r="AR52" s="42">
        <v>0</v>
      </c>
      <c r="AS52" s="42">
        <v>2.59</v>
      </c>
      <c r="AT52" s="42">
        <v>3.56</v>
      </c>
      <c r="AU52" s="42">
        <v>1.37</v>
      </c>
      <c r="AV52" s="42">
        <v>1.37</v>
      </c>
      <c r="AW52" s="42">
        <v>1.17</v>
      </c>
      <c r="AX52" s="46">
        <v>0</v>
      </c>
      <c r="AZ52" s="44" t="s">
        <v>1288</v>
      </c>
      <c r="BA52" s="42">
        <v>0.53</v>
      </c>
      <c r="BB52" s="42">
        <v>0.45</v>
      </c>
      <c r="BC52" s="42">
        <v>0.33</v>
      </c>
      <c r="BD52" s="42">
        <v>1.61</v>
      </c>
      <c r="BE52" s="42">
        <v>2.59</v>
      </c>
      <c r="BF52" s="42">
        <v>1.89</v>
      </c>
      <c r="BG52" s="42">
        <v>0.62</v>
      </c>
      <c r="BH52" s="46">
        <v>1.17</v>
      </c>
      <c r="BJ52" s="44" t="s">
        <v>1289</v>
      </c>
      <c r="BK52" s="42">
        <v>7.88</v>
      </c>
      <c r="BL52" s="42">
        <v>1.61</v>
      </c>
      <c r="BM52" s="42">
        <v>1.61</v>
      </c>
      <c r="BN52" s="42">
        <v>1.89</v>
      </c>
      <c r="BO52" s="42">
        <v>1.61</v>
      </c>
      <c r="BP52" s="42">
        <v>3.56</v>
      </c>
      <c r="BQ52" s="42">
        <v>0.2</v>
      </c>
      <c r="BR52" s="46">
        <v>0.24</v>
      </c>
      <c r="BT52" s="44" t="s">
        <v>1287</v>
      </c>
      <c r="BU52" s="42">
        <v>0.85</v>
      </c>
      <c r="BV52" s="42">
        <v>1.17</v>
      </c>
      <c r="BW52" s="42">
        <v>0.13</v>
      </c>
      <c r="BX52" s="42">
        <v>2.21</v>
      </c>
      <c r="BY52" s="42">
        <v>0</v>
      </c>
      <c r="BZ52" s="42">
        <v>0.53</v>
      </c>
      <c r="CA52" s="42">
        <v>0.33</v>
      </c>
      <c r="CB52" s="46">
        <v>3.56</v>
      </c>
    </row>
    <row r="53" spans="2:80">
      <c r="B53" s="44" t="s">
        <v>1290</v>
      </c>
      <c r="C53" s="42">
        <v>3</v>
      </c>
      <c r="D53" s="42">
        <v>4.3899999999999997</v>
      </c>
      <c r="E53" s="42">
        <v>5.32</v>
      </c>
      <c r="F53" s="42">
        <v>5.64</v>
      </c>
      <c r="G53" s="42">
        <v>4.32</v>
      </c>
      <c r="H53" s="42">
        <v>4.84</v>
      </c>
      <c r="I53" s="42">
        <v>1.75</v>
      </c>
      <c r="J53" s="46">
        <v>2.21</v>
      </c>
      <c r="L53" s="44" t="s">
        <v>1291</v>
      </c>
      <c r="M53" s="42">
        <v>2.86</v>
      </c>
      <c r="N53" s="42">
        <v>5.48</v>
      </c>
      <c r="O53" s="42">
        <v>5.19</v>
      </c>
      <c r="P53" s="42">
        <v>6.07</v>
      </c>
      <c r="Q53" s="42">
        <v>0</v>
      </c>
      <c r="R53" s="42">
        <v>3.72</v>
      </c>
      <c r="S53" s="42">
        <v>3.06</v>
      </c>
      <c r="T53" s="46">
        <v>3.5</v>
      </c>
      <c r="V53" s="44" t="s">
        <v>1292</v>
      </c>
      <c r="W53" s="42">
        <v>1.7</v>
      </c>
      <c r="X53" s="42">
        <v>4.2699999999999996</v>
      </c>
      <c r="Y53" s="42">
        <v>4.22</v>
      </c>
      <c r="Z53" s="42">
        <v>4.32</v>
      </c>
      <c r="AA53" s="42">
        <v>3.63</v>
      </c>
      <c r="AB53" s="42">
        <v>3.15</v>
      </c>
      <c r="AC53" s="42">
        <v>1.63</v>
      </c>
      <c r="AD53" s="46">
        <v>1.22</v>
      </c>
      <c r="AF53" s="44" t="s">
        <v>1293</v>
      </c>
      <c r="AG53" s="42">
        <v>4.16</v>
      </c>
      <c r="AH53" s="42">
        <v>6.12</v>
      </c>
      <c r="AI53" s="42">
        <v>3.78</v>
      </c>
      <c r="AJ53" s="42">
        <v>5.16</v>
      </c>
      <c r="AK53" s="42">
        <v>5.45</v>
      </c>
      <c r="AL53" s="42">
        <v>1.83</v>
      </c>
      <c r="AM53" s="42">
        <v>3.74</v>
      </c>
      <c r="AN53" s="46">
        <v>3.04</v>
      </c>
      <c r="AP53" s="44" t="s">
        <v>1294</v>
      </c>
      <c r="AQ53" s="42">
        <v>2.21</v>
      </c>
      <c r="AR53" s="42">
        <v>0</v>
      </c>
      <c r="AS53" s="42">
        <v>2.59</v>
      </c>
      <c r="AT53" s="42">
        <v>3.56</v>
      </c>
      <c r="AU53" s="42">
        <v>1.37</v>
      </c>
      <c r="AV53" s="42">
        <v>99.99</v>
      </c>
      <c r="AW53" s="42">
        <v>0.28000000000000003</v>
      </c>
      <c r="AX53" s="46">
        <v>2.59</v>
      </c>
      <c r="AZ53" s="44" t="s">
        <v>1295</v>
      </c>
      <c r="BA53" s="42">
        <v>0.53</v>
      </c>
      <c r="BB53" s="42">
        <v>3.56</v>
      </c>
      <c r="BC53" s="42">
        <v>0.39</v>
      </c>
      <c r="BD53" s="42">
        <v>1.61</v>
      </c>
      <c r="BE53" s="42">
        <v>2.59</v>
      </c>
      <c r="BF53" s="42">
        <v>1.89</v>
      </c>
      <c r="BG53" s="42">
        <v>0.62</v>
      </c>
      <c r="BH53" s="46">
        <v>1.17</v>
      </c>
      <c r="BJ53" s="44" t="s">
        <v>1296</v>
      </c>
      <c r="BK53" s="42">
        <v>9.24</v>
      </c>
      <c r="BL53" s="42">
        <v>0.85</v>
      </c>
      <c r="BM53" s="42">
        <v>0.2</v>
      </c>
      <c r="BN53" s="42">
        <v>1.89</v>
      </c>
      <c r="BO53" s="42">
        <v>1.61</v>
      </c>
      <c r="BP53" s="42">
        <v>3.56</v>
      </c>
      <c r="BQ53" s="42">
        <v>0.17</v>
      </c>
      <c r="BR53" s="46">
        <v>0.24</v>
      </c>
      <c r="BT53" s="44" t="s">
        <v>1294</v>
      </c>
      <c r="BU53" s="42">
        <v>0.85</v>
      </c>
      <c r="BV53" s="42">
        <v>0.39</v>
      </c>
      <c r="BW53" s="42">
        <v>0.17</v>
      </c>
      <c r="BX53" s="42">
        <v>9.24</v>
      </c>
      <c r="BY53" s="42">
        <v>1.89</v>
      </c>
      <c r="BZ53" s="42">
        <v>0.73</v>
      </c>
      <c r="CA53" s="42">
        <v>0.24</v>
      </c>
      <c r="CB53" s="46">
        <v>2.21</v>
      </c>
    </row>
    <row r="54" spans="2:80">
      <c r="B54" s="44" t="s">
        <v>1297</v>
      </c>
      <c r="C54" s="42">
        <v>3.03</v>
      </c>
      <c r="D54" s="42">
        <v>4.41</v>
      </c>
      <c r="E54" s="42">
        <v>5.32</v>
      </c>
      <c r="F54" s="42">
        <v>5.63</v>
      </c>
      <c r="G54" s="42">
        <v>4.33</v>
      </c>
      <c r="H54" s="42">
        <v>4.8600000000000003</v>
      </c>
      <c r="I54" s="42">
        <v>1.74</v>
      </c>
      <c r="J54" s="46">
        <v>2.2599999999999998</v>
      </c>
      <c r="L54" s="44" t="s">
        <v>1298</v>
      </c>
      <c r="M54" s="42">
        <v>2.84</v>
      </c>
      <c r="N54" s="42">
        <v>5.24</v>
      </c>
      <c r="O54" s="42">
        <v>5.17</v>
      </c>
      <c r="P54" s="42">
        <v>6.05</v>
      </c>
      <c r="Q54" s="42">
        <v>0</v>
      </c>
      <c r="R54" s="42">
        <v>3.72</v>
      </c>
      <c r="S54" s="42">
        <v>3.11</v>
      </c>
      <c r="T54" s="46">
        <v>1.47</v>
      </c>
      <c r="V54" s="44" t="s">
        <v>1299</v>
      </c>
      <c r="W54" s="42">
        <v>3.94</v>
      </c>
      <c r="X54" s="42">
        <v>4.26</v>
      </c>
      <c r="Y54" s="42">
        <v>4.17</v>
      </c>
      <c r="Z54" s="42">
        <v>4.3099999999999996</v>
      </c>
      <c r="AA54" s="42">
        <v>3.59</v>
      </c>
      <c r="AB54" s="42">
        <v>3.12</v>
      </c>
      <c r="AC54" s="42">
        <v>0.56000000000000005</v>
      </c>
      <c r="AD54" s="46">
        <v>1.26</v>
      </c>
      <c r="AF54" s="44" t="s">
        <v>1300</v>
      </c>
      <c r="AG54" s="42">
        <v>4.16</v>
      </c>
      <c r="AH54" s="42">
        <v>6.12</v>
      </c>
      <c r="AI54" s="42">
        <v>3.76</v>
      </c>
      <c r="AJ54" s="42">
        <v>5.14</v>
      </c>
      <c r="AK54" s="42">
        <v>5.42</v>
      </c>
      <c r="AL54" s="42">
        <v>1.86</v>
      </c>
      <c r="AM54" s="42">
        <v>3.79</v>
      </c>
      <c r="AN54" s="46">
        <v>3.14</v>
      </c>
      <c r="AP54" s="44" t="s">
        <v>1301</v>
      </c>
      <c r="AQ54" s="42">
        <v>2.59</v>
      </c>
      <c r="AR54" s="42">
        <v>1.17</v>
      </c>
      <c r="AS54" s="42">
        <v>2.59</v>
      </c>
      <c r="AT54" s="42">
        <v>17.43</v>
      </c>
      <c r="AU54" s="42">
        <v>1.37</v>
      </c>
      <c r="AV54" s="42">
        <v>1.17</v>
      </c>
      <c r="AW54" s="42">
        <v>1.17</v>
      </c>
      <c r="AX54" s="46">
        <v>0</v>
      </c>
      <c r="AZ54" s="44" t="s">
        <v>1302</v>
      </c>
      <c r="BA54" s="42">
        <v>0.53</v>
      </c>
      <c r="BB54" s="42">
        <v>4.18</v>
      </c>
      <c r="BC54" s="42">
        <v>0.39</v>
      </c>
      <c r="BD54" s="42">
        <v>1.61</v>
      </c>
      <c r="BE54" s="42">
        <v>2.21</v>
      </c>
      <c r="BF54" s="42">
        <v>1.89</v>
      </c>
      <c r="BG54" s="42">
        <v>0.73</v>
      </c>
      <c r="BH54" s="46">
        <v>0</v>
      </c>
      <c r="BJ54" s="44" t="s">
        <v>1303</v>
      </c>
      <c r="BK54" s="42">
        <v>9.24</v>
      </c>
      <c r="BL54" s="42">
        <v>1.37</v>
      </c>
      <c r="BM54" s="42">
        <v>0.2</v>
      </c>
      <c r="BN54" s="42">
        <v>1.89</v>
      </c>
      <c r="BO54" s="42">
        <v>1.37</v>
      </c>
      <c r="BP54" s="42">
        <v>3.56</v>
      </c>
      <c r="BQ54" s="42">
        <v>0.17</v>
      </c>
      <c r="BR54" s="46">
        <v>0.53</v>
      </c>
      <c r="BT54" s="44" t="s">
        <v>1301</v>
      </c>
      <c r="BU54" s="42">
        <v>0.85</v>
      </c>
      <c r="BV54" s="42">
        <v>0.45</v>
      </c>
      <c r="BW54" s="42">
        <v>0.17</v>
      </c>
      <c r="BX54" s="42">
        <v>2.21</v>
      </c>
      <c r="BY54" s="42">
        <v>2.21</v>
      </c>
      <c r="BZ54" s="42">
        <v>0.62</v>
      </c>
      <c r="CA54" s="42">
        <v>0.28000000000000003</v>
      </c>
      <c r="CB54" s="46">
        <v>2.21</v>
      </c>
    </row>
    <row r="55" spans="2:80">
      <c r="B55" s="44" t="s">
        <v>1304</v>
      </c>
      <c r="C55" s="42">
        <v>3</v>
      </c>
      <c r="D55" s="42">
        <v>4.38</v>
      </c>
      <c r="E55" s="42">
        <v>5.28</v>
      </c>
      <c r="F55" s="42">
        <v>5.63</v>
      </c>
      <c r="G55" s="42">
        <v>4.3099999999999996</v>
      </c>
      <c r="H55" s="42">
        <v>4.82</v>
      </c>
      <c r="I55" s="42">
        <v>1.75</v>
      </c>
      <c r="J55" s="46">
        <v>2.27</v>
      </c>
      <c r="L55" s="44" t="s">
        <v>1305</v>
      </c>
      <c r="M55" s="42">
        <v>2.86</v>
      </c>
      <c r="N55" s="42">
        <v>5.46</v>
      </c>
      <c r="O55" s="42">
        <v>0</v>
      </c>
      <c r="P55" s="42">
        <v>2.8</v>
      </c>
      <c r="Q55" s="42">
        <v>0</v>
      </c>
      <c r="R55" s="42">
        <v>3.73</v>
      </c>
      <c r="S55" s="42">
        <v>1.5</v>
      </c>
      <c r="T55" s="46">
        <v>3.15</v>
      </c>
      <c r="V55" s="44" t="s">
        <v>1306</v>
      </c>
      <c r="W55" s="42">
        <v>3.9</v>
      </c>
      <c r="X55" s="42">
        <v>4.26</v>
      </c>
      <c r="Y55" s="42">
        <v>4.16</v>
      </c>
      <c r="Z55" s="42">
        <v>4.29</v>
      </c>
      <c r="AA55" s="42">
        <v>3.61</v>
      </c>
      <c r="AB55" s="42">
        <v>3.13</v>
      </c>
      <c r="AC55" s="42">
        <v>1.6</v>
      </c>
      <c r="AD55" s="46">
        <v>1.29</v>
      </c>
      <c r="AF55" s="44" t="s">
        <v>1307</v>
      </c>
      <c r="AG55" s="42">
        <v>4.1500000000000004</v>
      </c>
      <c r="AH55" s="42">
        <v>6.08</v>
      </c>
      <c r="AI55" s="42">
        <v>3.76</v>
      </c>
      <c r="AJ55" s="42">
        <v>5.22</v>
      </c>
      <c r="AK55" s="42">
        <v>5.05</v>
      </c>
      <c r="AL55" s="42">
        <v>1.89</v>
      </c>
      <c r="AM55" s="42">
        <v>3.74</v>
      </c>
      <c r="AN55" s="46">
        <v>3.02</v>
      </c>
      <c r="AP55" s="44" t="s">
        <v>1308</v>
      </c>
      <c r="AQ55" s="42">
        <v>2.21</v>
      </c>
      <c r="AR55" s="42">
        <v>1.17</v>
      </c>
      <c r="AS55" s="42">
        <v>2.59</v>
      </c>
      <c r="AT55" s="42">
        <v>3.56</v>
      </c>
      <c r="AU55" s="42">
        <v>1.37</v>
      </c>
      <c r="AV55" s="42">
        <v>1.17</v>
      </c>
      <c r="AW55" s="42">
        <v>1.17</v>
      </c>
      <c r="AX55" s="46">
        <v>3.04</v>
      </c>
      <c r="AZ55" s="44" t="s">
        <v>1309</v>
      </c>
      <c r="BA55" s="42">
        <v>0.62</v>
      </c>
      <c r="BB55" s="42">
        <v>4.18</v>
      </c>
      <c r="BC55" s="42">
        <v>0.39</v>
      </c>
      <c r="BD55" s="42">
        <v>1.61</v>
      </c>
      <c r="BE55" s="42">
        <v>2.59</v>
      </c>
      <c r="BF55" s="42">
        <v>1.89</v>
      </c>
      <c r="BG55" s="42">
        <v>0.73</v>
      </c>
      <c r="BH55" s="46">
        <v>0</v>
      </c>
      <c r="BJ55" s="44" t="s">
        <v>1310</v>
      </c>
      <c r="BK55" s="42">
        <v>14.87</v>
      </c>
      <c r="BL55" s="42">
        <v>1.37</v>
      </c>
      <c r="BM55" s="42">
        <v>1.89</v>
      </c>
      <c r="BN55" s="42">
        <v>0</v>
      </c>
      <c r="BO55" s="42">
        <v>1.37</v>
      </c>
      <c r="BP55" s="42">
        <v>2.21</v>
      </c>
      <c r="BQ55" s="42">
        <v>0.24</v>
      </c>
      <c r="BR55" s="46">
        <v>0.53</v>
      </c>
      <c r="BT55" s="44" t="s">
        <v>1308</v>
      </c>
      <c r="BU55" s="42">
        <v>0.85</v>
      </c>
      <c r="BV55" s="42">
        <v>0.45</v>
      </c>
      <c r="BW55" s="42">
        <v>0.33</v>
      </c>
      <c r="BX55" s="42">
        <v>1.17</v>
      </c>
      <c r="BY55" s="42">
        <v>2.21</v>
      </c>
      <c r="BZ55" s="42">
        <v>0.73</v>
      </c>
      <c r="CA55" s="42">
        <v>0.28000000000000003</v>
      </c>
      <c r="CB55" s="46">
        <v>2.21</v>
      </c>
    </row>
    <row r="56" spans="2:80">
      <c r="B56" s="44" t="s">
        <v>1311</v>
      </c>
      <c r="C56" s="42">
        <v>2.99</v>
      </c>
      <c r="D56" s="42">
        <v>4.37</v>
      </c>
      <c r="E56" s="42">
        <v>5.29</v>
      </c>
      <c r="F56" s="42">
        <v>5.62</v>
      </c>
      <c r="G56" s="42">
        <v>0.94</v>
      </c>
      <c r="H56" s="42">
        <v>3.46</v>
      </c>
      <c r="I56" s="42">
        <v>1.73</v>
      </c>
      <c r="J56" s="46">
        <v>2.27</v>
      </c>
      <c r="L56" s="44" t="s">
        <v>1312</v>
      </c>
      <c r="M56" s="42">
        <v>2.84</v>
      </c>
      <c r="N56" s="42">
        <v>5.45</v>
      </c>
      <c r="O56" s="42">
        <v>5.18</v>
      </c>
      <c r="P56" s="42">
        <v>6.09</v>
      </c>
      <c r="Q56" s="42">
        <v>0</v>
      </c>
      <c r="R56" s="42">
        <v>3.72</v>
      </c>
      <c r="S56" s="42">
        <v>3.06</v>
      </c>
      <c r="T56" s="46">
        <v>3.4</v>
      </c>
      <c r="V56" s="44" t="s">
        <v>1313</v>
      </c>
      <c r="W56" s="42">
        <v>3.94</v>
      </c>
      <c r="X56" s="42">
        <v>2.35</v>
      </c>
      <c r="Y56" s="42">
        <v>4.1399999999999997</v>
      </c>
      <c r="Z56" s="42">
        <v>4.3</v>
      </c>
      <c r="AA56" s="42">
        <v>3.62</v>
      </c>
      <c r="AB56" s="42">
        <v>3.12</v>
      </c>
      <c r="AC56" s="42">
        <v>1.61</v>
      </c>
      <c r="AD56" s="46">
        <v>1.25</v>
      </c>
      <c r="AF56" s="44" t="s">
        <v>1314</v>
      </c>
      <c r="AG56" s="42">
        <v>4.16</v>
      </c>
      <c r="AH56" s="42">
        <v>6.09</v>
      </c>
      <c r="AI56" s="42">
        <v>3.76</v>
      </c>
      <c r="AJ56" s="42">
        <v>5.2</v>
      </c>
      <c r="AK56" s="42">
        <v>5.46</v>
      </c>
      <c r="AL56" s="42">
        <v>1.86</v>
      </c>
      <c r="AM56" s="42">
        <v>3.75</v>
      </c>
      <c r="AN56" s="46">
        <v>0</v>
      </c>
      <c r="AP56" s="44" t="s">
        <v>1315</v>
      </c>
      <c r="AQ56" s="42">
        <v>2.21</v>
      </c>
      <c r="AR56" s="42">
        <v>1.17</v>
      </c>
      <c r="AS56" s="42">
        <v>2.59</v>
      </c>
      <c r="AT56" s="42">
        <v>3.56</v>
      </c>
      <c r="AU56" s="42">
        <v>1.37</v>
      </c>
      <c r="AV56" s="42">
        <v>1.17</v>
      </c>
      <c r="AW56" s="42">
        <v>1.37</v>
      </c>
      <c r="AX56" s="46">
        <v>0</v>
      </c>
      <c r="AZ56" s="44" t="s">
        <v>1316</v>
      </c>
      <c r="BA56" s="42">
        <v>0.53</v>
      </c>
      <c r="BB56" s="42">
        <v>0.45</v>
      </c>
      <c r="BC56" s="42">
        <v>0.33</v>
      </c>
      <c r="BD56" s="42">
        <v>1.61</v>
      </c>
      <c r="BE56" s="42">
        <v>2.21</v>
      </c>
      <c r="BF56" s="42">
        <v>1.89</v>
      </c>
      <c r="BG56" s="42">
        <v>0.62</v>
      </c>
      <c r="BH56" s="46">
        <v>1.17</v>
      </c>
      <c r="BJ56" s="44" t="s">
        <v>1317</v>
      </c>
      <c r="BK56" s="42">
        <v>9.24</v>
      </c>
      <c r="BL56" s="42">
        <v>1.37</v>
      </c>
      <c r="BM56" s="42">
        <v>1.61</v>
      </c>
      <c r="BN56" s="42">
        <v>4.18</v>
      </c>
      <c r="BO56" s="42">
        <v>1.61</v>
      </c>
      <c r="BP56" s="42">
        <v>4.18</v>
      </c>
      <c r="BQ56" s="42">
        <v>0.24</v>
      </c>
      <c r="BR56" s="46">
        <v>0.17</v>
      </c>
      <c r="BT56" s="44" t="s">
        <v>1315</v>
      </c>
      <c r="BU56" s="42">
        <v>0</v>
      </c>
      <c r="BV56" s="42">
        <v>0.45</v>
      </c>
      <c r="BW56" s="42">
        <v>0.15</v>
      </c>
      <c r="BX56" s="42">
        <v>1.17</v>
      </c>
      <c r="BY56" s="42">
        <v>1.89</v>
      </c>
      <c r="BZ56" s="42">
        <v>0.73</v>
      </c>
      <c r="CA56" s="42">
        <v>0.24</v>
      </c>
      <c r="CB56" s="46">
        <v>2.21</v>
      </c>
    </row>
    <row r="57" spans="2:80">
      <c r="B57" s="44" t="s">
        <v>1318</v>
      </c>
      <c r="C57" s="42">
        <v>2.98</v>
      </c>
      <c r="D57" s="42">
        <v>4.3600000000000003</v>
      </c>
      <c r="E57" s="42">
        <v>5.31</v>
      </c>
      <c r="F57" s="42">
        <v>5.64</v>
      </c>
      <c r="G57" s="42">
        <v>4.3499999999999996</v>
      </c>
      <c r="H57" s="42">
        <v>4.8499999999999996</v>
      </c>
      <c r="I57" s="42">
        <v>1.78</v>
      </c>
      <c r="J57" s="46">
        <v>2.2799999999999998</v>
      </c>
      <c r="L57" s="44" t="s">
        <v>1319</v>
      </c>
      <c r="M57" s="42">
        <v>2.85</v>
      </c>
      <c r="N57" s="42">
        <v>5.44</v>
      </c>
      <c r="O57" s="42">
        <v>0</v>
      </c>
      <c r="P57" s="42">
        <v>3.99</v>
      </c>
      <c r="Q57" s="42">
        <v>0</v>
      </c>
      <c r="R57" s="42">
        <v>3.73</v>
      </c>
      <c r="S57" s="42">
        <v>3.05</v>
      </c>
      <c r="T57" s="46">
        <v>3.45</v>
      </c>
      <c r="V57" s="44" t="s">
        <v>1320</v>
      </c>
      <c r="W57" s="42">
        <v>3.91</v>
      </c>
      <c r="X57" s="42">
        <v>4.26</v>
      </c>
      <c r="Y57" s="42">
        <v>4.1100000000000003</v>
      </c>
      <c r="Z57" s="42">
        <v>4.32</v>
      </c>
      <c r="AA57" s="42">
        <v>3.61</v>
      </c>
      <c r="AB57" s="42">
        <v>3.11</v>
      </c>
      <c r="AC57" s="42">
        <v>1.61</v>
      </c>
      <c r="AD57" s="46">
        <v>1.25</v>
      </c>
      <c r="AF57" s="44" t="s">
        <v>1321</v>
      </c>
      <c r="AG57" s="42">
        <v>4.1500000000000004</v>
      </c>
      <c r="AH57" s="42">
        <v>6.07</v>
      </c>
      <c r="AI57" s="42">
        <v>3.79</v>
      </c>
      <c r="AJ57" s="42">
        <v>1.17</v>
      </c>
      <c r="AK57" s="42">
        <v>5.47</v>
      </c>
      <c r="AL57" s="42">
        <v>1.86</v>
      </c>
      <c r="AM57" s="42">
        <v>3.76</v>
      </c>
      <c r="AN57" s="46">
        <v>3.19</v>
      </c>
      <c r="AP57" s="44" t="s">
        <v>1322</v>
      </c>
      <c r="AQ57" s="42">
        <v>2.21</v>
      </c>
      <c r="AR57" s="42">
        <v>1.17</v>
      </c>
      <c r="AS57" s="42">
        <v>9.24</v>
      </c>
      <c r="AT57" s="42">
        <v>3.56</v>
      </c>
      <c r="AU57" s="42">
        <v>1.37</v>
      </c>
      <c r="AV57" s="42">
        <v>1.37</v>
      </c>
      <c r="AW57" s="42">
        <v>1.17</v>
      </c>
      <c r="AX57" s="46">
        <v>0</v>
      </c>
      <c r="AZ57" s="44" t="s">
        <v>1323</v>
      </c>
      <c r="BA57" s="42">
        <v>0.62</v>
      </c>
      <c r="BB57" s="42">
        <v>4.18</v>
      </c>
      <c r="BC57" s="42">
        <v>0.39</v>
      </c>
      <c r="BD57" s="42">
        <v>1.61</v>
      </c>
      <c r="BE57" s="42">
        <v>2.21</v>
      </c>
      <c r="BF57" s="42">
        <v>1.89</v>
      </c>
      <c r="BG57" s="42">
        <v>0.73</v>
      </c>
      <c r="BH57" s="46">
        <v>0</v>
      </c>
      <c r="BJ57" s="44" t="s">
        <v>1324</v>
      </c>
      <c r="BK57" s="42">
        <v>14.87</v>
      </c>
      <c r="BL57" s="42">
        <v>0.85</v>
      </c>
      <c r="BM57" s="42">
        <v>1.61</v>
      </c>
      <c r="BN57" s="42">
        <v>1.89</v>
      </c>
      <c r="BO57" s="42">
        <v>1.61</v>
      </c>
      <c r="BP57" s="42">
        <v>2.59</v>
      </c>
      <c r="BQ57" s="42">
        <v>0.24</v>
      </c>
      <c r="BR57" s="46">
        <v>0.53</v>
      </c>
      <c r="BT57" s="44" t="s">
        <v>1322</v>
      </c>
      <c r="BU57" s="42">
        <v>0.85</v>
      </c>
      <c r="BV57" s="42">
        <v>0.39</v>
      </c>
      <c r="BW57" s="42">
        <v>0.15</v>
      </c>
      <c r="BX57" s="42">
        <v>2.21</v>
      </c>
      <c r="BY57" s="42">
        <v>2.21</v>
      </c>
      <c r="BZ57" s="42">
        <v>0.33</v>
      </c>
      <c r="CA57" s="42">
        <v>0.28000000000000003</v>
      </c>
      <c r="CB57" s="46">
        <v>2.21</v>
      </c>
    </row>
    <row r="58" spans="2:80">
      <c r="B58" s="44" t="s">
        <v>1325</v>
      </c>
      <c r="C58" s="42">
        <v>2.95</v>
      </c>
      <c r="D58" s="42">
        <v>4.41</v>
      </c>
      <c r="E58" s="42">
        <v>5.32</v>
      </c>
      <c r="F58" s="42">
        <v>5.62</v>
      </c>
      <c r="G58" s="42">
        <v>4.33</v>
      </c>
      <c r="H58" s="42">
        <v>4.88</v>
      </c>
      <c r="I58" s="42">
        <v>1.75</v>
      </c>
      <c r="J58" s="46">
        <v>2.68</v>
      </c>
      <c r="L58" s="44" t="s">
        <v>1326</v>
      </c>
      <c r="M58" s="42">
        <v>2.84</v>
      </c>
      <c r="N58" s="42">
        <v>5.5</v>
      </c>
      <c r="O58" s="42">
        <v>5.2</v>
      </c>
      <c r="P58" s="42">
        <v>6.04</v>
      </c>
      <c r="Q58" s="42">
        <v>0</v>
      </c>
      <c r="R58" s="42">
        <v>3.72</v>
      </c>
      <c r="S58" s="42">
        <v>3.07</v>
      </c>
      <c r="T58" s="46">
        <v>2.94</v>
      </c>
      <c r="V58" s="44" t="s">
        <v>1327</v>
      </c>
      <c r="W58" s="42">
        <v>3.92</v>
      </c>
      <c r="X58" s="42">
        <v>4.26</v>
      </c>
      <c r="Y58" s="42">
        <v>4.17</v>
      </c>
      <c r="Z58" s="42">
        <v>4.33</v>
      </c>
      <c r="AA58" s="42">
        <v>1.25</v>
      </c>
      <c r="AB58" s="42">
        <v>3.15</v>
      </c>
      <c r="AC58" s="42">
        <v>1.59</v>
      </c>
      <c r="AD58" s="46">
        <v>1.24</v>
      </c>
      <c r="AF58" s="44" t="s">
        <v>1328</v>
      </c>
      <c r="AG58" s="42">
        <v>4.16</v>
      </c>
      <c r="AH58" s="42">
        <v>6.08</v>
      </c>
      <c r="AI58" s="42">
        <v>3.76</v>
      </c>
      <c r="AJ58" s="42">
        <v>5.12</v>
      </c>
      <c r="AK58" s="42">
        <v>5.47</v>
      </c>
      <c r="AL58" s="42">
        <v>1.87</v>
      </c>
      <c r="AM58" s="42">
        <v>3.76</v>
      </c>
      <c r="AN58" s="46">
        <v>3.15</v>
      </c>
      <c r="AP58" s="44" t="s">
        <v>1329</v>
      </c>
      <c r="AQ58" s="42">
        <v>2.21</v>
      </c>
      <c r="AR58" s="42">
        <v>1.17</v>
      </c>
      <c r="AS58" s="42">
        <v>2.59</v>
      </c>
      <c r="AT58" s="42">
        <v>3.56</v>
      </c>
      <c r="AU58" s="42">
        <v>1.37</v>
      </c>
      <c r="AV58" s="42">
        <v>1.17</v>
      </c>
      <c r="AW58" s="42">
        <v>0.53</v>
      </c>
      <c r="AX58" s="46">
        <v>3.56</v>
      </c>
      <c r="AZ58" s="44" t="s">
        <v>1330</v>
      </c>
      <c r="BA58" s="42">
        <v>0.53</v>
      </c>
      <c r="BB58" s="42">
        <v>4.18</v>
      </c>
      <c r="BC58" s="42">
        <v>0.33</v>
      </c>
      <c r="BD58" s="42">
        <v>1.61</v>
      </c>
      <c r="BE58" s="42">
        <v>2.21</v>
      </c>
      <c r="BF58" s="42">
        <v>2.21</v>
      </c>
      <c r="BG58" s="42">
        <v>0.53</v>
      </c>
      <c r="BH58" s="46">
        <v>1.17</v>
      </c>
      <c r="BJ58" s="44" t="s">
        <v>1331</v>
      </c>
      <c r="BK58" s="42">
        <v>14.87</v>
      </c>
      <c r="BL58" s="42">
        <v>0.85</v>
      </c>
      <c r="BM58" s="42">
        <v>0.2</v>
      </c>
      <c r="BN58" s="42">
        <v>3.56</v>
      </c>
      <c r="BO58" s="42">
        <v>1.61</v>
      </c>
      <c r="BP58" s="42">
        <v>2.59</v>
      </c>
      <c r="BQ58" s="42">
        <v>0.24</v>
      </c>
      <c r="BR58" s="46">
        <v>0.2</v>
      </c>
      <c r="BT58" s="44" t="s">
        <v>1329</v>
      </c>
      <c r="BU58" s="42">
        <v>0.85</v>
      </c>
      <c r="BV58" s="42">
        <v>0.45</v>
      </c>
      <c r="BW58" s="42">
        <v>0.15</v>
      </c>
      <c r="BX58" s="42">
        <v>2.21</v>
      </c>
      <c r="BY58" s="42">
        <v>1.89</v>
      </c>
      <c r="BZ58" s="42">
        <v>0.73</v>
      </c>
      <c r="CA58" s="42">
        <v>0.33</v>
      </c>
      <c r="CB58" s="46">
        <v>2.21</v>
      </c>
    </row>
    <row r="59" spans="2:80">
      <c r="B59" s="44" t="s">
        <v>1332</v>
      </c>
      <c r="C59" s="42">
        <v>3.02</v>
      </c>
      <c r="D59" s="42">
        <v>4.3600000000000003</v>
      </c>
      <c r="E59" s="42">
        <v>5.29</v>
      </c>
      <c r="F59" s="42">
        <v>5.64</v>
      </c>
      <c r="G59" s="42">
        <v>4.32</v>
      </c>
      <c r="H59" s="42">
        <v>4.8499999999999996</v>
      </c>
      <c r="I59" s="42">
        <v>1.75</v>
      </c>
      <c r="J59" s="46">
        <v>2.58</v>
      </c>
      <c r="L59" s="44" t="s">
        <v>1333</v>
      </c>
      <c r="M59" s="42">
        <v>2.83</v>
      </c>
      <c r="N59" s="42">
        <v>5.44</v>
      </c>
      <c r="O59" s="42">
        <v>5.14</v>
      </c>
      <c r="P59" s="42">
        <v>6.03</v>
      </c>
      <c r="Q59" s="42">
        <v>0</v>
      </c>
      <c r="R59" s="42">
        <v>3.76</v>
      </c>
      <c r="S59" s="42">
        <v>3.06</v>
      </c>
      <c r="T59" s="46">
        <v>3.43</v>
      </c>
      <c r="V59" s="44" t="s">
        <v>1334</v>
      </c>
      <c r="W59" s="42">
        <v>0.49</v>
      </c>
      <c r="X59" s="42">
        <v>4.2699999999999996</v>
      </c>
      <c r="Y59" s="42">
        <v>4.18</v>
      </c>
      <c r="Z59" s="42">
        <v>4.26</v>
      </c>
      <c r="AA59" s="42">
        <v>3.59</v>
      </c>
      <c r="AB59" s="42">
        <v>3.18</v>
      </c>
      <c r="AC59" s="42">
        <v>1.65</v>
      </c>
      <c r="AD59" s="46">
        <v>1.29</v>
      </c>
      <c r="AF59" s="44" t="s">
        <v>1335</v>
      </c>
      <c r="AG59" s="42">
        <v>4.17</v>
      </c>
      <c r="AH59" s="42">
        <v>6.08</v>
      </c>
      <c r="AI59" s="42">
        <v>3.77</v>
      </c>
      <c r="AJ59" s="42">
        <v>5.15</v>
      </c>
      <c r="AK59" s="42">
        <v>4.8499999999999996</v>
      </c>
      <c r="AL59" s="42">
        <v>1.86</v>
      </c>
      <c r="AM59" s="42">
        <v>3.76</v>
      </c>
      <c r="AN59" s="46">
        <v>0</v>
      </c>
      <c r="AP59" s="44" t="s">
        <v>1336</v>
      </c>
      <c r="AQ59" s="42">
        <v>23.95</v>
      </c>
      <c r="AR59" s="42">
        <v>1.17</v>
      </c>
      <c r="AS59" s="42">
        <v>2.59</v>
      </c>
      <c r="AT59" s="42">
        <v>3.56</v>
      </c>
      <c r="AU59" s="42">
        <v>1.37</v>
      </c>
      <c r="AV59" s="42">
        <v>1.17</v>
      </c>
      <c r="AW59" s="42">
        <v>1.37</v>
      </c>
      <c r="AX59" s="46">
        <v>0</v>
      </c>
      <c r="AZ59" s="44" t="s">
        <v>1337</v>
      </c>
      <c r="BA59" s="42">
        <v>0.45</v>
      </c>
      <c r="BB59" s="42">
        <v>4.18</v>
      </c>
      <c r="BC59" s="42">
        <v>0.39</v>
      </c>
      <c r="BD59" s="42">
        <v>3.56</v>
      </c>
      <c r="BE59" s="42">
        <v>2.59</v>
      </c>
      <c r="BF59" s="42">
        <v>1.61</v>
      </c>
      <c r="BG59" s="42">
        <v>0.73</v>
      </c>
      <c r="BH59" s="46">
        <v>1.37</v>
      </c>
      <c r="BJ59" s="44" t="s">
        <v>1338</v>
      </c>
      <c r="BK59" s="42">
        <v>14.87</v>
      </c>
      <c r="BL59" s="42">
        <v>1.61</v>
      </c>
      <c r="BM59" s="42">
        <v>1.61</v>
      </c>
      <c r="BN59" s="42">
        <v>3.56</v>
      </c>
      <c r="BO59" s="42">
        <v>1.89</v>
      </c>
      <c r="BP59" s="42">
        <v>2.59</v>
      </c>
      <c r="BQ59" s="42">
        <v>0.2</v>
      </c>
      <c r="BR59" s="46">
        <v>0.2</v>
      </c>
      <c r="BT59" s="44" t="s">
        <v>1336</v>
      </c>
      <c r="BU59" s="42">
        <v>0.85</v>
      </c>
      <c r="BV59" s="42">
        <v>0.45</v>
      </c>
      <c r="BW59" s="42">
        <v>0.15</v>
      </c>
      <c r="BX59" s="42">
        <v>2.59</v>
      </c>
      <c r="BY59" s="42">
        <v>2.21</v>
      </c>
      <c r="BZ59" s="42">
        <v>0.85</v>
      </c>
      <c r="CA59" s="42">
        <v>0.28000000000000003</v>
      </c>
      <c r="CB59" s="46">
        <v>2.59</v>
      </c>
    </row>
    <row r="60" spans="2:80">
      <c r="B60" s="44" t="s">
        <v>1339</v>
      </c>
      <c r="C60" s="42">
        <v>3.01</v>
      </c>
      <c r="D60" s="42">
        <v>4.3499999999999996</v>
      </c>
      <c r="E60" s="42">
        <v>5.29</v>
      </c>
      <c r="F60" s="42">
        <v>5.65</v>
      </c>
      <c r="G60" s="42">
        <v>4.32</v>
      </c>
      <c r="H60" s="42">
        <v>4.7699999999999996</v>
      </c>
      <c r="I60" s="42">
        <v>1.78</v>
      </c>
      <c r="J60" s="46">
        <v>2.73</v>
      </c>
      <c r="L60" s="44" t="s">
        <v>1340</v>
      </c>
      <c r="M60" s="42">
        <v>2.85</v>
      </c>
      <c r="N60" s="42">
        <v>5.42</v>
      </c>
      <c r="O60" s="42">
        <v>2.81</v>
      </c>
      <c r="P60" s="42">
        <v>6.13</v>
      </c>
      <c r="Q60" s="42">
        <v>5.14</v>
      </c>
      <c r="R60" s="42">
        <v>1.49</v>
      </c>
      <c r="S60" s="42">
        <v>3.11</v>
      </c>
      <c r="T60" s="46">
        <v>3.45</v>
      </c>
      <c r="V60" s="44" t="s">
        <v>1341</v>
      </c>
      <c r="W60" s="42">
        <v>3.93</v>
      </c>
      <c r="X60" s="42">
        <v>4.29</v>
      </c>
      <c r="Y60" s="42">
        <v>4.17</v>
      </c>
      <c r="Z60" s="42">
        <v>4.28</v>
      </c>
      <c r="AA60" s="42">
        <v>3.23</v>
      </c>
      <c r="AB60" s="42">
        <v>3.08</v>
      </c>
      <c r="AC60" s="42">
        <v>1.63</v>
      </c>
      <c r="AD60" s="46">
        <v>1.25</v>
      </c>
      <c r="AF60" s="44" t="s">
        <v>1342</v>
      </c>
      <c r="AG60" s="42">
        <v>4.1399999999999997</v>
      </c>
      <c r="AH60" s="42">
        <v>0</v>
      </c>
      <c r="AI60" s="42">
        <v>2.02</v>
      </c>
      <c r="AJ60" s="42">
        <v>5.18</v>
      </c>
      <c r="AK60" s="42">
        <v>4.67</v>
      </c>
      <c r="AL60" s="42">
        <v>1.84</v>
      </c>
      <c r="AM60" s="42">
        <v>3.74</v>
      </c>
      <c r="AN60" s="46">
        <v>3.18</v>
      </c>
      <c r="AP60" s="44" t="s">
        <v>1343</v>
      </c>
      <c r="AQ60" s="42">
        <v>2.21</v>
      </c>
      <c r="AR60" s="42">
        <v>0</v>
      </c>
      <c r="AS60" s="42">
        <v>0.85</v>
      </c>
      <c r="AT60" s="42">
        <v>3.04</v>
      </c>
      <c r="AU60" s="42">
        <v>1.37</v>
      </c>
      <c r="AV60" s="42">
        <v>1.17</v>
      </c>
      <c r="AW60" s="42">
        <v>1.17</v>
      </c>
      <c r="AX60" s="46">
        <v>1.17</v>
      </c>
      <c r="AZ60" s="44" t="s">
        <v>1344</v>
      </c>
      <c r="BA60" s="42">
        <v>0.53</v>
      </c>
      <c r="BB60" s="42">
        <v>4.18</v>
      </c>
      <c r="BC60" s="42">
        <v>0.39</v>
      </c>
      <c r="BD60" s="42">
        <v>1.61</v>
      </c>
      <c r="BE60" s="42">
        <v>2.21</v>
      </c>
      <c r="BF60" s="42">
        <v>1.89</v>
      </c>
      <c r="BG60" s="42">
        <v>0.73</v>
      </c>
      <c r="BH60" s="46">
        <v>1.17</v>
      </c>
      <c r="BJ60" s="44" t="s">
        <v>1345</v>
      </c>
      <c r="BK60" s="42">
        <v>17.43</v>
      </c>
      <c r="BL60" s="42">
        <v>1.37</v>
      </c>
      <c r="BM60" s="42">
        <v>1.61</v>
      </c>
      <c r="BN60" s="42">
        <v>3.56</v>
      </c>
      <c r="BO60" s="42">
        <v>1.89</v>
      </c>
      <c r="BP60" s="42">
        <v>1.89</v>
      </c>
      <c r="BQ60" s="42">
        <v>0.24</v>
      </c>
      <c r="BR60" s="46">
        <v>0.53</v>
      </c>
      <c r="BT60" s="44" t="s">
        <v>1343</v>
      </c>
      <c r="BU60" s="42">
        <v>0.85</v>
      </c>
      <c r="BV60" s="42">
        <v>0.45</v>
      </c>
      <c r="BW60" s="42">
        <v>0.15</v>
      </c>
      <c r="BX60" s="42">
        <v>1.17</v>
      </c>
      <c r="BY60" s="42">
        <v>2.21</v>
      </c>
      <c r="BZ60" s="42">
        <v>0.45</v>
      </c>
      <c r="CA60" s="42">
        <v>0.24</v>
      </c>
      <c r="CB60" s="46">
        <v>1.89</v>
      </c>
    </row>
    <row r="61" spans="2:80">
      <c r="B61" s="44" t="s">
        <v>1346</v>
      </c>
      <c r="C61" s="42">
        <v>2.98</v>
      </c>
      <c r="D61" s="42">
        <v>4.38</v>
      </c>
      <c r="E61" s="42">
        <v>4.22</v>
      </c>
      <c r="F61" s="42">
        <v>5.63</v>
      </c>
      <c r="G61" s="42">
        <v>4.34</v>
      </c>
      <c r="H61" s="42">
        <v>4.83</v>
      </c>
      <c r="I61" s="42">
        <v>1.75</v>
      </c>
      <c r="J61" s="46">
        <v>2.23</v>
      </c>
      <c r="L61" s="44" t="s">
        <v>1347</v>
      </c>
      <c r="M61" s="42">
        <v>2.83</v>
      </c>
      <c r="N61" s="42">
        <v>4.3</v>
      </c>
      <c r="O61" s="42">
        <v>5.21</v>
      </c>
      <c r="P61" s="42">
        <v>6.07</v>
      </c>
      <c r="Q61" s="42">
        <v>0</v>
      </c>
      <c r="R61" s="42">
        <v>3.7</v>
      </c>
      <c r="S61" s="42">
        <v>3.09</v>
      </c>
      <c r="T61" s="46">
        <v>1.04</v>
      </c>
      <c r="V61" s="44" t="s">
        <v>1348</v>
      </c>
      <c r="W61" s="42">
        <v>3.91</v>
      </c>
      <c r="X61" s="42">
        <v>4.2699999999999996</v>
      </c>
      <c r="Y61" s="42">
        <v>4.13</v>
      </c>
      <c r="Z61" s="42">
        <v>4.3600000000000003</v>
      </c>
      <c r="AA61" s="42">
        <v>3.57</v>
      </c>
      <c r="AB61" s="42">
        <v>3.14</v>
      </c>
      <c r="AC61" s="42">
        <v>1.66</v>
      </c>
      <c r="AD61" s="46">
        <v>1.23</v>
      </c>
      <c r="AF61" s="44" t="s">
        <v>1349</v>
      </c>
      <c r="AG61" s="42">
        <v>4.1399999999999997</v>
      </c>
      <c r="AH61" s="42">
        <v>6.09</v>
      </c>
      <c r="AI61" s="42">
        <v>3.78</v>
      </c>
      <c r="AJ61" s="42">
        <v>5.19</v>
      </c>
      <c r="AK61" s="42">
        <v>5.45</v>
      </c>
      <c r="AL61" s="42">
        <v>1.85</v>
      </c>
      <c r="AM61" s="42">
        <v>3.76</v>
      </c>
      <c r="AN61" s="46">
        <v>3.07</v>
      </c>
      <c r="AP61" s="44" t="s">
        <v>1350</v>
      </c>
      <c r="AQ61" s="42">
        <v>0.85</v>
      </c>
      <c r="AR61" s="42">
        <v>3.56</v>
      </c>
      <c r="AS61" s="42">
        <v>9.24</v>
      </c>
      <c r="AT61" s="42">
        <v>3.04</v>
      </c>
      <c r="AU61" s="42">
        <v>1.61</v>
      </c>
      <c r="AV61" s="42">
        <v>62.1</v>
      </c>
      <c r="AW61" s="42">
        <v>0.28000000000000003</v>
      </c>
      <c r="AX61" s="46">
        <v>6.72</v>
      </c>
      <c r="AZ61" s="44" t="s">
        <v>1351</v>
      </c>
      <c r="BA61" s="42">
        <v>0.53</v>
      </c>
      <c r="BB61" s="42">
        <v>3.56</v>
      </c>
      <c r="BC61" s="42">
        <v>0.39</v>
      </c>
      <c r="BD61" s="42">
        <v>1.61</v>
      </c>
      <c r="BE61" s="42">
        <v>2.21</v>
      </c>
      <c r="BF61" s="42">
        <v>1.89</v>
      </c>
      <c r="BG61" s="42">
        <v>0.73</v>
      </c>
      <c r="BH61" s="46">
        <v>1.17</v>
      </c>
      <c r="BJ61" s="44" t="s">
        <v>1352</v>
      </c>
      <c r="BK61" s="42">
        <v>10.83</v>
      </c>
      <c r="BL61" s="42">
        <v>1.37</v>
      </c>
      <c r="BM61" s="42">
        <v>1.61</v>
      </c>
      <c r="BN61" s="42">
        <v>3.56</v>
      </c>
      <c r="BO61" s="42">
        <v>1.61</v>
      </c>
      <c r="BP61" s="42">
        <v>2.59</v>
      </c>
      <c r="BQ61" s="42">
        <v>0.24</v>
      </c>
      <c r="BR61" s="46">
        <v>0.85</v>
      </c>
      <c r="BT61" s="44" t="s">
        <v>1350</v>
      </c>
      <c r="BU61" s="42">
        <v>0.85</v>
      </c>
      <c r="BV61" s="42">
        <v>0.39</v>
      </c>
      <c r="BW61" s="42">
        <v>0.15</v>
      </c>
      <c r="BX61" s="42">
        <v>1.17</v>
      </c>
      <c r="BY61" s="42">
        <v>1.61</v>
      </c>
      <c r="BZ61" s="42">
        <v>0.73</v>
      </c>
      <c r="CA61" s="42">
        <v>0.39</v>
      </c>
      <c r="CB61" s="46">
        <v>3.04</v>
      </c>
    </row>
    <row r="62" spans="2:80" ht="15.75" thickBot="1">
      <c r="B62" s="44" t="s">
        <v>1353</v>
      </c>
      <c r="C62" s="42">
        <v>3.01</v>
      </c>
      <c r="D62" s="42">
        <v>4.3899999999999997</v>
      </c>
      <c r="E62" s="42">
        <v>5.31</v>
      </c>
      <c r="F62" s="42">
        <v>5.66</v>
      </c>
      <c r="G62" s="42">
        <v>4.3</v>
      </c>
      <c r="H62" s="42">
        <v>4.87</v>
      </c>
      <c r="I62" s="42">
        <v>1.72</v>
      </c>
      <c r="J62" s="46">
        <v>2.2000000000000002</v>
      </c>
      <c r="L62" s="44" t="s">
        <v>1354</v>
      </c>
      <c r="M62" s="42">
        <v>2.82</v>
      </c>
      <c r="N62" s="42">
        <v>5.43</v>
      </c>
      <c r="O62" s="42">
        <v>5.18</v>
      </c>
      <c r="P62" s="42">
        <v>6.06</v>
      </c>
      <c r="Q62" s="42">
        <v>0</v>
      </c>
      <c r="R62" s="42">
        <v>3.75</v>
      </c>
      <c r="S62" s="42">
        <v>3.06</v>
      </c>
      <c r="T62" s="46">
        <v>3.48</v>
      </c>
      <c r="V62" s="44" t="s">
        <v>1355</v>
      </c>
      <c r="W62" s="42">
        <v>3.9</v>
      </c>
      <c r="X62" s="42">
        <v>4.2699999999999996</v>
      </c>
      <c r="Y62" s="42">
        <v>4.1500000000000004</v>
      </c>
      <c r="Z62" s="42">
        <v>4.2699999999999996</v>
      </c>
      <c r="AA62" s="42">
        <v>3.62</v>
      </c>
      <c r="AB62" s="42">
        <v>0.22</v>
      </c>
      <c r="AC62" s="42">
        <v>1.59</v>
      </c>
      <c r="AD62" s="46">
        <v>1.29</v>
      </c>
      <c r="AF62" s="44" t="s">
        <v>1356</v>
      </c>
      <c r="AG62" s="42">
        <v>4.1399999999999997</v>
      </c>
      <c r="AH62" s="42">
        <v>6.12</v>
      </c>
      <c r="AI62" s="42">
        <v>3.77</v>
      </c>
      <c r="AJ62" s="42">
        <v>5.14</v>
      </c>
      <c r="AK62" s="42">
        <v>5.47</v>
      </c>
      <c r="AL62" s="42">
        <v>1.87</v>
      </c>
      <c r="AM62" s="42">
        <v>3.79</v>
      </c>
      <c r="AN62" s="46">
        <v>0</v>
      </c>
      <c r="AP62" s="44" t="s">
        <v>1357</v>
      </c>
      <c r="AQ62" s="42">
        <v>2.21</v>
      </c>
      <c r="AR62" s="42">
        <v>1.17</v>
      </c>
      <c r="AS62" s="42">
        <v>2.59</v>
      </c>
      <c r="AT62" s="42">
        <v>2.59</v>
      </c>
      <c r="AU62" s="42">
        <v>1.37</v>
      </c>
      <c r="AV62" s="42">
        <v>1.17</v>
      </c>
      <c r="AW62" s="42">
        <v>1.17</v>
      </c>
      <c r="AX62" s="46">
        <v>3.04</v>
      </c>
      <c r="AZ62" s="44" t="s">
        <v>1358</v>
      </c>
      <c r="BA62" s="42">
        <v>0.53</v>
      </c>
      <c r="BB62" s="42">
        <v>0.39</v>
      </c>
      <c r="BC62" s="42">
        <v>0.15</v>
      </c>
      <c r="BD62" s="42">
        <v>1.61</v>
      </c>
      <c r="BE62" s="42">
        <v>2.21</v>
      </c>
      <c r="BF62" s="42">
        <v>1.89</v>
      </c>
      <c r="BG62" s="42">
        <v>0.73</v>
      </c>
      <c r="BH62" s="46">
        <v>1.37</v>
      </c>
      <c r="BJ62" s="44" t="s">
        <v>1359</v>
      </c>
      <c r="BK62" s="42">
        <v>12.69</v>
      </c>
      <c r="BL62" s="42">
        <v>1.37</v>
      </c>
      <c r="BM62" s="42">
        <v>1.89</v>
      </c>
      <c r="BN62" s="42">
        <v>3.56</v>
      </c>
      <c r="BO62" s="42">
        <v>1.89</v>
      </c>
      <c r="BP62" s="42">
        <v>3.04</v>
      </c>
      <c r="BQ62" s="42">
        <v>0.24</v>
      </c>
      <c r="BR62" s="46">
        <v>0.53</v>
      </c>
      <c r="BT62" s="44" t="s">
        <v>1357</v>
      </c>
      <c r="BU62" s="42">
        <v>0</v>
      </c>
      <c r="BV62" s="42">
        <v>1.17</v>
      </c>
      <c r="BW62" s="42">
        <v>0.15</v>
      </c>
      <c r="BX62" s="42">
        <v>2.21</v>
      </c>
      <c r="BY62" s="42">
        <v>0.85</v>
      </c>
      <c r="BZ62" s="42">
        <v>0.33</v>
      </c>
      <c r="CA62" s="42">
        <v>0.33</v>
      </c>
      <c r="CB62" s="46">
        <v>2.59</v>
      </c>
    </row>
    <row r="63" spans="2:80">
      <c r="B63" s="44" t="s">
        <v>1360</v>
      </c>
      <c r="C63" s="42">
        <v>2.97</v>
      </c>
      <c r="D63" s="42">
        <v>4.3899999999999997</v>
      </c>
      <c r="E63" s="42">
        <v>5.3</v>
      </c>
      <c r="F63" s="42">
        <v>5.63</v>
      </c>
      <c r="G63" s="42">
        <v>4.32</v>
      </c>
      <c r="H63" s="42">
        <v>4.8099999999999996</v>
      </c>
      <c r="I63" s="42">
        <v>1.77</v>
      </c>
      <c r="J63" s="46">
        <v>2.2000000000000002</v>
      </c>
      <c r="L63" s="44" t="s">
        <v>1361</v>
      </c>
      <c r="M63" s="42">
        <v>2.86</v>
      </c>
      <c r="N63" s="42">
        <v>2.9</v>
      </c>
      <c r="O63" s="42">
        <v>5.23</v>
      </c>
      <c r="P63" s="42">
        <v>6.02</v>
      </c>
      <c r="Q63" s="42">
        <v>5.12</v>
      </c>
      <c r="R63" s="42">
        <v>3.71</v>
      </c>
      <c r="S63" s="42">
        <v>3.06</v>
      </c>
      <c r="T63" s="46">
        <v>3.42</v>
      </c>
      <c r="V63" s="44" t="s">
        <v>1362</v>
      </c>
      <c r="W63" s="42">
        <v>3.94</v>
      </c>
      <c r="X63" s="42">
        <v>4.28</v>
      </c>
      <c r="Y63" s="42">
        <v>4.16</v>
      </c>
      <c r="Z63" s="42">
        <v>4.33</v>
      </c>
      <c r="AA63" s="42">
        <v>0.65</v>
      </c>
      <c r="AB63" s="42">
        <v>3.12</v>
      </c>
      <c r="AC63" s="42">
        <v>1.61</v>
      </c>
      <c r="AD63" s="46">
        <v>1.24</v>
      </c>
      <c r="AF63" s="44" t="s">
        <v>1363</v>
      </c>
      <c r="AG63" s="42">
        <v>4.1500000000000004</v>
      </c>
      <c r="AH63" s="42">
        <v>6.13</v>
      </c>
      <c r="AI63" s="42">
        <v>3.8</v>
      </c>
      <c r="AJ63" s="42">
        <v>5.18</v>
      </c>
      <c r="AK63" s="42">
        <v>4.78</v>
      </c>
      <c r="AL63" s="42">
        <v>1.83</v>
      </c>
      <c r="AM63" s="42">
        <v>3.81</v>
      </c>
      <c r="AN63" s="46">
        <v>3.17</v>
      </c>
      <c r="AP63" s="62" t="s">
        <v>936</v>
      </c>
      <c r="AQ63" s="57">
        <v>3.67584905660377</v>
      </c>
      <c r="AR63" s="57">
        <v>1.2244736842105199</v>
      </c>
      <c r="AS63" s="57">
        <v>3.09980769230769</v>
      </c>
      <c r="AT63" s="57">
        <v>3.93355932203389</v>
      </c>
      <c r="AU63" s="57">
        <v>1.59379310344827</v>
      </c>
      <c r="AV63" s="57">
        <v>8.0749999999999993</v>
      </c>
      <c r="AW63" s="57">
        <v>1.05614035087719</v>
      </c>
      <c r="AX63" s="58">
        <v>3.4342857142857102</v>
      </c>
      <c r="AZ63" s="62" t="s">
        <v>936</v>
      </c>
      <c r="BA63" s="57">
        <v>0.55155172413793097</v>
      </c>
      <c r="BB63" s="57">
        <v>3.2267796610169501</v>
      </c>
      <c r="BC63" s="57">
        <v>0.40593220338982999</v>
      </c>
      <c r="BD63" s="57">
        <v>1.86389830508474</v>
      </c>
      <c r="BE63" s="57">
        <v>5.1486440677966003</v>
      </c>
      <c r="BF63" s="57">
        <v>2.2493220338983</v>
      </c>
      <c r="BG63" s="57">
        <v>0.67711864406779598</v>
      </c>
      <c r="BH63" s="58">
        <v>1.38</v>
      </c>
      <c r="BJ63" s="62" t="s">
        <v>936</v>
      </c>
      <c r="BK63" s="57">
        <v>12.484915254237199</v>
      </c>
      <c r="BL63" s="57">
        <v>1.37785714285714</v>
      </c>
      <c r="BM63" s="57">
        <v>1.6754237288135501</v>
      </c>
      <c r="BN63" s="57">
        <v>3.1871428571428502</v>
      </c>
      <c r="BO63" s="57">
        <v>1.6886440677966099</v>
      </c>
      <c r="BP63" s="57">
        <v>2.6499999999999901</v>
      </c>
      <c r="BQ63" s="57">
        <v>0.22050847457627101</v>
      </c>
      <c r="BR63" s="58">
        <v>0.331864406779661</v>
      </c>
      <c r="BT63" s="62" t="s">
        <v>936</v>
      </c>
      <c r="BU63" s="57">
        <v>0.82153846153846199</v>
      </c>
      <c r="BV63" s="57">
        <v>1.1481355932203301</v>
      </c>
      <c r="BW63" s="57">
        <v>0.14932203389830501</v>
      </c>
      <c r="BX63" s="57">
        <v>2.1711999999999998</v>
      </c>
      <c r="BY63" s="57">
        <v>1.82481481481481</v>
      </c>
      <c r="BZ63" s="57">
        <v>0.61508474576271099</v>
      </c>
      <c r="CA63" s="57">
        <v>0.30949152542372799</v>
      </c>
      <c r="CB63" s="58">
        <v>2.4864406779661001</v>
      </c>
    </row>
    <row r="64" spans="2:80">
      <c r="B64" s="44" t="s">
        <v>1364</v>
      </c>
      <c r="C64" s="42">
        <v>3</v>
      </c>
      <c r="D64" s="42">
        <v>4.3899999999999997</v>
      </c>
      <c r="E64" s="42">
        <v>5.3</v>
      </c>
      <c r="F64" s="42">
        <v>4.63</v>
      </c>
      <c r="G64" s="42">
        <v>4.33</v>
      </c>
      <c r="H64" s="42">
        <v>4.82</v>
      </c>
      <c r="I64" s="42">
        <v>1.71</v>
      </c>
      <c r="J64" s="46">
        <v>2.2200000000000002</v>
      </c>
      <c r="L64" s="44" t="s">
        <v>1365</v>
      </c>
      <c r="M64" s="42">
        <v>2.84</v>
      </c>
      <c r="N64" s="42">
        <v>5.45</v>
      </c>
      <c r="O64" s="42">
        <v>5.18</v>
      </c>
      <c r="P64" s="42">
        <v>6.02</v>
      </c>
      <c r="Q64" s="42">
        <v>0</v>
      </c>
      <c r="R64" s="42">
        <v>3.73</v>
      </c>
      <c r="S64" s="42">
        <v>3.08</v>
      </c>
      <c r="T64" s="46">
        <v>3.04</v>
      </c>
      <c r="V64" s="44" t="s">
        <v>1366</v>
      </c>
      <c r="W64" s="42">
        <v>3.9</v>
      </c>
      <c r="X64" s="42">
        <v>1.44</v>
      </c>
      <c r="Y64" s="42">
        <v>4.1500000000000004</v>
      </c>
      <c r="Z64" s="42">
        <v>4.34</v>
      </c>
      <c r="AA64" s="42">
        <v>3.56</v>
      </c>
      <c r="AB64" s="42">
        <v>3.14</v>
      </c>
      <c r="AC64" s="42">
        <v>1.65</v>
      </c>
      <c r="AD64" s="46">
        <v>1.27</v>
      </c>
      <c r="AF64" s="44" t="s">
        <v>1367</v>
      </c>
      <c r="AG64" s="42">
        <v>0.72</v>
      </c>
      <c r="AH64" s="42">
        <v>6.07</v>
      </c>
      <c r="AI64" s="42">
        <v>3.79</v>
      </c>
      <c r="AJ64" s="42">
        <v>5.19</v>
      </c>
      <c r="AK64" s="42">
        <v>5.44</v>
      </c>
      <c r="AL64" s="42">
        <v>1.82</v>
      </c>
      <c r="AM64" s="42">
        <v>3.75</v>
      </c>
      <c r="AN64" s="46">
        <v>3.09</v>
      </c>
      <c r="AP64" s="47" t="s">
        <v>515</v>
      </c>
      <c r="AQ64" s="42">
        <v>4.7397704880197402</v>
      </c>
      <c r="AR64" s="42">
        <v>0.387357426188357</v>
      </c>
      <c r="AS64" s="42">
        <v>2.0440245843627398</v>
      </c>
      <c r="AT64" s="42">
        <v>2.7660727607326798</v>
      </c>
      <c r="AU64" s="42">
        <v>0.97513363820874799</v>
      </c>
      <c r="AV64" s="42">
        <v>20.958794418132399</v>
      </c>
      <c r="AW64" s="42">
        <v>0.37503101338874001</v>
      </c>
      <c r="AX64" s="46">
        <v>1.72203526159509</v>
      </c>
      <c r="AZ64" s="47" t="s">
        <v>515</v>
      </c>
      <c r="BA64" s="42">
        <v>9.5841135149175402E-2</v>
      </c>
      <c r="BB64" s="42">
        <v>1.7154625216877</v>
      </c>
      <c r="BC64" s="42">
        <v>0.59528975609252999</v>
      </c>
      <c r="BD64" s="42">
        <v>0.66507809392136497</v>
      </c>
      <c r="BE64" s="42">
        <v>6.26248866371371</v>
      </c>
      <c r="BF64" s="42">
        <v>1.5230854772042299</v>
      </c>
      <c r="BG64" s="42">
        <v>6.4283557416291506E-2</v>
      </c>
      <c r="BH64" s="46">
        <v>0.74407785335396903</v>
      </c>
      <c r="BJ64" s="47" t="s">
        <v>515</v>
      </c>
      <c r="BK64" s="42">
        <v>2.5791953632153701</v>
      </c>
      <c r="BL64" s="42">
        <v>0.224298225310747</v>
      </c>
      <c r="BM64" s="42">
        <v>1.6750788719441101</v>
      </c>
      <c r="BN64" s="42">
        <v>0.70117175979548196</v>
      </c>
      <c r="BO64" s="42">
        <v>0.22361784613236199</v>
      </c>
      <c r="BP64" s="42">
        <v>0.71844700688005803</v>
      </c>
      <c r="BQ64" s="42">
        <v>2.7826565091504302E-2</v>
      </c>
      <c r="BR64" s="46">
        <v>0.18387979286655701</v>
      </c>
      <c r="BT64" s="47" t="s">
        <v>515</v>
      </c>
      <c r="BU64" s="42">
        <v>7.2890450344879107E-2</v>
      </c>
      <c r="BV64" s="42">
        <v>1.9353005062292199</v>
      </c>
      <c r="BW64" s="42">
        <v>2.70507624993356E-2</v>
      </c>
      <c r="BX64" s="42">
        <v>2.1506033014017198</v>
      </c>
      <c r="BY64" s="42">
        <v>0.46566853869320901</v>
      </c>
      <c r="BZ64" s="42">
        <v>0.172492916890745</v>
      </c>
      <c r="CA64" s="42">
        <v>5.7206842331468402E-2</v>
      </c>
      <c r="CB64" s="46">
        <v>0.63021589712523896</v>
      </c>
    </row>
    <row r="65" spans="2:80">
      <c r="B65" s="44" t="s">
        <v>1368</v>
      </c>
      <c r="C65" s="42">
        <v>3</v>
      </c>
      <c r="D65" s="42">
        <v>1.3</v>
      </c>
      <c r="E65" s="42">
        <v>5.3</v>
      </c>
      <c r="F65" s="42">
        <v>5.63</v>
      </c>
      <c r="G65" s="42">
        <v>2.62</v>
      </c>
      <c r="H65" s="42">
        <v>4.84</v>
      </c>
      <c r="I65" s="42">
        <v>1.69</v>
      </c>
      <c r="J65" s="46">
        <v>2.5299999999999998</v>
      </c>
      <c r="L65" s="44" t="s">
        <v>1369</v>
      </c>
      <c r="M65" s="42">
        <v>2.85</v>
      </c>
      <c r="N65" s="42">
        <v>5.47</v>
      </c>
      <c r="O65" s="42">
        <v>5.17</v>
      </c>
      <c r="P65" s="42">
        <v>4.21</v>
      </c>
      <c r="Q65" s="42">
        <v>5.15</v>
      </c>
      <c r="R65" s="42">
        <v>3.74</v>
      </c>
      <c r="S65" s="42">
        <v>3.03</v>
      </c>
      <c r="T65" s="46">
        <v>0</v>
      </c>
      <c r="V65" s="44" t="s">
        <v>1370</v>
      </c>
      <c r="W65" s="42">
        <v>3.91</v>
      </c>
      <c r="X65" s="42">
        <v>4.2699999999999996</v>
      </c>
      <c r="Y65" s="42">
        <v>4.08</v>
      </c>
      <c r="Z65" s="42">
        <v>4.3099999999999996</v>
      </c>
      <c r="AA65" s="42">
        <v>3.58</v>
      </c>
      <c r="AB65" s="42">
        <v>3.13</v>
      </c>
      <c r="AC65" s="42">
        <v>1.64</v>
      </c>
      <c r="AD65" s="46">
        <v>1.23</v>
      </c>
      <c r="AF65" s="44" t="s">
        <v>1371</v>
      </c>
      <c r="AG65" s="42">
        <v>4.1500000000000004</v>
      </c>
      <c r="AH65" s="42">
        <v>2.08</v>
      </c>
      <c r="AI65" s="42">
        <v>3.74</v>
      </c>
      <c r="AJ65" s="42">
        <v>5.24</v>
      </c>
      <c r="AK65" s="42">
        <v>5.45</v>
      </c>
      <c r="AL65" s="42">
        <v>1.84</v>
      </c>
      <c r="AM65" s="42">
        <v>3.73</v>
      </c>
      <c r="AN65" s="46">
        <v>3.16</v>
      </c>
      <c r="AP65" s="47" t="s">
        <v>520</v>
      </c>
      <c r="AQ65" s="42">
        <v>8.4156195446235103</v>
      </c>
      <c r="AR65" s="42">
        <v>1.6118311103988801</v>
      </c>
      <c r="AS65" s="42">
        <v>5.1438322766704303</v>
      </c>
      <c r="AT65" s="42">
        <v>6.6996320827665796</v>
      </c>
      <c r="AU65" s="42">
        <v>2.5689267416570201</v>
      </c>
      <c r="AV65" s="42">
        <v>29.033794418132398</v>
      </c>
      <c r="AW65" s="42">
        <v>1.4311713642659301</v>
      </c>
      <c r="AX65" s="46">
        <v>5.1563209758808002</v>
      </c>
      <c r="AZ65" s="47" t="s">
        <v>520</v>
      </c>
      <c r="BA65" s="42">
        <v>0.64739285928710599</v>
      </c>
      <c r="BB65" s="42">
        <v>4.9422421827046499</v>
      </c>
      <c r="BC65" s="42">
        <v>1.0012219594823599</v>
      </c>
      <c r="BD65" s="42">
        <v>2.52897639900611</v>
      </c>
      <c r="BE65" s="42">
        <v>11.4111327315103</v>
      </c>
      <c r="BF65" s="42">
        <v>3.7724075111025299</v>
      </c>
      <c r="BG65" s="42">
        <v>0.74140220148408698</v>
      </c>
      <c r="BH65" s="46">
        <v>2.1240778533539699</v>
      </c>
      <c r="BJ65" s="47" t="s">
        <v>520</v>
      </c>
      <c r="BK65" s="42">
        <v>15.0641106174526</v>
      </c>
      <c r="BL65" s="42">
        <v>1.6021553681678899</v>
      </c>
      <c r="BM65" s="42">
        <v>3.3505026007576602</v>
      </c>
      <c r="BN65" s="42">
        <v>3.88831461693833</v>
      </c>
      <c r="BO65" s="42">
        <v>1.91226191392897</v>
      </c>
      <c r="BP65" s="42">
        <v>3.3684470068800501</v>
      </c>
      <c r="BQ65" s="42">
        <v>0.24833503966777501</v>
      </c>
      <c r="BR65" s="46">
        <v>0.51574419964621798</v>
      </c>
      <c r="BT65" s="47" t="s">
        <v>520</v>
      </c>
      <c r="BU65" s="42">
        <v>0.89442891188334095</v>
      </c>
      <c r="BV65" s="42">
        <v>3.08343609944956</v>
      </c>
      <c r="BW65" s="42">
        <v>0.17637279639764</v>
      </c>
      <c r="BX65" s="42">
        <v>4.3218033014017196</v>
      </c>
      <c r="BY65" s="42">
        <v>2.2904833535080198</v>
      </c>
      <c r="BZ65" s="42">
        <v>0.78757766265345697</v>
      </c>
      <c r="CA65" s="42">
        <v>0.36669836775519699</v>
      </c>
      <c r="CB65" s="46">
        <v>3.1166565750913402</v>
      </c>
    </row>
    <row r="66" spans="2:80">
      <c r="B66" s="44" t="s">
        <v>1372</v>
      </c>
      <c r="C66" s="42">
        <v>3.03</v>
      </c>
      <c r="D66" s="42">
        <v>4.3899999999999997</v>
      </c>
      <c r="E66" s="42">
        <v>5.33</v>
      </c>
      <c r="F66" s="42">
        <v>5.63</v>
      </c>
      <c r="G66" s="42">
        <v>4.3099999999999996</v>
      </c>
      <c r="H66" s="42">
        <v>4.79</v>
      </c>
      <c r="I66" s="42">
        <v>1.79</v>
      </c>
      <c r="J66" s="46">
        <v>2.29</v>
      </c>
      <c r="L66" s="44" t="s">
        <v>1373</v>
      </c>
      <c r="M66" s="42">
        <v>2.85</v>
      </c>
      <c r="N66" s="42">
        <v>5.48</v>
      </c>
      <c r="O66" s="42">
        <v>5.18</v>
      </c>
      <c r="P66" s="42">
        <v>1.56</v>
      </c>
      <c r="Q66" s="42">
        <v>0</v>
      </c>
      <c r="R66" s="42">
        <v>3.72</v>
      </c>
      <c r="S66" s="42">
        <v>0.13</v>
      </c>
      <c r="T66" s="46">
        <v>3.45</v>
      </c>
      <c r="V66" s="44" t="s">
        <v>1374</v>
      </c>
      <c r="W66" s="42">
        <v>3.94</v>
      </c>
      <c r="X66" s="42">
        <v>2.39</v>
      </c>
      <c r="Y66" s="42">
        <v>4.13</v>
      </c>
      <c r="Z66" s="42">
        <v>4.3</v>
      </c>
      <c r="AA66" s="42">
        <v>3.68</v>
      </c>
      <c r="AB66" s="42">
        <v>3.08</v>
      </c>
      <c r="AC66" s="42">
        <v>0.04</v>
      </c>
      <c r="AD66" s="46">
        <v>1.23</v>
      </c>
      <c r="AF66" s="44" t="s">
        <v>1375</v>
      </c>
      <c r="AG66" s="42">
        <v>4.16</v>
      </c>
      <c r="AH66" s="42">
        <v>6.13</v>
      </c>
      <c r="AI66" s="42">
        <v>3.76</v>
      </c>
      <c r="AJ66" s="42">
        <v>5.2</v>
      </c>
      <c r="AK66" s="42">
        <v>5.45</v>
      </c>
      <c r="AL66" s="42">
        <v>1.85</v>
      </c>
      <c r="AM66" s="42">
        <v>3.71</v>
      </c>
      <c r="AN66" s="46">
        <v>3.21</v>
      </c>
      <c r="AP66" s="47" t="s">
        <v>525</v>
      </c>
      <c r="AQ66" s="42">
        <v>-1.06392143141596</v>
      </c>
      <c r="AR66" s="42">
        <v>0.83711625802216905</v>
      </c>
      <c r="AS66" s="42">
        <v>1.05578310794494</v>
      </c>
      <c r="AT66" s="42">
        <v>1.16748656130121</v>
      </c>
      <c r="AU66" s="42">
        <v>0.61865946523952797</v>
      </c>
      <c r="AV66" s="42">
        <v>-12.8837944181324</v>
      </c>
      <c r="AW66" s="42">
        <v>0.68110933748845204</v>
      </c>
      <c r="AX66" s="46">
        <v>1.7122504526906199</v>
      </c>
      <c r="AZ66" s="47" t="s">
        <v>525</v>
      </c>
      <c r="BA66" s="42">
        <v>0.45571058898875499</v>
      </c>
      <c r="BB66" s="42">
        <v>1.5113171393292399</v>
      </c>
      <c r="BC66" s="42">
        <v>-0.18935755270269899</v>
      </c>
      <c r="BD66" s="42">
        <v>1.1988202111633799</v>
      </c>
      <c r="BE66" s="42">
        <v>-1.1138445959170999</v>
      </c>
      <c r="BF66" s="42">
        <v>0.72623655669407405</v>
      </c>
      <c r="BG66" s="42">
        <v>0.61283508665150399</v>
      </c>
      <c r="BH66" s="46">
        <v>0.63592214664603097</v>
      </c>
      <c r="BJ66" s="47" t="s">
        <v>525</v>
      </c>
      <c r="BK66" s="42">
        <v>9.90571989102191</v>
      </c>
      <c r="BL66" s="42">
        <v>1.1535589175463901</v>
      </c>
      <c r="BM66" s="42">
        <v>3.4485686944929402E-4</v>
      </c>
      <c r="BN66" s="42">
        <v>2.4859710973473699</v>
      </c>
      <c r="BO66" s="42">
        <v>1.46502622166424</v>
      </c>
      <c r="BP66" s="42">
        <v>1.93155299311994</v>
      </c>
      <c r="BQ66" s="42">
        <v>0.19268190948476599</v>
      </c>
      <c r="BR66" s="46">
        <v>0.147984613913103</v>
      </c>
      <c r="BT66" s="47" t="s">
        <v>525</v>
      </c>
      <c r="BU66" s="42">
        <v>0.74864801119358304</v>
      </c>
      <c r="BV66" s="42">
        <v>-0.78716491300888303</v>
      </c>
      <c r="BW66" s="42">
        <v>0.122271271398969</v>
      </c>
      <c r="BX66" s="42">
        <v>2.0596698598275499E-2</v>
      </c>
      <c r="BY66" s="42">
        <v>1.3591462761216</v>
      </c>
      <c r="BZ66" s="42">
        <v>0.44259182887196602</v>
      </c>
      <c r="CA66" s="42">
        <v>0.25228468309225999</v>
      </c>
      <c r="CB66" s="46">
        <v>1.8562247808408601</v>
      </c>
    </row>
    <row r="67" spans="2:80" ht="15.75" thickBot="1">
      <c r="B67" s="44" t="s">
        <v>1376</v>
      </c>
      <c r="C67" s="42">
        <v>3</v>
      </c>
      <c r="D67" s="42">
        <v>4.41</v>
      </c>
      <c r="E67" s="42">
        <v>5.29</v>
      </c>
      <c r="F67" s="42">
        <v>2.73</v>
      </c>
      <c r="G67" s="42">
        <v>4.3499999999999996</v>
      </c>
      <c r="H67" s="42">
        <v>4.83</v>
      </c>
      <c r="I67" s="42">
        <v>1.77</v>
      </c>
      <c r="J67" s="46">
        <v>2.27</v>
      </c>
      <c r="L67" s="44" t="s">
        <v>1377</v>
      </c>
      <c r="M67" s="42">
        <v>2.86</v>
      </c>
      <c r="N67" s="42">
        <v>5.47</v>
      </c>
      <c r="O67" s="42">
        <v>5.17</v>
      </c>
      <c r="P67" s="42">
        <v>6.08</v>
      </c>
      <c r="Q67" s="42">
        <v>0</v>
      </c>
      <c r="R67" s="42">
        <v>3.72</v>
      </c>
      <c r="S67" s="42">
        <v>3.07</v>
      </c>
      <c r="T67" s="46">
        <v>3.37</v>
      </c>
      <c r="V67" s="44" t="s">
        <v>1378</v>
      </c>
      <c r="W67" s="42">
        <v>3.91</v>
      </c>
      <c r="X67" s="42">
        <v>4.28</v>
      </c>
      <c r="Y67" s="42">
        <v>4.18</v>
      </c>
      <c r="Z67" s="42">
        <v>4.33</v>
      </c>
      <c r="AA67" s="42">
        <v>3.64</v>
      </c>
      <c r="AB67" s="42">
        <v>3.13</v>
      </c>
      <c r="AC67" s="42">
        <v>1.62</v>
      </c>
      <c r="AD67" s="46">
        <v>1.2</v>
      </c>
      <c r="AF67" s="44" t="s">
        <v>1379</v>
      </c>
      <c r="AG67" s="42">
        <v>4.1500000000000004</v>
      </c>
      <c r="AH67" s="42">
        <v>6.1</v>
      </c>
      <c r="AI67" s="42">
        <v>3.77</v>
      </c>
      <c r="AJ67" s="42">
        <v>5.19</v>
      </c>
      <c r="AK67" s="42">
        <v>5.47</v>
      </c>
      <c r="AL67" s="42">
        <v>1.84</v>
      </c>
      <c r="AM67" s="42">
        <v>3.76</v>
      </c>
      <c r="AN67" s="46">
        <v>3.14</v>
      </c>
      <c r="AP67" s="48" t="s">
        <v>937</v>
      </c>
      <c r="AQ67" s="49">
        <v>2.3497959183673398</v>
      </c>
      <c r="AR67" s="49">
        <v>1.16135135135135</v>
      </c>
      <c r="AS67" s="49">
        <v>2.5554545454545399</v>
      </c>
      <c r="AT67" s="49">
        <v>3.3019642857142801</v>
      </c>
      <c r="AU67" s="49">
        <v>1.41071428571428</v>
      </c>
      <c r="AV67" s="49">
        <v>1.3395744680851001</v>
      </c>
      <c r="AW67" s="49">
        <v>1.2245454545454499</v>
      </c>
      <c r="AX67" s="50">
        <v>2.9807142857142801</v>
      </c>
      <c r="AZ67" s="48" t="s">
        <v>937</v>
      </c>
      <c r="BA67" s="49">
        <v>0.5534</v>
      </c>
      <c r="BB67" s="49">
        <v>4.1736585365853696</v>
      </c>
      <c r="BC67" s="49">
        <v>0.32862068965517199</v>
      </c>
      <c r="BD67" s="49">
        <v>1.60607843137254</v>
      </c>
      <c r="BE67" s="49">
        <v>2.33612244897959</v>
      </c>
      <c r="BF67" s="49">
        <v>1.83981818181818</v>
      </c>
      <c r="BG67" s="49">
        <v>0.68368421052631501</v>
      </c>
      <c r="BH67" s="50">
        <v>1.2013725490195999</v>
      </c>
      <c r="BJ67" s="48" t="s">
        <v>937</v>
      </c>
      <c r="BK67" s="49">
        <v>13.442608695652099</v>
      </c>
      <c r="BL67" s="49">
        <v>1.3578787878787799</v>
      </c>
      <c r="BM67" s="49">
        <v>1.3821052631578901</v>
      </c>
      <c r="BN67" s="49">
        <v>3.5104761904761901</v>
      </c>
      <c r="BO67" s="49">
        <v>1.77</v>
      </c>
      <c r="BP67" s="49">
        <v>2.4559523809523802</v>
      </c>
      <c r="BQ67" s="49">
        <v>0.22857142857142801</v>
      </c>
      <c r="BR67" s="50">
        <v>0.23372093023255799</v>
      </c>
      <c r="BT67" s="48" t="s">
        <v>937</v>
      </c>
      <c r="BU67" s="49">
        <v>0.85</v>
      </c>
      <c r="BV67" s="49">
        <v>0.56777777777777705</v>
      </c>
      <c r="BW67" s="49">
        <v>0.14888888888888799</v>
      </c>
      <c r="BX67" s="49">
        <v>1.57673913043478</v>
      </c>
      <c r="BY67" s="49">
        <v>2.0197777777777701</v>
      </c>
      <c r="BZ67" s="49">
        <v>0.69285714285714295</v>
      </c>
      <c r="CA67" s="49">
        <v>0.30142857142857099</v>
      </c>
      <c r="CB67" s="50">
        <v>2.24204081632652</v>
      </c>
    </row>
    <row r="68" spans="2:80" ht="15.75" thickBot="1">
      <c r="B68" s="44" t="s">
        <v>1380</v>
      </c>
      <c r="C68" s="42">
        <v>2.98</v>
      </c>
      <c r="D68" s="42">
        <v>0</v>
      </c>
      <c r="E68" s="42">
        <v>0</v>
      </c>
      <c r="F68" s="42">
        <v>5.62</v>
      </c>
      <c r="G68" s="42">
        <v>4.33</v>
      </c>
      <c r="H68" s="42">
        <v>4.8600000000000003</v>
      </c>
      <c r="I68" s="42">
        <v>1.73</v>
      </c>
      <c r="J68" s="46">
        <v>2.25</v>
      </c>
      <c r="L68" s="44" t="s">
        <v>1381</v>
      </c>
      <c r="M68" s="42">
        <v>2.85</v>
      </c>
      <c r="N68" s="42">
        <v>5.41</v>
      </c>
      <c r="O68" s="42">
        <v>5.2</v>
      </c>
      <c r="P68" s="42">
        <v>6.07</v>
      </c>
      <c r="Q68" s="42">
        <v>5.15</v>
      </c>
      <c r="R68" s="42">
        <v>3.72</v>
      </c>
      <c r="S68" s="42">
        <v>3.07</v>
      </c>
      <c r="T68" s="46">
        <v>3.44</v>
      </c>
      <c r="V68" s="44" t="s">
        <v>1382</v>
      </c>
      <c r="W68" s="42">
        <v>3.96</v>
      </c>
      <c r="X68" s="42">
        <v>4.28</v>
      </c>
      <c r="Y68" s="42">
        <v>4.2</v>
      </c>
      <c r="Z68" s="42">
        <v>4.2699999999999996</v>
      </c>
      <c r="AA68" s="42">
        <v>3.58</v>
      </c>
      <c r="AB68" s="42">
        <v>3.11</v>
      </c>
      <c r="AC68" s="42">
        <v>1.64</v>
      </c>
      <c r="AD68" s="46">
        <v>1.21</v>
      </c>
      <c r="AF68" s="44" t="s">
        <v>1383</v>
      </c>
      <c r="AG68" s="42">
        <v>0.01</v>
      </c>
      <c r="AH68" s="42">
        <v>6.08</v>
      </c>
      <c r="AI68" s="42">
        <v>3.78</v>
      </c>
      <c r="AJ68" s="42">
        <v>5.17</v>
      </c>
      <c r="AK68" s="42">
        <v>5.45</v>
      </c>
      <c r="AL68" s="42">
        <v>1.86</v>
      </c>
      <c r="AM68" s="42">
        <v>3.74</v>
      </c>
      <c r="AN68" s="46">
        <v>3.18</v>
      </c>
    </row>
    <row r="69" spans="2:80" ht="30">
      <c r="B69" s="44" t="s">
        <v>1384</v>
      </c>
      <c r="C69" s="42">
        <v>3</v>
      </c>
      <c r="D69" s="42">
        <v>4.3899999999999997</v>
      </c>
      <c r="E69" s="42">
        <v>5.28</v>
      </c>
      <c r="F69" s="42">
        <v>4.33</v>
      </c>
      <c r="G69" s="42">
        <v>4.34</v>
      </c>
      <c r="H69" s="42">
        <v>4.84</v>
      </c>
      <c r="I69" s="42">
        <v>1.77</v>
      </c>
      <c r="J69" s="46">
        <v>2.25</v>
      </c>
      <c r="L69" s="44" t="s">
        <v>1385</v>
      </c>
      <c r="M69" s="42">
        <v>2.86</v>
      </c>
      <c r="N69" s="42">
        <v>5.42</v>
      </c>
      <c r="O69" s="42">
        <v>5.14</v>
      </c>
      <c r="P69" s="42">
        <v>6.06</v>
      </c>
      <c r="Q69" s="42">
        <v>0</v>
      </c>
      <c r="R69" s="42">
        <v>3.72</v>
      </c>
      <c r="S69" s="42">
        <v>0.63</v>
      </c>
      <c r="T69" s="46">
        <v>3.56</v>
      </c>
      <c r="V69" s="44" t="s">
        <v>1386</v>
      </c>
      <c r="W69" s="42">
        <v>3.93</v>
      </c>
      <c r="X69" s="42">
        <v>4.2699999999999996</v>
      </c>
      <c r="Y69" s="42">
        <v>4.18</v>
      </c>
      <c r="Z69" s="42">
        <v>4.3</v>
      </c>
      <c r="AA69" s="42">
        <v>3.62</v>
      </c>
      <c r="AB69" s="42">
        <v>3.18</v>
      </c>
      <c r="AC69" s="42">
        <v>1.6</v>
      </c>
      <c r="AD69" s="46">
        <v>1.22</v>
      </c>
      <c r="AF69" s="44" t="s">
        <v>1387</v>
      </c>
      <c r="AG69" s="42">
        <v>4.1500000000000004</v>
      </c>
      <c r="AH69" s="42">
        <v>6.1</v>
      </c>
      <c r="AI69" s="42">
        <v>3.75</v>
      </c>
      <c r="AJ69" s="42">
        <v>5.14</v>
      </c>
      <c r="AK69" s="42">
        <v>5.86</v>
      </c>
      <c r="AL69" s="42">
        <v>1.83</v>
      </c>
      <c r="AM69" s="42">
        <v>3.77</v>
      </c>
      <c r="AN69" s="46">
        <v>3.16</v>
      </c>
      <c r="AP69" s="82" t="s">
        <v>534</v>
      </c>
      <c r="AQ69" s="8">
        <v>3.04</v>
      </c>
      <c r="AR69" s="8">
        <v>4.01</v>
      </c>
      <c r="AS69" s="8">
        <v>5.24</v>
      </c>
      <c r="AT69" s="8">
        <v>5.77</v>
      </c>
      <c r="AU69" s="8">
        <v>4.1900000000000004</v>
      </c>
      <c r="AV69" s="8">
        <v>4.38</v>
      </c>
      <c r="AW69" s="8">
        <v>1.55</v>
      </c>
      <c r="AX69" s="9">
        <v>2.41</v>
      </c>
      <c r="AZ69" s="82" t="s">
        <v>534</v>
      </c>
      <c r="BA69" s="8">
        <v>2.88</v>
      </c>
      <c r="BB69" s="8">
        <v>5.31</v>
      </c>
      <c r="BC69" s="8">
        <v>5.04</v>
      </c>
      <c r="BD69" s="8">
        <v>6.21</v>
      </c>
      <c r="BE69" s="8">
        <v>5.29</v>
      </c>
      <c r="BF69" s="8">
        <v>3.65</v>
      </c>
      <c r="BG69" s="8">
        <v>2.85</v>
      </c>
      <c r="BH69" s="9">
        <v>3.06</v>
      </c>
      <c r="BJ69" s="82" t="s">
        <v>534</v>
      </c>
      <c r="BK69" s="8">
        <v>3.88</v>
      </c>
      <c r="BL69" s="8">
        <v>4.2300000000000004</v>
      </c>
      <c r="BM69" s="8">
        <v>3.88</v>
      </c>
      <c r="BN69" s="8">
        <v>4.43</v>
      </c>
      <c r="BO69" s="8">
        <v>3.58</v>
      </c>
      <c r="BP69" s="8">
        <v>3.17</v>
      </c>
      <c r="BQ69" s="8">
        <v>1.72</v>
      </c>
      <c r="BR69" s="9">
        <v>1.1399999999999999</v>
      </c>
      <c r="BT69" s="82" t="s">
        <v>534</v>
      </c>
      <c r="BU69" s="8">
        <v>4.2</v>
      </c>
      <c r="BV69" s="8">
        <v>6.08</v>
      </c>
      <c r="BW69" s="8">
        <v>3.62</v>
      </c>
      <c r="BX69" s="8">
        <v>5.36</v>
      </c>
      <c r="BY69" s="8">
        <v>5.44</v>
      </c>
      <c r="BZ69" s="8">
        <v>1.82</v>
      </c>
      <c r="CA69" s="8">
        <v>3.76</v>
      </c>
      <c r="CB69" s="9">
        <v>2.87</v>
      </c>
    </row>
    <row r="70" spans="2:80">
      <c r="B70" s="44" t="s">
        <v>1388</v>
      </c>
      <c r="C70" s="42">
        <v>2.99</v>
      </c>
      <c r="D70" s="42">
        <v>4.37</v>
      </c>
      <c r="E70" s="42">
        <v>5.31</v>
      </c>
      <c r="F70" s="42">
        <v>4.42</v>
      </c>
      <c r="G70" s="42">
        <v>4.33</v>
      </c>
      <c r="H70" s="42">
        <v>4.8600000000000003</v>
      </c>
      <c r="I70" s="42">
        <v>1.8</v>
      </c>
      <c r="J70" s="46">
        <v>2.2799999999999998</v>
      </c>
      <c r="L70" s="44" t="s">
        <v>1389</v>
      </c>
      <c r="M70" s="42">
        <v>2.85</v>
      </c>
      <c r="N70" s="42">
        <v>3.89</v>
      </c>
      <c r="O70" s="42">
        <v>5.19</v>
      </c>
      <c r="P70" s="42">
        <v>6.1</v>
      </c>
      <c r="Q70" s="42">
        <v>5.15</v>
      </c>
      <c r="R70" s="42">
        <v>3.73</v>
      </c>
      <c r="S70" s="42">
        <v>3.05</v>
      </c>
      <c r="T70" s="46">
        <v>3.45</v>
      </c>
      <c r="V70" s="44" t="s">
        <v>1390</v>
      </c>
      <c r="W70" s="42">
        <v>3.89</v>
      </c>
      <c r="X70" s="42">
        <v>4.28</v>
      </c>
      <c r="Y70" s="42">
        <v>4.1399999999999997</v>
      </c>
      <c r="Z70" s="42">
        <v>4.32</v>
      </c>
      <c r="AA70" s="42">
        <v>3.62</v>
      </c>
      <c r="AB70" s="42">
        <v>3.11</v>
      </c>
      <c r="AC70" s="42">
        <v>1.64</v>
      </c>
      <c r="AD70" s="46">
        <v>1.31</v>
      </c>
      <c r="AF70" s="44" t="s">
        <v>1391</v>
      </c>
      <c r="AG70" s="42">
        <v>4.16</v>
      </c>
      <c r="AH70" s="42">
        <v>6.06</v>
      </c>
      <c r="AI70" s="42">
        <v>3.76</v>
      </c>
      <c r="AJ70" s="42">
        <v>5.16</v>
      </c>
      <c r="AK70" s="42">
        <v>5.44</v>
      </c>
      <c r="AL70" s="42">
        <v>1.84</v>
      </c>
      <c r="AM70" s="42">
        <v>3.72</v>
      </c>
      <c r="AN70" s="46">
        <v>0.98</v>
      </c>
      <c r="AP70" s="52" t="s">
        <v>539</v>
      </c>
      <c r="AQ70" s="11">
        <f>AQ69-AQ67</f>
        <v>0.69020408163266023</v>
      </c>
      <c r="AR70" s="11">
        <f t="shared" ref="AR70:AX70" si="0">AR69-AR67</f>
        <v>2.8486486486486498</v>
      </c>
      <c r="AS70" s="11">
        <f t="shared" si="0"/>
        <v>2.6845454545454603</v>
      </c>
      <c r="AT70" s="11">
        <f t="shared" si="0"/>
        <v>2.4680357142857194</v>
      </c>
      <c r="AU70" s="11">
        <f t="shared" si="0"/>
        <v>2.7792857142857201</v>
      </c>
      <c r="AV70" s="11">
        <f t="shared" si="0"/>
        <v>3.0404255319148996</v>
      </c>
      <c r="AW70" s="11">
        <f t="shared" si="0"/>
        <v>0.3254545454545501</v>
      </c>
      <c r="AX70" s="12">
        <f t="shared" si="0"/>
        <v>-0.57071428571427996</v>
      </c>
      <c r="AZ70" s="52" t="s">
        <v>539</v>
      </c>
      <c r="BA70" s="11">
        <f>BA69-BA67</f>
        <v>2.3266</v>
      </c>
      <c r="BB70" s="11">
        <f t="shared" ref="BB70:BH70" si="1">BB69-BB67</f>
        <v>1.13634146341463</v>
      </c>
      <c r="BC70" s="11">
        <f t="shared" si="1"/>
        <v>4.711379310344828</v>
      </c>
      <c r="BD70" s="11">
        <f t="shared" si="1"/>
        <v>4.6039215686274595</v>
      </c>
      <c r="BE70" s="11">
        <f t="shared" si="1"/>
        <v>2.9538775510204101</v>
      </c>
      <c r="BF70" s="11">
        <f t="shared" si="1"/>
        <v>1.8101818181818199</v>
      </c>
      <c r="BG70" s="11">
        <f t="shared" si="1"/>
        <v>2.1663157894736851</v>
      </c>
      <c r="BH70" s="12">
        <f t="shared" si="1"/>
        <v>1.8586274509804002</v>
      </c>
      <c r="BJ70" s="52" t="s">
        <v>539</v>
      </c>
      <c r="BK70" s="11">
        <f>BK69-BK67</f>
        <v>-9.5626086956520986</v>
      </c>
      <c r="BL70" s="11">
        <f t="shared" ref="BL70:BR70" si="2">BL69-BL67</f>
        <v>2.8721212121212205</v>
      </c>
      <c r="BM70" s="11">
        <f t="shared" si="2"/>
        <v>2.4978947368421096</v>
      </c>
      <c r="BN70" s="11">
        <f t="shared" si="2"/>
        <v>0.91952380952380963</v>
      </c>
      <c r="BO70" s="11">
        <f t="shared" si="2"/>
        <v>1.81</v>
      </c>
      <c r="BP70" s="11">
        <f t="shared" si="2"/>
        <v>0.71404761904761971</v>
      </c>
      <c r="BQ70" s="11">
        <f t="shared" si="2"/>
        <v>1.491428571428572</v>
      </c>
      <c r="BR70" s="12">
        <f t="shared" si="2"/>
        <v>0.90627906976744188</v>
      </c>
      <c r="BT70" s="52" t="s">
        <v>539</v>
      </c>
      <c r="BU70" s="11">
        <f>BU69-BU67</f>
        <v>3.35</v>
      </c>
      <c r="BV70" s="11">
        <f t="shared" ref="BV70:CB70" si="3">BV69-BV67</f>
        <v>5.5122222222222232</v>
      </c>
      <c r="BW70" s="11">
        <f t="shared" si="3"/>
        <v>3.4711111111111119</v>
      </c>
      <c r="BX70" s="11">
        <f t="shared" si="3"/>
        <v>3.7832608695652201</v>
      </c>
      <c r="BY70" s="11">
        <f t="shared" si="3"/>
        <v>3.4202222222222303</v>
      </c>
      <c r="BZ70" s="11">
        <f t="shared" si="3"/>
        <v>1.1271428571428572</v>
      </c>
      <c r="CA70" s="11">
        <f t="shared" si="3"/>
        <v>3.4585714285714286</v>
      </c>
      <c r="CB70" s="12">
        <f t="shared" si="3"/>
        <v>0.62795918367348014</v>
      </c>
    </row>
    <row r="71" spans="2:80" ht="15.75" thickBot="1">
      <c r="B71" s="44" t="s">
        <v>1392</v>
      </c>
      <c r="C71" s="42">
        <v>3.01</v>
      </c>
      <c r="D71" s="42">
        <v>4.4000000000000004</v>
      </c>
      <c r="E71" s="42">
        <v>5.31</v>
      </c>
      <c r="F71" s="42">
        <v>5.64</v>
      </c>
      <c r="G71" s="42">
        <v>4.32</v>
      </c>
      <c r="H71" s="42">
        <v>4.88</v>
      </c>
      <c r="I71" s="42">
        <v>1.75</v>
      </c>
      <c r="J71" s="46">
        <v>2.25</v>
      </c>
      <c r="L71" s="44" t="s">
        <v>1393</v>
      </c>
      <c r="M71" s="42">
        <v>2.82</v>
      </c>
      <c r="N71" s="42">
        <v>5.44</v>
      </c>
      <c r="O71" s="42">
        <v>5.22</v>
      </c>
      <c r="P71" s="42">
        <v>6.06</v>
      </c>
      <c r="Q71" s="42">
        <v>0</v>
      </c>
      <c r="R71" s="42">
        <v>3.74</v>
      </c>
      <c r="S71" s="42">
        <v>3.06</v>
      </c>
      <c r="T71" s="46">
        <v>3.4</v>
      </c>
      <c r="V71" s="44" t="s">
        <v>1394</v>
      </c>
      <c r="W71" s="42">
        <v>3.92</v>
      </c>
      <c r="X71" s="42">
        <v>4.2699999999999996</v>
      </c>
      <c r="Y71" s="42">
        <v>4.17</v>
      </c>
      <c r="Z71" s="42">
        <v>4.32</v>
      </c>
      <c r="AA71" s="42">
        <v>3.66</v>
      </c>
      <c r="AB71" s="42">
        <v>3.12</v>
      </c>
      <c r="AC71" s="42">
        <v>1.64</v>
      </c>
      <c r="AD71" s="46">
        <v>1.27</v>
      </c>
      <c r="AF71" s="44" t="s">
        <v>1395</v>
      </c>
      <c r="AG71" s="42">
        <v>4.17</v>
      </c>
      <c r="AH71" s="42">
        <v>6.07</v>
      </c>
      <c r="AI71" s="42">
        <v>3.77</v>
      </c>
      <c r="AJ71" s="42">
        <v>5.64</v>
      </c>
      <c r="AK71" s="42">
        <v>5.43</v>
      </c>
      <c r="AL71" s="42">
        <v>1.84</v>
      </c>
      <c r="AM71" s="42">
        <v>3.75</v>
      </c>
      <c r="AN71" s="46">
        <v>3.24</v>
      </c>
      <c r="AP71" s="53" t="s">
        <v>544</v>
      </c>
      <c r="AQ71" s="14">
        <f>(AQ70/AQ67)*100</f>
        <v>29.372937293729766</v>
      </c>
      <c r="AR71" s="14">
        <f t="shared" ref="AR71:AX71" si="4">(AR70/AR67)*100</f>
        <v>245.28740982080558</v>
      </c>
      <c r="AS71" s="14">
        <f t="shared" si="4"/>
        <v>105.05158306652483</v>
      </c>
      <c r="AT71" s="14">
        <f t="shared" si="4"/>
        <v>74.744470282840581</v>
      </c>
      <c r="AU71" s="14">
        <f t="shared" si="4"/>
        <v>197.0126582278493</v>
      </c>
      <c r="AV71" s="14">
        <f t="shared" si="4"/>
        <v>226.96950444726963</v>
      </c>
      <c r="AW71" s="14">
        <f t="shared" si="4"/>
        <v>26.577579806978953</v>
      </c>
      <c r="AX71" s="15">
        <f t="shared" si="4"/>
        <v>-19.146896716990017</v>
      </c>
      <c r="AZ71" s="53" t="s">
        <v>544</v>
      </c>
      <c r="BA71" s="14">
        <f>(BA70/BA67)*100</f>
        <v>420.41922659920488</v>
      </c>
      <c r="BB71" s="14">
        <f t="shared" ref="BB71:BH71" si="5">(BB70/BB67)*100</f>
        <v>27.226507713884875</v>
      </c>
      <c r="BC71" s="14">
        <f t="shared" si="5"/>
        <v>1433.6831059811143</v>
      </c>
      <c r="BD71" s="14">
        <f t="shared" si="5"/>
        <v>286.65608594799386</v>
      </c>
      <c r="BE71" s="14">
        <f t="shared" si="5"/>
        <v>126.44360967939217</v>
      </c>
      <c r="BF71" s="14">
        <f t="shared" si="5"/>
        <v>98.389168890206733</v>
      </c>
      <c r="BG71" s="14">
        <f t="shared" si="5"/>
        <v>316.85912240184808</v>
      </c>
      <c r="BH71" s="15">
        <f t="shared" si="5"/>
        <v>154.70866655786034</v>
      </c>
      <c r="BJ71" s="53" t="s">
        <v>544</v>
      </c>
      <c r="BK71" s="14">
        <f>(BK70/BK67)*100</f>
        <v>-71.136554757746126</v>
      </c>
      <c r="BL71" s="14">
        <f t="shared" ref="BL71:BP71" si="6">(BL70/BL67)*100</f>
        <v>211.51528676634865</v>
      </c>
      <c r="BM71" s="14">
        <f t="shared" si="6"/>
        <v>180.73115003808167</v>
      </c>
      <c r="BN71" s="14">
        <f>(BN70/BN67)*100</f>
        <v>26.193705914270215</v>
      </c>
      <c r="BO71" s="14">
        <f>(BO70/BO67)*100</f>
        <v>102.25988700564972</v>
      </c>
      <c r="BP71" s="14">
        <f t="shared" si="6"/>
        <v>29.07416383906935</v>
      </c>
      <c r="BQ71" s="14">
        <f>(BQ70/BQ67)*100</f>
        <v>652.50000000000182</v>
      </c>
      <c r="BR71" s="15">
        <f>(BR70/BR67)*100</f>
        <v>387.76119402985103</v>
      </c>
      <c r="BT71" s="53" t="s">
        <v>544</v>
      </c>
      <c r="BU71" s="14">
        <f>(BU70/BU67)*100</f>
        <v>394.11764705882354</v>
      </c>
      <c r="BV71" s="14">
        <f t="shared" ref="BV71:CB71" si="7">(BV70/BV67)*100</f>
        <v>970.84148727984484</v>
      </c>
      <c r="BW71" s="14">
        <f>(BW70/BW67)*100</f>
        <v>2331.3432835821045</v>
      </c>
      <c r="BX71" s="14">
        <f t="shared" si="7"/>
        <v>239.94209292706526</v>
      </c>
      <c r="BY71" s="14">
        <f t="shared" si="7"/>
        <v>169.33656067774336</v>
      </c>
      <c r="BZ71" s="14">
        <f t="shared" si="7"/>
        <v>162.68041237113403</v>
      </c>
      <c r="CA71" s="14">
        <f t="shared" si="7"/>
        <v>1147.3933649289115</v>
      </c>
      <c r="CB71" s="15">
        <f t="shared" si="7"/>
        <v>28.008374294557321</v>
      </c>
    </row>
    <row r="72" spans="2:80" ht="15.75" thickBot="1">
      <c r="B72" s="44" t="s">
        <v>1396</v>
      </c>
      <c r="C72" s="42">
        <v>2.94</v>
      </c>
      <c r="D72" s="42">
        <v>4.41</v>
      </c>
      <c r="E72" s="42">
        <v>2.54</v>
      </c>
      <c r="F72" s="42">
        <v>5.66</v>
      </c>
      <c r="G72" s="42">
        <v>4.29</v>
      </c>
      <c r="H72" s="42">
        <v>1.71</v>
      </c>
      <c r="I72" s="42">
        <v>1.77</v>
      </c>
      <c r="J72" s="46">
        <v>2.2400000000000002</v>
      </c>
      <c r="L72" s="44" t="s">
        <v>1397</v>
      </c>
      <c r="M72" s="42">
        <v>2.84</v>
      </c>
      <c r="N72" s="42">
        <v>5.45</v>
      </c>
      <c r="O72" s="42">
        <v>5.1100000000000003</v>
      </c>
      <c r="P72" s="42">
        <v>6.01</v>
      </c>
      <c r="Q72" s="42">
        <v>0</v>
      </c>
      <c r="R72" s="42">
        <v>3.74</v>
      </c>
      <c r="S72" s="42">
        <v>3.03</v>
      </c>
      <c r="T72" s="46">
        <v>3.39</v>
      </c>
      <c r="V72" s="44" t="s">
        <v>1398</v>
      </c>
      <c r="W72" s="42">
        <v>0.88</v>
      </c>
      <c r="X72" s="42">
        <v>4.3099999999999996</v>
      </c>
      <c r="Y72" s="42">
        <v>4.17</v>
      </c>
      <c r="Z72" s="42">
        <v>4.3099999999999996</v>
      </c>
      <c r="AA72" s="42">
        <v>3.59</v>
      </c>
      <c r="AB72" s="42">
        <v>3.11</v>
      </c>
      <c r="AC72" s="42">
        <v>1.63</v>
      </c>
      <c r="AD72" s="46">
        <v>1.23</v>
      </c>
      <c r="AF72" s="44" t="s">
        <v>1399</v>
      </c>
      <c r="AG72" s="42">
        <v>4.1399999999999997</v>
      </c>
      <c r="AH72" s="42">
        <v>6.08</v>
      </c>
      <c r="AI72" s="42">
        <v>3.78</v>
      </c>
      <c r="AJ72" s="42">
        <v>5.22</v>
      </c>
      <c r="AK72" s="42">
        <v>5.47</v>
      </c>
      <c r="AL72" s="42">
        <v>1.86</v>
      </c>
      <c r="AM72" s="42">
        <v>3.74</v>
      </c>
      <c r="AN72" s="46">
        <v>3.18</v>
      </c>
      <c r="AP72" s="1"/>
      <c r="AQ72" s="1"/>
      <c r="AR72" s="1"/>
      <c r="AS72" s="1"/>
      <c r="AT72" s="1"/>
      <c r="AU72" s="1"/>
      <c r="AV72" s="1"/>
      <c r="AW72" s="1"/>
      <c r="AX72" s="1"/>
      <c r="AZ72" s="1"/>
      <c r="BA72" s="1"/>
      <c r="BB72" s="1"/>
      <c r="BC72" s="1"/>
      <c r="BD72" s="1"/>
      <c r="BE72" s="1"/>
      <c r="BF72" s="1"/>
      <c r="BG72" s="1"/>
      <c r="BH72" s="1"/>
      <c r="BJ72" s="1"/>
      <c r="BK72" s="1"/>
      <c r="BL72" s="1"/>
      <c r="BM72" s="1"/>
      <c r="BN72" s="1"/>
      <c r="BO72" s="1"/>
      <c r="BP72" s="1"/>
      <c r="BQ72" s="1"/>
      <c r="BR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2:80" ht="30">
      <c r="B73" s="44" t="s">
        <v>1400</v>
      </c>
      <c r="C73" s="42">
        <v>3.02</v>
      </c>
      <c r="D73" s="42">
        <v>4.3899999999999997</v>
      </c>
      <c r="E73" s="42">
        <v>5.29</v>
      </c>
      <c r="F73" s="42">
        <v>5.64</v>
      </c>
      <c r="G73" s="42">
        <v>4.32</v>
      </c>
      <c r="H73" s="42">
        <v>4.83</v>
      </c>
      <c r="I73" s="42">
        <v>1.72</v>
      </c>
      <c r="J73" s="46">
        <v>2.46</v>
      </c>
      <c r="L73" s="44" t="s">
        <v>1401</v>
      </c>
      <c r="M73" s="42">
        <v>2.0699999999999998</v>
      </c>
      <c r="N73" s="42">
        <v>5.47</v>
      </c>
      <c r="O73" s="42">
        <v>5.17</v>
      </c>
      <c r="P73" s="42">
        <v>3.83</v>
      </c>
      <c r="Q73" s="42">
        <v>0</v>
      </c>
      <c r="R73" s="42">
        <v>3.74</v>
      </c>
      <c r="S73" s="42">
        <v>3.08</v>
      </c>
      <c r="T73" s="46">
        <v>3.47</v>
      </c>
      <c r="V73" s="44" t="s">
        <v>1402</v>
      </c>
      <c r="W73" s="42">
        <v>3.92</v>
      </c>
      <c r="X73" s="42">
        <v>4.32</v>
      </c>
      <c r="Y73" s="42">
        <v>4.16</v>
      </c>
      <c r="Z73" s="42">
        <v>4.3099999999999996</v>
      </c>
      <c r="AA73" s="42">
        <v>3.58</v>
      </c>
      <c r="AB73" s="42">
        <v>3.13</v>
      </c>
      <c r="AC73" s="42">
        <v>1.62</v>
      </c>
      <c r="AD73" s="46">
        <v>1.23</v>
      </c>
      <c r="AF73" s="44" t="s">
        <v>1403</v>
      </c>
      <c r="AG73" s="42">
        <v>2.02</v>
      </c>
      <c r="AH73" s="42">
        <v>6.06</v>
      </c>
      <c r="AI73" s="42">
        <v>3.79</v>
      </c>
      <c r="AJ73" s="42">
        <v>5.41</v>
      </c>
      <c r="AK73" s="42">
        <v>5.45</v>
      </c>
      <c r="AL73" s="42">
        <v>1.84</v>
      </c>
      <c r="AM73" s="42">
        <v>3.76</v>
      </c>
      <c r="AN73" s="46">
        <v>3.09</v>
      </c>
      <c r="AP73" s="82" t="s">
        <v>553</v>
      </c>
      <c r="AQ73" s="8">
        <v>2.99</v>
      </c>
      <c r="AR73" s="8">
        <v>4.18</v>
      </c>
      <c r="AS73" s="8">
        <v>5.28</v>
      </c>
      <c r="AT73" s="8">
        <v>5.69</v>
      </c>
      <c r="AU73" s="8">
        <v>4.22</v>
      </c>
      <c r="AV73" s="8">
        <v>4.3899999999999997</v>
      </c>
      <c r="AW73" s="8">
        <v>1.62</v>
      </c>
      <c r="AX73" s="9">
        <v>2.44</v>
      </c>
      <c r="AZ73" s="82" t="s">
        <v>553</v>
      </c>
      <c r="BA73" s="8">
        <v>2.84</v>
      </c>
      <c r="BB73" s="8">
        <v>5.41</v>
      </c>
      <c r="BC73" s="8">
        <v>5.0999999999999996</v>
      </c>
      <c r="BD73" s="8">
        <v>6.17</v>
      </c>
      <c r="BE73" s="8">
        <v>5.33</v>
      </c>
      <c r="BF73" s="8">
        <v>3.65</v>
      </c>
      <c r="BG73" s="8">
        <v>2.94</v>
      </c>
      <c r="BH73" s="9">
        <v>3.12</v>
      </c>
      <c r="BJ73" s="82" t="s">
        <v>553</v>
      </c>
      <c r="BK73" s="8">
        <v>3.86</v>
      </c>
      <c r="BL73" s="8">
        <v>4.24</v>
      </c>
      <c r="BM73" s="8">
        <v>3.37</v>
      </c>
      <c r="BN73" s="8">
        <v>4.38</v>
      </c>
      <c r="BO73" s="8">
        <v>3.57</v>
      </c>
      <c r="BP73" s="8">
        <v>3.19</v>
      </c>
      <c r="BQ73" s="8">
        <v>1.74</v>
      </c>
      <c r="BR73" s="9">
        <v>1.1200000000000001</v>
      </c>
      <c r="BT73" s="82" t="s">
        <v>553</v>
      </c>
      <c r="BU73" s="8">
        <v>4.1399999999999997</v>
      </c>
      <c r="BV73" s="8">
        <v>6.08</v>
      </c>
      <c r="BW73" s="8">
        <v>3.66</v>
      </c>
      <c r="BX73" s="8">
        <v>5.32</v>
      </c>
      <c r="BY73" s="8">
        <v>5.44</v>
      </c>
      <c r="BZ73" s="8">
        <v>1.83</v>
      </c>
      <c r="CA73" s="8">
        <v>3.76</v>
      </c>
      <c r="CB73" s="9">
        <v>2.91</v>
      </c>
    </row>
    <row r="74" spans="2:80">
      <c r="B74" s="44" t="s">
        <v>1404</v>
      </c>
      <c r="C74" s="42">
        <v>2.96</v>
      </c>
      <c r="D74" s="42">
        <v>4.37</v>
      </c>
      <c r="E74" s="42">
        <v>5.28</v>
      </c>
      <c r="F74" s="42">
        <v>5.0199999999999996</v>
      </c>
      <c r="G74" s="42">
        <v>4.3099999999999996</v>
      </c>
      <c r="H74" s="42">
        <v>3.73</v>
      </c>
      <c r="I74" s="42">
        <v>1.79</v>
      </c>
      <c r="J74" s="46">
        <v>2.27</v>
      </c>
      <c r="L74" s="44" t="s">
        <v>1405</v>
      </c>
      <c r="M74" s="42">
        <v>2.82</v>
      </c>
      <c r="N74" s="42">
        <v>5.47</v>
      </c>
      <c r="O74" s="42">
        <v>5.16</v>
      </c>
      <c r="P74" s="42">
        <v>5.26</v>
      </c>
      <c r="Q74" s="42">
        <v>0</v>
      </c>
      <c r="R74" s="42">
        <v>2.73</v>
      </c>
      <c r="S74" s="42">
        <v>3.03</v>
      </c>
      <c r="T74" s="46">
        <v>3.46</v>
      </c>
      <c r="V74" s="44" t="s">
        <v>1406</v>
      </c>
      <c r="W74" s="42">
        <v>3.93</v>
      </c>
      <c r="X74" s="42">
        <v>4.3099999999999996</v>
      </c>
      <c r="Y74" s="42">
        <v>4.2</v>
      </c>
      <c r="Z74" s="42">
        <v>2.17</v>
      </c>
      <c r="AA74" s="42">
        <v>3.62</v>
      </c>
      <c r="AB74" s="42">
        <v>3.13</v>
      </c>
      <c r="AC74" s="42">
        <v>1.66</v>
      </c>
      <c r="AD74" s="46">
        <v>1.25</v>
      </c>
      <c r="AF74" s="44" t="s">
        <v>1407</v>
      </c>
      <c r="AG74" s="42">
        <v>4.17</v>
      </c>
      <c r="AH74" s="42">
        <v>6.06</v>
      </c>
      <c r="AI74" s="42">
        <v>3.76</v>
      </c>
      <c r="AJ74" s="42">
        <v>5.12</v>
      </c>
      <c r="AK74" s="42">
        <v>5.42</v>
      </c>
      <c r="AL74" s="42">
        <v>1.84</v>
      </c>
      <c r="AM74" s="42">
        <v>3.77</v>
      </c>
      <c r="AN74" s="46">
        <v>3.17</v>
      </c>
      <c r="AP74" s="52" t="s">
        <v>539</v>
      </c>
      <c r="AQ74" s="11">
        <f>AQ73-AQ67</f>
        <v>0.6402040816326604</v>
      </c>
      <c r="AR74" s="11">
        <f t="shared" ref="AR74:AX74" si="8">AR73-AR67</f>
        <v>3.0186486486486497</v>
      </c>
      <c r="AS74" s="11">
        <f t="shared" si="8"/>
        <v>2.7245454545454604</v>
      </c>
      <c r="AT74" s="11">
        <f t="shared" si="8"/>
        <v>2.3880357142857203</v>
      </c>
      <c r="AU74" s="11">
        <f t="shared" si="8"/>
        <v>2.8092857142857195</v>
      </c>
      <c r="AV74" s="11">
        <f t="shared" si="8"/>
        <v>3.0504255319148994</v>
      </c>
      <c r="AW74" s="11">
        <f t="shared" si="8"/>
        <v>0.39545454545455017</v>
      </c>
      <c r="AX74" s="12">
        <f t="shared" si="8"/>
        <v>-0.54071428571428015</v>
      </c>
      <c r="AZ74" s="52" t="s">
        <v>539</v>
      </c>
      <c r="BA74" s="11">
        <f>BA73-BA67</f>
        <v>2.2866</v>
      </c>
      <c r="BB74" s="11">
        <f t="shared" ref="BB74:BH74" si="9">BB73-BB67</f>
        <v>1.2363414634146306</v>
      </c>
      <c r="BC74" s="11">
        <f t="shared" si="9"/>
        <v>4.7713793103448277</v>
      </c>
      <c r="BD74" s="11">
        <f t="shared" si="9"/>
        <v>4.5639215686274603</v>
      </c>
      <c r="BE74" s="11">
        <f t="shared" si="9"/>
        <v>2.9938775510204101</v>
      </c>
      <c r="BF74" s="11">
        <f t="shared" si="9"/>
        <v>1.8101818181818199</v>
      </c>
      <c r="BG74" s="11">
        <f t="shared" si="9"/>
        <v>2.2563157894736849</v>
      </c>
      <c r="BH74" s="12">
        <f t="shared" si="9"/>
        <v>1.9186274509804002</v>
      </c>
      <c r="BJ74" s="52" t="s">
        <v>539</v>
      </c>
      <c r="BK74" s="11">
        <f>BK73-BK67</f>
        <v>-9.5826086956520999</v>
      </c>
      <c r="BL74" s="11">
        <f t="shared" ref="BL74:BR74" si="10">BL73-BL67</f>
        <v>2.8821212121212203</v>
      </c>
      <c r="BM74" s="11">
        <f t="shared" si="10"/>
        <v>1.98789473684211</v>
      </c>
      <c r="BN74" s="11">
        <f>BN73-BN67</f>
        <v>0.86952380952380981</v>
      </c>
      <c r="BO74" s="11">
        <f t="shared" si="10"/>
        <v>1.7999999999999998</v>
      </c>
      <c r="BP74" s="11">
        <f t="shared" si="10"/>
        <v>0.73404761904761973</v>
      </c>
      <c r="BQ74" s="11">
        <f t="shared" si="10"/>
        <v>1.511428571428572</v>
      </c>
      <c r="BR74" s="12">
        <f t="shared" si="10"/>
        <v>0.88627906976744208</v>
      </c>
      <c r="BT74" s="52" t="s">
        <v>539</v>
      </c>
      <c r="BU74" s="11">
        <f>BU73-BU67</f>
        <v>3.2899999999999996</v>
      </c>
      <c r="BV74" s="11">
        <f t="shared" ref="BV74:CB74" si="11">BV73-BV67</f>
        <v>5.5122222222222232</v>
      </c>
      <c r="BW74" s="11">
        <f t="shared" si="11"/>
        <v>3.511111111111112</v>
      </c>
      <c r="BX74" s="11">
        <f t="shared" si="11"/>
        <v>3.7432608695652201</v>
      </c>
      <c r="BY74" s="11">
        <f t="shared" si="11"/>
        <v>3.4202222222222303</v>
      </c>
      <c r="BZ74" s="11">
        <f t="shared" si="11"/>
        <v>1.137142857142857</v>
      </c>
      <c r="CA74" s="11">
        <f t="shared" si="11"/>
        <v>3.4585714285714286</v>
      </c>
      <c r="CB74" s="12">
        <f t="shared" si="11"/>
        <v>0.66795918367348017</v>
      </c>
    </row>
    <row r="75" spans="2:80" ht="15.75" thickBot="1">
      <c r="B75" s="44" t="s">
        <v>1408</v>
      </c>
      <c r="C75" s="42">
        <v>3.03</v>
      </c>
      <c r="D75" s="42">
        <v>4.3899999999999997</v>
      </c>
      <c r="E75" s="42">
        <v>5.31</v>
      </c>
      <c r="F75" s="42">
        <v>5.65</v>
      </c>
      <c r="G75" s="42">
        <v>4.3099999999999996</v>
      </c>
      <c r="H75" s="42">
        <v>4.8499999999999996</v>
      </c>
      <c r="I75" s="42">
        <v>1.78</v>
      </c>
      <c r="J75" s="46">
        <v>2.25</v>
      </c>
      <c r="L75" s="44" t="s">
        <v>1409</v>
      </c>
      <c r="M75" s="42">
        <v>2.84</v>
      </c>
      <c r="N75" s="42">
        <v>5.54</v>
      </c>
      <c r="O75" s="42">
        <v>5.13</v>
      </c>
      <c r="P75" s="42">
        <v>4.22</v>
      </c>
      <c r="Q75" s="42">
        <v>0</v>
      </c>
      <c r="R75" s="42">
        <v>3.75</v>
      </c>
      <c r="S75" s="42">
        <v>3.07</v>
      </c>
      <c r="T75" s="46">
        <v>4.12</v>
      </c>
      <c r="V75" s="44" t="s">
        <v>1410</v>
      </c>
      <c r="W75" s="42">
        <v>3.9</v>
      </c>
      <c r="X75" s="42">
        <v>4.28</v>
      </c>
      <c r="Y75" s="42">
        <v>4.09</v>
      </c>
      <c r="Z75" s="42">
        <v>4.2699999999999996</v>
      </c>
      <c r="AA75" s="42">
        <v>3.64</v>
      </c>
      <c r="AB75" s="42">
        <v>3.14</v>
      </c>
      <c r="AC75" s="42">
        <v>1.63</v>
      </c>
      <c r="AD75" s="46">
        <v>1.33</v>
      </c>
      <c r="AF75" s="44" t="s">
        <v>1411</v>
      </c>
      <c r="AG75" s="42">
        <v>4.2300000000000004</v>
      </c>
      <c r="AH75" s="42">
        <v>6.05</v>
      </c>
      <c r="AI75" s="42">
        <v>3.77</v>
      </c>
      <c r="AJ75" s="42">
        <v>5.17</v>
      </c>
      <c r="AK75" s="42">
        <v>0.92</v>
      </c>
      <c r="AL75" s="42">
        <v>1.84</v>
      </c>
      <c r="AM75" s="42">
        <v>3.74</v>
      </c>
      <c r="AN75" s="46">
        <v>3.21</v>
      </c>
      <c r="AP75" s="53" t="s">
        <v>544</v>
      </c>
      <c r="AQ75" s="14">
        <f>(AQ74/AQ67)*100</f>
        <v>27.245092930346061</v>
      </c>
      <c r="AR75" s="14">
        <f t="shared" ref="AR75:AX75" si="12">(AR74/AR67)*100</f>
        <v>259.92552943914393</v>
      </c>
      <c r="AS75" s="14">
        <f t="shared" si="12"/>
        <v>106.61686232657463</v>
      </c>
      <c r="AT75" s="14">
        <f t="shared" si="12"/>
        <v>72.321670001622721</v>
      </c>
      <c r="AU75" s="14">
        <f t="shared" si="12"/>
        <v>199.13924050633028</v>
      </c>
      <c r="AV75" s="14">
        <f t="shared" si="12"/>
        <v>227.71601016518574</v>
      </c>
      <c r="AW75" s="14">
        <f t="shared" si="12"/>
        <v>32.293986636971553</v>
      </c>
      <c r="AX75" s="15">
        <f t="shared" si="12"/>
        <v>-18.140426551641355</v>
      </c>
      <c r="AZ75" s="53" t="s">
        <v>544</v>
      </c>
      <c r="BA75" s="14">
        <f>(BA74/BA67)*100</f>
        <v>413.1911817853271</v>
      </c>
      <c r="BB75" s="14">
        <f t="shared" ref="BB75:BH75" si="13">(BB74/BB67)*100</f>
        <v>29.6224871435249</v>
      </c>
      <c r="BC75" s="14">
        <f t="shared" si="13"/>
        <v>1451.9412381951749</v>
      </c>
      <c r="BD75" s="14">
        <f t="shared" si="13"/>
        <v>284.16554755219357</v>
      </c>
      <c r="BE75" s="14">
        <f t="shared" si="13"/>
        <v>128.15584869398114</v>
      </c>
      <c r="BF75" s="14">
        <f t="shared" si="13"/>
        <v>98.389168890206733</v>
      </c>
      <c r="BG75" s="14">
        <f t="shared" si="13"/>
        <v>330.02309468822222</v>
      </c>
      <c r="BH75" s="15">
        <f t="shared" si="13"/>
        <v>159.70295413742625</v>
      </c>
      <c r="BJ75" s="53" t="s">
        <v>544</v>
      </c>
      <c r="BK75" s="14">
        <f>(BK74/BK67)*100</f>
        <v>-71.285335403324765</v>
      </c>
      <c r="BL75" s="14">
        <f t="shared" ref="BL75:BQ75" si="14">(BL74/BL67)*100</f>
        <v>212.25172952466153</v>
      </c>
      <c r="BM75" s="14">
        <f>(BM74/BM67)*100</f>
        <v>143.83092155369465</v>
      </c>
      <c r="BN75" s="14">
        <f t="shared" si="14"/>
        <v>24.769397721106902</v>
      </c>
      <c r="BO75" s="14">
        <f t="shared" si="14"/>
        <v>101.69491525423729</v>
      </c>
      <c r="BP75" s="14">
        <f t="shared" si="14"/>
        <v>29.888511875908907</v>
      </c>
      <c r="BQ75" s="14">
        <f t="shared" si="14"/>
        <v>661.25000000000182</v>
      </c>
      <c r="BR75" s="15">
        <f>(BR74/BR67)*100</f>
        <v>379.20398009950281</v>
      </c>
      <c r="BT75" s="53" t="s">
        <v>544</v>
      </c>
      <c r="BU75" s="14">
        <f>(BU74/BU67)*100</f>
        <v>387.05882352941171</v>
      </c>
      <c r="BV75" s="14">
        <f t="shared" ref="BV75:CB75" si="15">(BV74/BV67)*100</f>
        <v>970.84148727984484</v>
      </c>
      <c r="BW75" s="14">
        <f t="shared" si="15"/>
        <v>2358.2089552238954</v>
      </c>
      <c r="BX75" s="14">
        <f t="shared" si="15"/>
        <v>237.40521163656476</v>
      </c>
      <c r="BY75" s="14">
        <f t="shared" si="15"/>
        <v>169.33656067774336</v>
      </c>
      <c r="BZ75" s="14">
        <f t="shared" si="15"/>
        <v>164.12371134020614</v>
      </c>
      <c r="CA75" s="14">
        <f t="shared" si="15"/>
        <v>1147.3933649289115</v>
      </c>
      <c r="CB75" s="15">
        <f t="shared" si="15"/>
        <v>29.792463134899585</v>
      </c>
    </row>
    <row r="76" spans="2:80" ht="15.75" thickBot="1">
      <c r="B76" s="44" t="s">
        <v>1412</v>
      </c>
      <c r="C76" s="42">
        <v>3.01</v>
      </c>
      <c r="D76" s="42">
        <v>4.43</v>
      </c>
      <c r="E76" s="42">
        <v>5.26</v>
      </c>
      <c r="F76" s="42">
        <v>0.28000000000000003</v>
      </c>
      <c r="G76" s="42">
        <v>4.29</v>
      </c>
      <c r="H76" s="42">
        <v>4.8499999999999996</v>
      </c>
      <c r="I76" s="42">
        <v>1.72</v>
      </c>
      <c r="J76" s="46">
        <v>2.2599999999999998</v>
      </c>
      <c r="L76" s="62" t="s">
        <v>936</v>
      </c>
      <c r="M76" s="57">
        <v>2.7745833333333301</v>
      </c>
      <c r="N76" s="57">
        <v>5.34097222222222</v>
      </c>
      <c r="O76" s="57">
        <v>4.94848484848485</v>
      </c>
      <c r="P76" s="57">
        <v>5.34777777777777</v>
      </c>
      <c r="Q76" s="57">
        <v>4.9492307692307698</v>
      </c>
      <c r="R76" s="57">
        <v>3.5276388888888799</v>
      </c>
      <c r="S76" s="57">
        <v>2.8105555555555499</v>
      </c>
      <c r="T76" s="58">
        <v>3.3192647058823499</v>
      </c>
      <c r="V76" s="44" t="s">
        <v>1413</v>
      </c>
      <c r="W76" s="42">
        <v>2.15</v>
      </c>
      <c r="X76" s="42">
        <v>4.26</v>
      </c>
      <c r="Y76" s="42">
        <v>4.16</v>
      </c>
      <c r="Z76" s="42">
        <v>0.56999999999999995</v>
      </c>
      <c r="AA76" s="42">
        <v>3.61</v>
      </c>
      <c r="AB76" s="42">
        <v>3.1</v>
      </c>
      <c r="AC76" s="42">
        <v>1.64</v>
      </c>
      <c r="AD76" s="46">
        <v>1.21</v>
      </c>
      <c r="AF76" s="44" t="s">
        <v>1414</v>
      </c>
      <c r="AG76" s="42">
        <v>4.1500000000000004</v>
      </c>
      <c r="AH76" s="42">
        <v>6.13</v>
      </c>
      <c r="AI76" s="42">
        <v>3.76</v>
      </c>
      <c r="AJ76" s="42">
        <v>5.19</v>
      </c>
      <c r="AK76" s="42">
        <v>5.45</v>
      </c>
      <c r="AL76" s="42">
        <v>1.84</v>
      </c>
      <c r="AM76" s="42">
        <v>3.76</v>
      </c>
      <c r="AN76" s="46">
        <v>3.21</v>
      </c>
    </row>
    <row r="77" spans="2:80" ht="30">
      <c r="B77" s="44" t="s">
        <v>1415</v>
      </c>
      <c r="C77" s="42">
        <v>2.99</v>
      </c>
      <c r="D77" s="42">
        <v>4.32</v>
      </c>
      <c r="E77" s="42">
        <v>5.29</v>
      </c>
      <c r="F77" s="42">
        <v>5.61</v>
      </c>
      <c r="G77" s="42">
        <v>4.32</v>
      </c>
      <c r="H77" s="42">
        <v>4.82</v>
      </c>
      <c r="I77" s="42">
        <v>1.79</v>
      </c>
      <c r="J77" s="46">
        <v>2.2200000000000002</v>
      </c>
      <c r="L77" s="47" t="s">
        <v>515</v>
      </c>
      <c r="M77" s="42">
        <v>0.229594676065839</v>
      </c>
      <c r="N77" s="42">
        <v>0.48153158348654701</v>
      </c>
      <c r="O77" s="42">
        <v>0.813803718469431</v>
      </c>
      <c r="P77" s="42">
        <v>1.3269840723969</v>
      </c>
      <c r="Q77" s="42">
        <v>0.764475300586683</v>
      </c>
      <c r="R77" s="42">
        <v>0.62542095391725105</v>
      </c>
      <c r="S77" s="42">
        <v>0.74759222561665795</v>
      </c>
      <c r="T77" s="46">
        <v>0.60423582311113899</v>
      </c>
      <c r="V77" s="44" t="s">
        <v>1416</v>
      </c>
      <c r="W77" s="42">
        <v>3.9</v>
      </c>
      <c r="X77" s="42">
        <v>4.25</v>
      </c>
      <c r="Y77" s="42">
        <v>4.17</v>
      </c>
      <c r="Z77" s="42">
        <v>4.32</v>
      </c>
      <c r="AA77" s="42">
        <v>3.59</v>
      </c>
      <c r="AB77" s="42">
        <v>3.16</v>
      </c>
      <c r="AC77" s="42">
        <v>1.62</v>
      </c>
      <c r="AD77" s="46">
        <v>1.24</v>
      </c>
      <c r="AF77" s="44" t="s">
        <v>1417</v>
      </c>
      <c r="AG77" s="42">
        <v>4.16</v>
      </c>
      <c r="AH77" s="42">
        <v>6.1</v>
      </c>
      <c r="AI77" s="42">
        <v>3.74</v>
      </c>
      <c r="AJ77" s="42">
        <v>3.13</v>
      </c>
      <c r="AK77" s="42">
        <v>5.42</v>
      </c>
      <c r="AL77" s="42">
        <v>1.84</v>
      </c>
      <c r="AM77" s="42">
        <v>3.78</v>
      </c>
      <c r="AN77" s="46">
        <v>0</v>
      </c>
      <c r="AP77" s="82" t="s">
        <v>568</v>
      </c>
      <c r="AQ77" s="8">
        <v>2.99</v>
      </c>
      <c r="AR77" s="8">
        <v>4.1900000000000004</v>
      </c>
      <c r="AS77" s="8">
        <v>5.3</v>
      </c>
      <c r="AT77" s="8">
        <v>5.73</v>
      </c>
      <c r="AU77" s="8">
        <v>4.24</v>
      </c>
      <c r="AV77" s="8">
        <v>4.45</v>
      </c>
      <c r="AW77" s="8">
        <v>1.61</v>
      </c>
      <c r="AX77" s="9">
        <v>2.42</v>
      </c>
      <c r="AZ77" s="82" t="s">
        <v>568</v>
      </c>
      <c r="BA77" s="7">
        <v>2.88</v>
      </c>
      <c r="BB77" s="8">
        <v>5.38</v>
      </c>
      <c r="BC77" s="8">
        <v>5.0999999999999996</v>
      </c>
      <c r="BD77" s="8">
        <v>6.21</v>
      </c>
      <c r="BE77" s="8">
        <v>5.33</v>
      </c>
      <c r="BF77" s="8">
        <v>3.71</v>
      </c>
      <c r="BG77" s="8">
        <v>2.87</v>
      </c>
      <c r="BH77" s="9">
        <v>3.05</v>
      </c>
      <c r="BJ77" s="82" t="s">
        <v>568</v>
      </c>
      <c r="BK77" s="8">
        <v>3.83</v>
      </c>
      <c r="BL77" s="8">
        <v>4.29</v>
      </c>
      <c r="BM77" s="8">
        <v>3.95</v>
      </c>
      <c r="BN77" s="8">
        <v>4.43</v>
      </c>
      <c r="BO77" s="8">
        <v>3.64</v>
      </c>
      <c r="BP77" s="8">
        <v>3.23</v>
      </c>
      <c r="BQ77" s="8">
        <v>1.7</v>
      </c>
      <c r="BR77" s="9">
        <v>1.1299999999999999</v>
      </c>
      <c r="BT77" s="82" t="s">
        <v>568</v>
      </c>
      <c r="BU77" s="8">
        <v>4.1900000000000004</v>
      </c>
      <c r="BV77" s="8">
        <v>6.13</v>
      </c>
      <c r="BW77" s="8">
        <v>3.69</v>
      </c>
      <c r="BX77" s="8">
        <v>5.35</v>
      </c>
      <c r="BY77" s="8">
        <v>5.49</v>
      </c>
      <c r="BZ77" s="8">
        <v>1.85</v>
      </c>
      <c r="CA77" s="8">
        <v>3.72</v>
      </c>
      <c r="CB77" s="9">
        <v>2.9</v>
      </c>
    </row>
    <row r="78" spans="2:80">
      <c r="B78" s="44" t="s">
        <v>1418</v>
      </c>
      <c r="C78" s="42">
        <v>2.98</v>
      </c>
      <c r="D78" s="42">
        <v>4.37</v>
      </c>
      <c r="E78" s="42">
        <v>5.3</v>
      </c>
      <c r="F78" s="42">
        <v>5.64</v>
      </c>
      <c r="G78" s="42">
        <v>4.33</v>
      </c>
      <c r="H78" s="42">
        <v>4.8499999999999996</v>
      </c>
      <c r="I78" s="42">
        <v>1.76</v>
      </c>
      <c r="J78" s="46">
        <v>2.33</v>
      </c>
      <c r="L78" s="47" t="s">
        <v>520</v>
      </c>
      <c r="M78" s="42">
        <v>3.0041780093991699</v>
      </c>
      <c r="N78" s="42">
        <v>5.8225038057087701</v>
      </c>
      <c r="O78" s="42">
        <v>5.7622885669542798</v>
      </c>
      <c r="P78" s="42">
        <v>6.6747618501746704</v>
      </c>
      <c r="Q78" s="42">
        <v>5.7137060698174498</v>
      </c>
      <c r="R78" s="42">
        <v>4.1530598428061403</v>
      </c>
      <c r="S78" s="42">
        <v>3.55814778117221</v>
      </c>
      <c r="T78" s="46">
        <v>3.9235005289934901</v>
      </c>
      <c r="V78" s="44" t="s">
        <v>1419</v>
      </c>
      <c r="W78" s="42">
        <v>3.91</v>
      </c>
      <c r="X78" s="42">
        <v>4.26</v>
      </c>
      <c r="Y78" s="42">
        <v>4.1399999999999997</v>
      </c>
      <c r="Z78" s="42">
        <v>4.24</v>
      </c>
      <c r="AA78" s="42">
        <v>3.59</v>
      </c>
      <c r="AB78" s="42">
        <v>3.18</v>
      </c>
      <c r="AC78" s="42">
        <v>1.64</v>
      </c>
      <c r="AD78" s="46">
        <v>1.28</v>
      </c>
      <c r="AF78" s="44" t="s">
        <v>1420</v>
      </c>
      <c r="AG78" s="42">
        <v>4.1500000000000004</v>
      </c>
      <c r="AH78" s="42">
        <v>6.09</v>
      </c>
      <c r="AI78" s="42">
        <v>3.76</v>
      </c>
      <c r="AJ78" s="42">
        <v>5.15</v>
      </c>
      <c r="AK78" s="42">
        <v>5.45</v>
      </c>
      <c r="AL78" s="42">
        <v>1.83</v>
      </c>
      <c r="AM78" s="42">
        <v>3.73</v>
      </c>
      <c r="AN78" s="46">
        <v>3.18</v>
      </c>
      <c r="AP78" s="52" t="s">
        <v>539</v>
      </c>
      <c r="AQ78" s="11">
        <f>AQ77-AQ67</f>
        <v>0.6402040816326604</v>
      </c>
      <c r="AR78" s="11">
        <f t="shared" ref="AR78" si="16">AR77-AR67</f>
        <v>3.0286486486486504</v>
      </c>
      <c r="AS78" s="11">
        <f>AS77-AS67</f>
        <v>2.74454545454546</v>
      </c>
      <c r="AT78" s="11">
        <f t="shared" ref="AT78" si="17">AT77-AT67</f>
        <v>2.4280357142857203</v>
      </c>
      <c r="AU78" s="11">
        <f>AU77-AU67</f>
        <v>2.82928571428572</v>
      </c>
      <c r="AV78" s="11">
        <f t="shared" ref="AV78" si="18">AV77-AV67</f>
        <v>3.1104255319148999</v>
      </c>
      <c r="AW78" s="11">
        <f>AW77-AW67</f>
        <v>0.38545454545455016</v>
      </c>
      <c r="AX78" s="12">
        <f t="shared" ref="AX78" si="19">AX77-AX67</f>
        <v>-0.56071428571428017</v>
      </c>
      <c r="AZ78" s="52" t="s">
        <v>539</v>
      </c>
      <c r="BA78" s="10">
        <f>BA77-BA67</f>
        <v>2.3266</v>
      </c>
      <c r="BB78" s="11">
        <f t="shared" ref="BB78" si="20">BB77-BB67</f>
        <v>1.2063414634146303</v>
      </c>
      <c r="BC78" s="11">
        <f t="shared" ref="BC78" si="21">BC77-BC67</f>
        <v>4.7713793103448277</v>
      </c>
      <c r="BD78" s="11">
        <f t="shared" ref="BD78" si="22">BD77-BD67</f>
        <v>4.6039215686274595</v>
      </c>
      <c r="BE78" s="11">
        <f t="shared" ref="BE78" si="23">BE77-BE67</f>
        <v>2.9938775510204101</v>
      </c>
      <c r="BF78" s="11">
        <f t="shared" ref="BF78" si="24">BF77-BF67</f>
        <v>1.8701818181818199</v>
      </c>
      <c r="BG78" s="11">
        <f t="shared" ref="BG78" si="25">BG77-BG67</f>
        <v>2.1863157894736851</v>
      </c>
      <c r="BH78" s="12">
        <f t="shared" ref="BH78" si="26">BH77-BH67</f>
        <v>1.8486274509803999</v>
      </c>
      <c r="BJ78" s="52" t="s">
        <v>539</v>
      </c>
      <c r="BK78" s="11">
        <f>BK77-BK67</f>
        <v>-9.6126086956520993</v>
      </c>
      <c r="BL78" s="11">
        <f t="shared" ref="BL78" si="27">BL77-BL67</f>
        <v>2.9321212121212201</v>
      </c>
      <c r="BM78" s="11">
        <f>BM77-BM67</f>
        <v>2.5678947368421099</v>
      </c>
      <c r="BN78" s="11">
        <f t="shared" ref="BN78" si="28">BN77-BN67</f>
        <v>0.91952380952380963</v>
      </c>
      <c r="BO78" s="11">
        <f>BO77-BO67</f>
        <v>1.87</v>
      </c>
      <c r="BP78" s="11">
        <f t="shared" ref="BP78" si="29">BP77-BP67</f>
        <v>0.77404761904761976</v>
      </c>
      <c r="BQ78" s="11">
        <f t="shared" ref="BQ78" si="30">BQ77-BQ67</f>
        <v>1.471428571428572</v>
      </c>
      <c r="BR78" s="12">
        <f>BR77-BR67</f>
        <v>0.89627906976744187</v>
      </c>
      <c r="BT78" s="52" t="s">
        <v>539</v>
      </c>
      <c r="BU78" s="11">
        <f>BU77-BU67</f>
        <v>3.3400000000000003</v>
      </c>
      <c r="BV78" s="11">
        <f t="shared" ref="BV78" si="31">BV77-BV67</f>
        <v>5.5622222222222231</v>
      </c>
      <c r="BW78" s="11">
        <f t="shared" ref="BW78" si="32">BW77-BW67</f>
        <v>3.5411111111111118</v>
      </c>
      <c r="BX78" s="11">
        <f t="shared" ref="BX78" si="33">BX77-BX67</f>
        <v>3.7732608695652194</v>
      </c>
      <c r="BY78" s="11">
        <f t="shared" ref="BY78" si="34">BY77-BY67</f>
        <v>3.4702222222222301</v>
      </c>
      <c r="BZ78" s="11">
        <f t="shared" ref="BZ78" si="35">BZ77-BZ67</f>
        <v>1.157142857142857</v>
      </c>
      <c r="CA78" s="11">
        <f t="shared" ref="CA78" si="36">CA77-CA67</f>
        <v>3.418571428571429</v>
      </c>
      <c r="CB78" s="12">
        <f t="shared" ref="CB78" si="37">CB77-CB67</f>
        <v>0.65795918367347994</v>
      </c>
    </row>
    <row r="79" spans="2:80" ht="15.75" thickBot="1">
      <c r="B79" s="44" t="s">
        <v>1421</v>
      </c>
      <c r="C79" s="42">
        <v>2.99</v>
      </c>
      <c r="D79" s="42">
        <v>4.37</v>
      </c>
      <c r="E79" s="42">
        <v>5.33</v>
      </c>
      <c r="F79" s="42">
        <v>5.65</v>
      </c>
      <c r="G79" s="42">
        <v>4.3</v>
      </c>
      <c r="H79" s="42">
        <v>4.9000000000000004</v>
      </c>
      <c r="I79" s="42">
        <v>1.71</v>
      </c>
      <c r="J79" s="46">
        <v>2.2400000000000002</v>
      </c>
      <c r="L79" s="47" t="s">
        <v>525</v>
      </c>
      <c r="M79" s="42">
        <v>2.5449886572674898</v>
      </c>
      <c r="N79" s="42">
        <v>4.8594406387356699</v>
      </c>
      <c r="O79" s="42">
        <v>4.1346811300154096</v>
      </c>
      <c r="P79" s="42">
        <v>4.0207937053808704</v>
      </c>
      <c r="Q79" s="42">
        <v>4.18475546864408</v>
      </c>
      <c r="R79" s="42">
        <v>2.9022179349716302</v>
      </c>
      <c r="S79" s="42">
        <v>2.0629633299388899</v>
      </c>
      <c r="T79" s="46">
        <v>2.7150288827712101</v>
      </c>
      <c r="V79" s="44" t="s">
        <v>1422</v>
      </c>
      <c r="W79" s="42">
        <v>3.89</v>
      </c>
      <c r="X79" s="42">
        <v>4.28</v>
      </c>
      <c r="Y79" s="42">
        <v>4.1100000000000003</v>
      </c>
      <c r="Z79" s="42">
        <v>4.3099999999999996</v>
      </c>
      <c r="AA79" s="42">
        <v>3.53</v>
      </c>
      <c r="AB79" s="42">
        <v>3.12</v>
      </c>
      <c r="AC79" s="42">
        <v>1.67</v>
      </c>
      <c r="AD79" s="46">
        <v>1.29</v>
      </c>
      <c r="AF79" s="44" t="s">
        <v>1423</v>
      </c>
      <c r="AG79" s="42">
        <v>4.1399999999999997</v>
      </c>
      <c r="AH79" s="42">
        <v>6.12</v>
      </c>
      <c r="AI79" s="42">
        <v>3.79</v>
      </c>
      <c r="AJ79" s="42">
        <v>5.17</v>
      </c>
      <c r="AK79" s="42">
        <v>4.82</v>
      </c>
      <c r="AL79" s="42">
        <v>1.82</v>
      </c>
      <c r="AM79" s="42">
        <v>3.76</v>
      </c>
      <c r="AN79" s="46">
        <v>5.04</v>
      </c>
      <c r="AP79" s="53" t="s">
        <v>544</v>
      </c>
      <c r="AQ79" s="14">
        <f>(AQ78/AQ67)*100</f>
        <v>27.245092930346061</v>
      </c>
      <c r="AR79" s="14">
        <f t="shared" ref="AR79" si="38">(AR78/AR67)*100</f>
        <v>260.78659529904627</v>
      </c>
      <c r="AS79" s="14">
        <f>(AS78/AS67)*100</f>
        <v>107.39950195659954</v>
      </c>
      <c r="AT79" s="14">
        <f t="shared" ref="AT79" si="39">(AT78/AT67)*100</f>
        <v>73.533070142231665</v>
      </c>
      <c r="AU79" s="14">
        <f t="shared" ref="AU79" si="40">(AU78/AU67)*100</f>
        <v>200.55696202531769</v>
      </c>
      <c r="AV79" s="14">
        <f>(AV78/AV67)*100</f>
        <v>232.19504447268261</v>
      </c>
      <c r="AW79" s="14">
        <f t="shared" ref="AW79" si="41">(AW78/AW67)*100</f>
        <v>31.477357089829756</v>
      </c>
      <c r="AX79" s="15">
        <f>(AX78/AX67)*100</f>
        <v>-18.8114066618738</v>
      </c>
      <c r="AZ79" s="53" t="s">
        <v>544</v>
      </c>
      <c r="BA79" s="13">
        <f>(BA78/BA67)*100</f>
        <v>420.41922659920488</v>
      </c>
      <c r="BB79" s="14">
        <f t="shared" ref="BB79" si="42">(BB78/BB67)*100</f>
        <v>28.903693314632889</v>
      </c>
      <c r="BC79" s="14">
        <f t="shared" ref="BC79" si="43">(BC78/BC67)*100</f>
        <v>1451.9412381951749</v>
      </c>
      <c r="BD79" s="14">
        <f t="shared" ref="BD79" si="44">(BD78/BD67)*100</f>
        <v>286.65608594799386</v>
      </c>
      <c r="BE79" s="14">
        <f t="shared" ref="BE79" si="45">(BE78/BE67)*100</f>
        <v>128.15584869398114</v>
      </c>
      <c r="BF79" s="14">
        <f t="shared" ref="BF79" si="46">(BF78/BF67)*100</f>
        <v>101.65036070758001</v>
      </c>
      <c r="BG79" s="14">
        <f t="shared" ref="BG79" si="47">(BG78/BG67)*100</f>
        <v>319.78444957659786</v>
      </c>
      <c r="BH79" s="15">
        <f t="shared" ref="BH79" si="48">(BH78/BH67)*100</f>
        <v>153.87628529459937</v>
      </c>
      <c r="BJ79" s="53" t="s">
        <v>544</v>
      </c>
      <c r="BK79" s="14">
        <f>(BK78/BK67)*100</f>
        <v>-71.508506371692704</v>
      </c>
      <c r="BL79" s="14">
        <f t="shared" ref="BL79" si="49">(BL78/BL67)*100</f>
        <v>215.93394331622591</v>
      </c>
      <c r="BM79" s="14">
        <f>(BM78/BM67)*100</f>
        <v>185.79588728103676</v>
      </c>
      <c r="BN79" s="14">
        <f t="shared" ref="BN79" si="50">(BN78/BN67)*100</f>
        <v>26.193705914270215</v>
      </c>
      <c r="BO79" s="14">
        <f t="shared" ref="BO79" si="51">(BO78/BO67)*100</f>
        <v>105.6497175141243</v>
      </c>
      <c r="BP79" s="14">
        <f t="shared" ref="BP79" si="52">(BP78/BP67)*100</f>
        <v>31.517207949588016</v>
      </c>
      <c r="BQ79" s="14">
        <f>(BQ78/BQ67)*100</f>
        <v>643.75000000000182</v>
      </c>
      <c r="BR79" s="15">
        <f>(BR78/BR67)*100</f>
        <v>383.48258706467686</v>
      </c>
      <c r="BT79" s="53" t="s">
        <v>544</v>
      </c>
      <c r="BU79" s="14">
        <f>(BU78/BU67)*100</f>
        <v>392.94117647058829</v>
      </c>
      <c r="BV79" s="14">
        <f t="shared" ref="BV79" si="53">(BV78/BV67)*100</f>
        <v>979.6477495107647</v>
      </c>
      <c r="BW79" s="14">
        <f t="shared" ref="BW79" si="54">(BW78/BW67)*100</f>
        <v>2378.3582089552388</v>
      </c>
      <c r="BX79" s="14">
        <f t="shared" ref="BX79" si="55">(BX78/BX67)*100</f>
        <v>239.30787260444006</v>
      </c>
      <c r="BY79" s="14">
        <f t="shared" ref="BY79" si="56">(BY78/BY67)*100</f>
        <v>171.81208053691378</v>
      </c>
      <c r="BZ79" s="14">
        <f t="shared" ref="BZ79" si="57">(BZ78/BZ67)*100</f>
        <v>167.01030927835049</v>
      </c>
      <c r="CA79" s="14">
        <f t="shared" ref="CA79" si="58">(CA78/CA67)*100</f>
        <v>1134.1232227488169</v>
      </c>
      <c r="CB79" s="15">
        <f t="shared" ref="CB79" si="59">(CB78/CB67)*100</f>
        <v>29.346440924814011</v>
      </c>
    </row>
    <row r="80" spans="2:80" ht="15.75" thickBot="1">
      <c r="B80" s="44" t="s">
        <v>1424</v>
      </c>
      <c r="C80" s="42">
        <v>3.02</v>
      </c>
      <c r="D80" s="42">
        <v>1.33</v>
      </c>
      <c r="E80" s="42">
        <v>5.28</v>
      </c>
      <c r="F80" s="42">
        <v>5.63</v>
      </c>
      <c r="G80" s="42">
        <v>4.3</v>
      </c>
      <c r="H80" s="42">
        <v>2.98</v>
      </c>
      <c r="I80" s="42">
        <v>1.77</v>
      </c>
      <c r="J80" s="46">
        <v>2.2799999999999998</v>
      </c>
      <c r="L80" s="48" t="s">
        <v>937</v>
      </c>
      <c r="M80" s="49">
        <v>2.8431818181818098</v>
      </c>
      <c r="N80" s="49">
        <v>5.4513235294117601</v>
      </c>
      <c r="O80" s="49">
        <v>5.1795081967213097</v>
      </c>
      <c r="P80" s="49">
        <v>5.8268852459016296</v>
      </c>
      <c r="Q80" s="49">
        <v>5.1691666666666602</v>
      </c>
      <c r="R80" s="49">
        <v>3.7189230769230699</v>
      </c>
      <c r="S80" s="49">
        <v>3.0503076923076899</v>
      </c>
      <c r="T80" s="50">
        <v>3.3993333333333302</v>
      </c>
      <c r="V80" s="44" t="s">
        <v>1425</v>
      </c>
      <c r="W80" s="42">
        <v>3.93</v>
      </c>
      <c r="X80" s="42">
        <v>4.28</v>
      </c>
      <c r="Y80" s="42">
        <v>4.21</v>
      </c>
      <c r="Z80" s="42">
        <v>4.33</v>
      </c>
      <c r="AA80" s="42">
        <v>3.59</v>
      </c>
      <c r="AB80" s="42">
        <v>3.11</v>
      </c>
      <c r="AC80" s="42">
        <v>1.61</v>
      </c>
      <c r="AD80" s="46">
        <v>1.21</v>
      </c>
      <c r="AF80" s="44" t="s">
        <v>1426</v>
      </c>
      <c r="AG80" s="42">
        <v>4.1900000000000004</v>
      </c>
      <c r="AH80" s="42">
        <v>6.1</v>
      </c>
      <c r="AI80" s="42">
        <v>3.77</v>
      </c>
      <c r="AJ80" s="42">
        <v>5.17</v>
      </c>
      <c r="AK80" s="42">
        <v>5.43</v>
      </c>
      <c r="AL80" s="42">
        <v>1.86</v>
      </c>
      <c r="AM80" s="42">
        <v>3.76</v>
      </c>
      <c r="AN80" s="46">
        <v>3.08</v>
      </c>
    </row>
    <row r="81" spans="2:40" ht="15.75" thickBot="1">
      <c r="B81" s="44" t="s">
        <v>1427</v>
      </c>
      <c r="C81" s="42">
        <v>3.02</v>
      </c>
      <c r="D81" s="42">
        <v>0</v>
      </c>
      <c r="E81" s="42">
        <v>5.27</v>
      </c>
      <c r="F81" s="42">
        <v>5.63</v>
      </c>
      <c r="G81" s="42">
        <v>4.34</v>
      </c>
      <c r="H81" s="42">
        <v>4.8099999999999996</v>
      </c>
      <c r="I81" s="42">
        <v>1.74</v>
      </c>
      <c r="J81" s="46">
        <v>2.25</v>
      </c>
      <c r="V81" s="44" t="s">
        <v>1428</v>
      </c>
      <c r="W81" s="42">
        <v>3.88</v>
      </c>
      <c r="X81" s="42">
        <v>4.26</v>
      </c>
      <c r="Y81" s="42">
        <v>4.2</v>
      </c>
      <c r="Z81" s="42">
        <v>4.32</v>
      </c>
      <c r="AA81" s="42">
        <v>3.61</v>
      </c>
      <c r="AB81" s="42">
        <v>3.12</v>
      </c>
      <c r="AC81" s="42">
        <v>1.65</v>
      </c>
      <c r="AD81" s="46">
        <v>1.26</v>
      </c>
      <c r="AF81" s="44" t="s">
        <v>1429</v>
      </c>
      <c r="AG81" s="42">
        <v>4.16</v>
      </c>
      <c r="AH81" s="42">
        <v>6.04</v>
      </c>
      <c r="AI81" s="42">
        <v>3.8</v>
      </c>
      <c r="AJ81" s="42">
        <v>5.19</v>
      </c>
      <c r="AK81" s="42">
        <v>0.25</v>
      </c>
      <c r="AL81" s="42">
        <v>1.86</v>
      </c>
      <c r="AM81" s="42">
        <v>3.78</v>
      </c>
      <c r="AN81" s="46">
        <v>3.09</v>
      </c>
    </row>
    <row r="82" spans="2:40" ht="30">
      <c r="B82" s="44" t="s">
        <v>1430</v>
      </c>
      <c r="C82" s="42">
        <v>3.01</v>
      </c>
      <c r="D82" s="42">
        <v>4.41</v>
      </c>
      <c r="E82" s="42">
        <v>5.3</v>
      </c>
      <c r="F82" s="42">
        <v>5.63</v>
      </c>
      <c r="G82" s="42">
        <v>1.77</v>
      </c>
      <c r="H82" s="42">
        <v>4.84</v>
      </c>
      <c r="I82" s="42">
        <v>1.78</v>
      </c>
      <c r="J82" s="46">
        <v>2.29</v>
      </c>
      <c r="L82" s="82" t="s">
        <v>534</v>
      </c>
      <c r="M82" s="8">
        <v>2.88</v>
      </c>
      <c r="N82" s="8">
        <v>5.31</v>
      </c>
      <c r="O82" s="8">
        <v>5.04</v>
      </c>
      <c r="P82" s="8">
        <v>6.21</v>
      </c>
      <c r="Q82" s="8">
        <v>5.29</v>
      </c>
      <c r="R82" s="8">
        <v>3.65</v>
      </c>
      <c r="S82" s="8">
        <v>2.85</v>
      </c>
      <c r="T82" s="9">
        <v>3.06</v>
      </c>
      <c r="V82" s="44" t="s">
        <v>1431</v>
      </c>
      <c r="W82" s="42">
        <v>3.92</v>
      </c>
      <c r="X82" s="42">
        <v>4.2699999999999996</v>
      </c>
      <c r="Y82" s="42">
        <v>3.18</v>
      </c>
      <c r="Z82" s="42">
        <v>0.54</v>
      </c>
      <c r="AA82" s="42">
        <v>3.64</v>
      </c>
      <c r="AB82" s="42">
        <v>3.14</v>
      </c>
      <c r="AC82" s="42">
        <v>1.65</v>
      </c>
      <c r="AD82" s="46">
        <v>1.29</v>
      </c>
      <c r="AF82" s="44" t="s">
        <v>1432</v>
      </c>
      <c r="AG82" s="42">
        <v>4.1399999999999997</v>
      </c>
      <c r="AH82" s="42">
        <v>6.06</v>
      </c>
      <c r="AI82" s="42">
        <v>3.78</v>
      </c>
      <c r="AJ82" s="42">
        <v>2</v>
      </c>
      <c r="AK82" s="42">
        <v>5.44</v>
      </c>
      <c r="AL82" s="42">
        <v>1.86</v>
      </c>
      <c r="AM82" s="42">
        <v>3.73</v>
      </c>
      <c r="AN82" s="46">
        <v>3.17</v>
      </c>
    </row>
    <row r="83" spans="2:40">
      <c r="B83" s="44" t="s">
        <v>1433</v>
      </c>
      <c r="C83" s="42">
        <v>3.01</v>
      </c>
      <c r="D83" s="42">
        <v>4.38</v>
      </c>
      <c r="E83" s="42">
        <v>5.29</v>
      </c>
      <c r="F83" s="42">
        <v>5.61</v>
      </c>
      <c r="G83" s="42">
        <v>4.29</v>
      </c>
      <c r="H83" s="42">
        <v>4.8099999999999996</v>
      </c>
      <c r="I83" s="42">
        <v>1.76</v>
      </c>
      <c r="J83" s="46">
        <v>2.23</v>
      </c>
      <c r="L83" s="52" t="s">
        <v>945</v>
      </c>
      <c r="M83" s="11">
        <f>M82-M80</f>
        <v>3.6818181818190077E-2</v>
      </c>
      <c r="N83" s="11">
        <f t="shared" ref="N83:T83" si="60">N82-N80</f>
        <v>-0.14132352941176052</v>
      </c>
      <c r="O83" s="11">
        <f t="shared" si="60"/>
        <v>-0.13950819672130965</v>
      </c>
      <c r="P83" s="11">
        <f t="shared" si="60"/>
        <v>0.38311475409837037</v>
      </c>
      <c r="Q83" s="11">
        <f>Q82-Q80</f>
        <v>0.12083333333333979</v>
      </c>
      <c r="R83" s="11">
        <f>R82-R80</f>
        <v>-6.8923076923069981E-2</v>
      </c>
      <c r="S83" s="11">
        <f t="shared" si="60"/>
        <v>-0.20030769230768986</v>
      </c>
      <c r="T83" s="12">
        <f t="shared" si="60"/>
        <v>-0.33933333333333016</v>
      </c>
      <c r="V83" s="44" t="s">
        <v>1434</v>
      </c>
      <c r="W83" s="42">
        <v>3.92</v>
      </c>
      <c r="X83" s="42">
        <v>4.26</v>
      </c>
      <c r="Y83" s="42">
        <v>4.24</v>
      </c>
      <c r="Z83" s="42">
        <v>4.3</v>
      </c>
      <c r="AA83" s="42">
        <v>3.61</v>
      </c>
      <c r="AB83" s="42">
        <v>3.11</v>
      </c>
      <c r="AC83" s="42">
        <v>1.63</v>
      </c>
      <c r="AD83" s="46">
        <v>1.28</v>
      </c>
      <c r="AF83" s="44" t="s">
        <v>1435</v>
      </c>
      <c r="AG83" s="42">
        <v>4.1500000000000004</v>
      </c>
      <c r="AH83" s="42">
        <v>6.15</v>
      </c>
      <c r="AI83" s="42">
        <v>0.25</v>
      </c>
      <c r="AJ83" s="42">
        <v>4.49</v>
      </c>
      <c r="AK83" s="42">
        <v>5.44</v>
      </c>
      <c r="AL83" s="42">
        <v>1.84</v>
      </c>
      <c r="AM83" s="42">
        <v>3.74</v>
      </c>
      <c r="AN83" s="46">
        <v>3.11</v>
      </c>
    </row>
    <row r="84" spans="2:40" ht="15.75" thickBot="1">
      <c r="B84" s="44" t="s">
        <v>1436</v>
      </c>
      <c r="C84" s="42">
        <v>3.04</v>
      </c>
      <c r="D84" s="42">
        <v>4.37</v>
      </c>
      <c r="E84" s="42">
        <v>5.29</v>
      </c>
      <c r="F84" s="42">
        <v>5.65</v>
      </c>
      <c r="G84" s="42">
        <v>4.32</v>
      </c>
      <c r="H84" s="42">
        <v>4.8499999999999996</v>
      </c>
      <c r="I84" s="42">
        <v>1.74</v>
      </c>
      <c r="J84" s="46">
        <v>2.27</v>
      </c>
      <c r="L84" s="53" t="s">
        <v>946</v>
      </c>
      <c r="M84" s="14">
        <f>(M83/M80)*100</f>
        <v>1.2949640287772728</v>
      </c>
      <c r="N84" s="14">
        <f t="shared" ref="N84:S84" si="61">(N83/N80)*100</f>
        <v>-2.5924627046857815</v>
      </c>
      <c r="O84" s="14">
        <f t="shared" si="61"/>
        <v>-2.6934641557208079</v>
      </c>
      <c r="P84" s="14">
        <f t="shared" si="61"/>
        <v>6.574949358541704</v>
      </c>
      <c r="Q84" s="14">
        <f t="shared" si="61"/>
        <v>2.3375785910044806</v>
      </c>
      <c r="R84" s="14">
        <f t="shared" si="61"/>
        <v>-1.8533074090926063</v>
      </c>
      <c r="S84" s="14">
        <f t="shared" si="61"/>
        <v>-6.5668028446057649</v>
      </c>
      <c r="T84" s="15">
        <f>(T83/T80)*100</f>
        <v>-9.9823494802901696</v>
      </c>
      <c r="V84" s="44" t="s">
        <v>1437</v>
      </c>
      <c r="W84" s="42">
        <v>3.94</v>
      </c>
      <c r="X84" s="42">
        <v>4.3</v>
      </c>
      <c r="Y84" s="42">
        <v>4.12</v>
      </c>
      <c r="Z84" s="42">
        <v>4.29</v>
      </c>
      <c r="AA84" s="42">
        <v>3.62</v>
      </c>
      <c r="AB84" s="42">
        <v>3.11</v>
      </c>
      <c r="AC84" s="42">
        <v>1.64</v>
      </c>
      <c r="AD84" s="46">
        <v>1.17</v>
      </c>
      <c r="AF84" s="44" t="s">
        <v>1438</v>
      </c>
      <c r="AG84" s="42">
        <v>4.1399999999999997</v>
      </c>
      <c r="AH84" s="42">
        <v>6.17</v>
      </c>
      <c r="AI84" s="42">
        <v>3.77</v>
      </c>
      <c r="AJ84" s="42">
        <v>5.12</v>
      </c>
      <c r="AK84" s="42">
        <v>5.47</v>
      </c>
      <c r="AL84" s="42">
        <v>1.85</v>
      </c>
      <c r="AM84" s="42">
        <v>3.78</v>
      </c>
      <c r="AN84" s="46">
        <v>3.03</v>
      </c>
    </row>
    <row r="85" spans="2:40" ht="15.75" thickBot="1">
      <c r="B85" s="44" t="s">
        <v>1439</v>
      </c>
      <c r="C85" s="42">
        <v>2.96</v>
      </c>
      <c r="D85" s="42">
        <v>4.38</v>
      </c>
      <c r="E85" s="42">
        <v>5.3</v>
      </c>
      <c r="F85" s="42">
        <v>5.65</v>
      </c>
      <c r="G85" s="42">
        <v>4.3099999999999996</v>
      </c>
      <c r="H85" s="42">
        <v>4.83</v>
      </c>
      <c r="I85" s="42">
        <v>1.77</v>
      </c>
      <c r="J85" s="46">
        <v>2.2400000000000002</v>
      </c>
      <c r="V85" s="44" t="s">
        <v>1440</v>
      </c>
      <c r="W85" s="42">
        <v>3.92</v>
      </c>
      <c r="X85" s="42">
        <v>4.26</v>
      </c>
      <c r="Y85" s="42">
        <v>4.18</v>
      </c>
      <c r="Z85" s="42">
        <v>4.26</v>
      </c>
      <c r="AA85" s="42">
        <v>3.6</v>
      </c>
      <c r="AB85" s="42">
        <v>3.12</v>
      </c>
      <c r="AC85" s="42">
        <v>1.61</v>
      </c>
      <c r="AD85" s="46">
        <v>1.23</v>
      </c>
      <c r="AF85" s="44" t="s">
        <v>1441</v>
      </c>
      <c r="AG85" s="42">
        <v>4.1500000000000004</v>
      </c>
      <c r="AH85" s="42">
        <v>3.63</v>
      </c>
      <c r="AI85" s="42">
        <v>3.74</v>
      </c>
      <c r="AJ85" s="42">
        <v>5.15</v>
      </c>
      <c r="AK85" s="42">
        <v>3.32</v>
      </c>
      <c r="AL85" s="42">
        <v>1.84</v>
      </c>
      <c r="AM85" s="42">
        <v>3.78</v>
      </c>
      <c r="AN85" s="46">
        <v>0</v>
      </c>
    </row>
    <row r="86" spans="2:40" ht="30">
      <c r="B86" s="44" t="s">
        <v>1442</v>
      </c>
      <c r="C86" s="42">
        <v>2.99</v>
      </c>
      <c r="D86" s="42">
        <v>4.42</v>
      </c>
      <c r="E86" s="42">
        <v>5.27</v>
      </c>
      <c r="F86" s="42">
        <v>4.66</v>
      </c>
      <c r="G86" s="42">
        <v>4.32</v>
      </c>
      <c r="H86" s="42">
        <v>4.8499999999999996</v>
      </c>
      <c r="I86" s="42">
        <v>1.76</v>
      </c>
      <c r="J86" s="46">
        <v>2.2200000000000002</v>
      </c>
      <c r="L86" s="82" t="s">
        <v>553</v>
      </c>
      <c r="M86" s="8">
        <v>2.84</v>
      </c>
      <c r="N86" s="8">
        <v>5.41</v>
      </c>
      <c r="O86" s="8">
        <v>5.0999999999999996</v>
      </c>
      <c r="P86" s="8">
        <v>6.17</v>
      </c>
      <c r="Q86" s="8">
        <v>5.33</v>
      </c>
      <c r="R86" s="8">
        <v>3.65</v>
      </c>
      <c r="S86" s="8">
        <v>2.94</v>
      </c>
      <c r="T86" s="9">
        <v>3.12</v>
      </c>
      <c r="V86" s="44" t="s">
        <v>1443</v>
      </c>
      <c r="W86" s="42">
        <v>3.94</v>
      </c>
      <c r="X86" s="42">
        <v>4.26</v>
      </c>
      <c r="Y86" s="42">
        <v>4.1100000000000003</v>
      </c>
      <c r="Z86" s="42">
        <v>4.29</v>
      </c>
      <c r="AA86" s="42">
        <v>3.63</v>
      </c>
      <c r="AB86" s="42">
        <v>3.13</v>
      </c>
      <c r="AC86" s="42">
        <v>1.66</v>
      </c>
      <c r="AD86" s="46">
        <v>1.19</v>
      </c>
      <c r="AF86" s="44" t="s">
        <v>1444</v>
      </c>
      <c r="AG86" s="42">
        <v>4.16</v>
      </c>
      <c r="AH86" s="42">
        <v>6.11</v>
      </c>
      <c r="AI86" s="42">
        <v>3.79</v>
      </c>
      <c r="AJ86" s="42">
        <v>5.15</v>
      </c>
      <c r="AK86" s="42">
        <v>5.44</v>
      </c>
      <c r="AL86" s="42">
        <v>1.84</v>
      </c>
      <c r="AM86" s="42">
        <v>3.76</v>
      </c>
      <c r="AN86" s="46">
        <v>3.13</v>
      </c>
    </row>
    <row r="87" spans="2:40">
      <c r="B87" s="44" t="s">
        <v>1445</v>
      </c>
      <c r="C87" s="42">
        <v>2.98</v>
      </c>
      <c r="D87" s="42">
        <v>4.37</v>
      </c>
      <c r="E87" s="42">
        <v>5.29</v>
      </c>
      <c r="F87" s="42">
        <v>3.39</v>
      </c>
      <c r="G87" s="42">
        <v>4.3499999999999996</v>
      </c>
      <c r="H87" s="42">
        <v>4.8499999999999996</v>
      </c>
      <c r="I87" s="42">
        <v>1.74</v>
      </c>
      <c r="J87" s="46">
        <v>2.2999999999999998</v>
      </c>
      <c r="L87" s="52" t="s">
        <v>539</v>
      </c>
      <c r="M87" s="11">
        <f>M86-M80</f>
        <v>-3.1818181818099589E-3</v>
      </c>
      <c r="N87" s="11">
        <f t="shared" ref="N87:S87" si="62">N86-N80</f>
        <v>-4.1323529411759985E-2</v>
      </c>
      <c r="O87" s="11">
        <f t="shared" si="62"/>
        <v>-7.9508196721310043E-2</v>
      </c>
      <c r="P87" s="11">
        <f t="shared" si="62"/>
        <v>0.34311475409837033</v>
      </c>
      <c r="Q87" s="11">
        <f>Q86-Q80</f>
        <v>0.16083333333333982</v>
      </c>
      <c r="R87" s="11">
        <f t="shared" si="62"/>
        <v>-6.8923076923069981E-2</v>
      </c>
      <c r="S87" s="11">
        <f t="shared" si="62"/>
        <v>-0.11030769230769</v>
      </c>
      <c r="T87" s="12">
        <f>T86-T80</f>
        <v>-0.2793333333333301</v>
      </c>
      <c r="V87" s="44" t="s">
        <v>1446</v>
      </c>
      <c r="W87" s="42">
        <v>3.92</v>
      </c>
      <c r="X87" s="42">
        <v>4.25</v>
      </c>
      <c r="Y87" s="42">
        <v>2.62</v>
      </c>
      <c r="Z87" s="42">
        <v>4.32</v>
      </c>
      <c r="AA87" s="42">
        <v>1.05</v>
      </c>
      <c r="AB87" s="42">
        <v>3.16</v>
      </c>
      <c r="AC87" s="42">
        <v>1.64</v>
      </c>
      <c r="AD87" s="46">
        <v>1.23</v>
      </c>
      <c r="AF87" s="44" t="s">
        <v>1447</v>
      </c>
      <c r="AG87" s="42">
        <v>4.13</v>
      </c>
      <c r="AH87" s="42">
        <v>6.17</v>
      </c>
      <c r="AI87" s="42">
        <v>3.75</v>
      </c>
      <c r="AJ87" s="42">
        <v>5.14</v>
      </c>
      <c r="AK87" s="42">
        <v>3.79</v>
      </c>
      <c r="AL87" s="42">
        <v>1.83</v>
      </c>
      <c r="AM87" s="42">
        <v>3.76</v>
      </c>
      <c r="AN87" s="46">
        <v>3.14</v>
      </c>
    </row>
    <row r="88" spans="2:40" ht="15.75" thickBot="1">
      <c r="B88" s="44" t="s">
        <v>1448</v>
      </c>
      <c r="C88" s="42">
        <v>3.01</v>
      </c>
      <c r="D88" s="42">
        <v>4.38</v>
      </c>
      <c r="E88" s="42">
        <v>5.3</v>
      </c>
      <c r="F88" s="42">
        <v>5.65</v>
      </c>
      <c r="G88" s="42">
        <v>4.3499999999999996</v>
      </c>
      <c r="H88" s="42">
        <v>3.14</v>
      </c>
      <c r="I88" s="42">
        <v>1.73</v>
      </c>
      <c r="J88" s="46">
        <v>2.29</v>
      </c>
      <c r="L88" s="53" t="s">
        <v>544</v>
      </c>
      <c r="M88" s="14">
        <f>(M87/M80)*100</f>
        <v>-0.11191047162241297</v>
      </c>
      <c r="N88" s="14">
        <f>(N87/N80)*100</f>
        <v>-0.75804580646893127</v>
      </c>
      <c r="O88" s="14">
        <f>(O87/O80)*100</f>
        <v>-1.5350530147174914</v>
      </c>
      <c r="P88" s="14">
        <f>(P87/P80)*100</f>
        <v>5.8884762547829803</v>
      </c>
      <c r="Q88" s="14">
        <f t="shared" ref="Q88:S88" si="63">(Q87/Q80)*100</f>
        <v>3.1113977107852331</v>
      </c>
      <c r="R88" s="14">
        <f>(R87/R80)*100</f>
        <v>-1.8533074090926063</v>
      </c>
      <c r="S88" s="14">
        <f t="shared" si="63"/>
        <v>-3.6162808291722679</v>
      </c>
      <c r="T88" s="15">
        <f>(T87/T80)*100</f>
        <v>-8.2172975093154648</v>
      </c>
      <c r="V88" s="44" t="s">
        <v>1449</v>
      </c>
      <c r="W88" s="42">
        <v>3.91</v>
      </c>
      <c r="X88" s="42">
        <v>4.3</v>
      </c>
      <c r="Y88" s="42">
        <v>4.1500000000000004</v>
      </c>
      <c r="Z88" s="42">
        <v>4.3</v>
      </c>
      <c r="AA88" s="42">
        <v>3.6</v>
      </c>
      <c r="AB88" s="42">
        <v>0.75</v>
      </c>
      <c r="AC88" s="42">
        <v>1.64</v>
      </c>
      <c r="AD88" s="46">
        <v>1.1499999999999999</v>
      </c>
      <c r="AF88" s="44" t="s">
        <v>1450</v>
      </c>
      <c r="AG88" s="42">
        <v>4.1399999999999997</v>
      </c>
      <c r="AH88" s="42">
        <v>6.11</v>
      </c>
      <c r="AI88" s="42">
        <v>3.76</v>
      </c>
      <c r="AJ88" s="42">
        <v>5.15</v>
      </c>
      <c r="AK88" s="42">
        <v>4.8899999999999997</v>
      </c>
      <c r="AL88" s="42">
        <v>1.82</v>
      </c>
      <c r="AM88" s="42">
        <v>3.77</v>
      </c>
      <c r="AN88" s="46">
        <v>3.1</v>
      </c>
    </row>
    <row r="89" spans="2:40" ht="15.75" thickBot="1">
      <c r="B89" s="44" t="s">
        <v>1451</v>
      </c>
      <c r="C89" s="42">
        <v>3</v>
      </c>
      <c r="D89" s="42">
        <v>99.99</v>
      </c>
      <c r="E89" s="42">
        <v>5.3</v>
      </c>
      <c r="F89" s="42">
        <v>5.63</v>
      </c>
      <c r="G89" s="42">
        <v>4.33</v>
      </c>
      <c r="H89" s="42">
        <v>4.8</v>
      </c>
      <c r="I89" s="42">
        <v>1.72</v>
      </c>
      <c r="J89" s="46">
        <v>3.26</v>
      </c>
      <c r="V89" s="44" t="s">
        <v>1452</v>
      </c>
      <c r="W89" s="42">
        <v>3.92</v>
      </c>
      <c r="X89" s="42">
        <v>4.28</v>
      </c>
      <c r="Y89" s="42">
        <v>4.16</v>
      </c>
      <c r="Z89" s="42">
        <v>4.25</v>
      </c>
      <c r="AA89" s="42">
        <v>2.59</v>
      </c>
      <c r="AB89" s="42">
        <v>3.15</v>
      </c>
      <c r="AC89" s="42">
        <v>1.63</v>
      </c>
      <c r="AD89" s="46">
        <v>1.23</v>
      </c>
      <c r="AF89" s="44" t="s">
        <v>1453</v>
      </c>
      <c r="AG89" s="42">
        <v>4.1399999999999997</v>
      </c>
      <c r="AH89" s="42">
        <v>6.11</v>
      </c>
      <c r="AI89" s="42">
        <v>3.79</v>
      </c>
      <c r="AJ89" s="42">
        <v>1.83</v>
      </c>
      <c r="AK89" s="42">
        <v>5.49</v>
      </c>
      <c r="AL89" s="42">
        <v>1.85</v>
      </c>
      <c r="AM89" s="42">
        <v>3.73</v>
      </c>
      <c r="AN89" s="46">
        <v>0</v>
      </c>
    </row>
    <row r="90" spans="2:40" ht="30">
      <c r="B90" s="44" t="s">
        <v>1454</v>
      </c>
      <c r="C90" s="42">
        <v>3</v>
      </c>
      <c r="D90" s="42">
        <v>4.3899999999999997</v>
      </c>
      <c r="E90" s="42">
        <v>5.31</v>
      </c>
      <c r="F90" s="42">
        <v>5.6</v>
      </c>
      <c r="G90" s="42">
        <v>4.32</v>
      </c>
      <c r="H90" s="42">
        <v>4.8600000000000003</v>
      </c>
      <c r="I90" s="42">
        <v>1.72</v>
      </c>
      <c r="J90" s="46">
        <v>3.26</v>
      </c>
      <c r="L90" s="82" t="s">
        <v>568</v>
      </c>
      <c r="M90" s="7">
        <v>2.88</v>
      </c>
      <c r="N90" s="8">
        <v>5.38</v>
      </c>
      <c r="O90" s="8">
        <v>5.0999999999999996</v>
      </c>
      <c r="P90" s="8">
        <v>6.21</v>
      </c>
      <c r="Q90" s="8">
        <v>5.33</v>
      </c>
      <c r="R90" s="8">
        <v>3.71</v>
      </c>
      <c r="S90" s="8">
        <v>2.87</v>
      </c>
      <c r="T90" s="9">
        <v>3.05</v>
      </c>
      <c r="V90" s="44" t="s">
        <v>1455</v>
      </c>
      <c r="W90" s="42">
        <v>3.9</v>
      </c>
      <c r="X90" s="42">
        <v>4.25</v>
      </c>
      <c r="Y90" s="42">
        <v>4.17</v>
      </c>
      <c r="Z90" s="42">
        <v>4.3099999999999996</v>
      </c>
      <c r="AA90" s="42">
        <v>3.63</v>
      </c>
      <c r="AB90" s="42">
        <v>3.09</v>
      </c>
      <c r="AC90" s="42">
        <v>1.63</v>
      </c>
      <c r="AD90" s="46">
        <v>1.25</v>
      </c>
      <c r="AF90" s="44" t="s">
        <v>1456</v>
      </c>
      <c r="AG90" s="42">
        <v>4.16</v>
      </c>
      <c r="AH90" s="42">
        <v>6.08</v>
      </c>
      <c r="AI90" s="42">
        <v>3.77</v>
      </c>
      <c r="AJ90" s="42">
        <v>5.13</v>
      </c>
      <c r="AK90" s="42">
        <v>4.92</v>
      </c>
      <c r="AL90" s="42">
        <v>1.84</v>
      </c>
      <c r="AM90" s="42">
        <v>3.73</v>
      </c>
      <c r="AN90" s="46">
        <v>3.18</v>
      </c>
    </row>
    <row r="91" spans="2:40">
      <c r="B91" s="44" t="s">
        <v>1457</v>
      </c>
      <c r="C91" s="42">
        <v>3.02</v>
      </c>
      <c r="D91" s="42">
        <v>4.4000000000000004</v>
      </c>
      <c r="E91" s="42">
        <v>5.3</v>
      </c>
      <c r="F91" s="42">
        <v>4.1399999999999997</v>
      </c>
      <c r="G91" s="42">
        <v>4.33</v>
      </c>
      <c r="H91" s="42">
        <v>4.17</v>
      </c>
      <c r="I91" s="42">
        <v>1.76</v>
      </c>
      <c r="J91" s="46">
        <v>2.2599999999999998</v>
      </c>
      <c r="L91" s="52" t="s">
        <v>539</v>
      </c>
      <c r="M91" s="10">
        <f>M90-M80</f>
        <v>3.6818181818190077E-2</v>
      </c>
      <c r="N91" s="11">
        <f t="shared" ref="N91:T91" si="64">N90-N80</f>
        <v>-7.1323529411760234E-2</v>
      </c>
      <c r="O91" s="11">
        <f t="shared" si="64"/>
        <v>-7.9508196721310043E-2</v>
      </c>
      <c r="P91" s="11">
        <f t="shared" si="64"/>
        <v>0.38311475409837037</v>
      </c>
      <c r="Q91" s="11">
        <f t="shared" si="64"/>
        <v>0.16083333333333982</v>
      </c>
      <c r="R91" s="11">
        <f t="shared" si="64"/>
        <v>-8.9230769230699281E-3</v>
      </c>
      <c r="S91" s="11">
        <f t="shared" si="64"/>
        <v>-0.18030769230768984</v>
      </c>
      <c r="T91" s="12">
        <f t="shared" si="64"/>
        <v>-0.34933333333333039</v>
      </c>
      <c r="V91" s="44" t="s">
        <v>1458</v>
      </c>
      <c r="W91" s="42">
        <v>3.94</v>
      </c>
      <c r="X91" s="42">
        <v>4.29</v>
      </c>
      <c r="Y91" s="42">
        <v>0.81</v>
      </c>
      <c r="Z91" s="42">
        <v>4.26</v>
      </c>
      <c r="AA91" s="42">
        <v>3.61</v>
      </c>
      <c r="AB91" s="42">
        <v>3.1</v>
      </c>
      <c r="AC91" s="42">
        <v>1.65</v>
      </c>
      <c r="AD91" s="46">
        <v>1.2</v>
      </c>
      <c r="AF91" s="44" t="s">
        <v>1459</v>
      </c>
      <c r="AG91" s="42">
        <v>4.17</v>
      </c>
      <c r="AH91" s="42">
        <v>6.07</v>
      </c>
      <c r="AI91" s="42">
        <v>3.78</v>
      </c>
      <c r="AJ91" s="42">
        <v>0.41</v>
      </c>
      <c r="AK91" s="42">
        <v>5.44</v>
      </c>
      <c r="AL91" s="42">
        <v>1.84</v>
      </c>
      <c r="AM91" s="42">
        <v>3.74</v>
      </c>
      <c r="AN91" s="46">
        <v>0</v>
      </c>
    </row>
    <row r="92" spans="2:40" ht="15.75" thickBot="1">
      <c r="B92" s="44" t="s">
        <v>1460</v>
      </c>
      <c r="C92" s="42">
        <v>3.03</v>
      </c>
      <c r="D92" s="42">
        <v>4.3899999999999997</v>
      </c>
      <c r="E92" s="42">
        <v>5.28</v>
      </c>
      <c r="F92" s="42">
        <v>5.61</v>
      </c>
      <c r="G92" s="42">
        <v>4.33</v>
      </c>
      <c r="H92" s="42">
        <v>4.8499999999999996</v>
      </c>
      <c r="I92" s="42">
        <v>1.72</v>
      </c>
      <c r="J92" s="46">
        <v>2.21</v>
      </c>
      <c r="L92" s="53" t="s">
        <v>544</v>
      </c>
      <c r="M92" s="13">
        <f>(M91/M80)*100</f>
        <v>1.2949640287772728</v>
      </c>
      <c r="N92" s="14">
        <f t="shared" ref="N92:T92" si="65">(N91/N80)*100</f>
        <v>-1.308370875933988</v>
      </c>
      <c r="O92" s="14">
        <f t="shared" si="65"/>
        <v>-1.5350530147174914</v>
      </c>
      <c r="P92" s="14">
        <f t="shared" si="65"/>
        <v>6.574949358541704</v>
      </c>
      <c r="Q92" s="14">
        <f t="shared" si="65"/>
        <v>3.1113977107852331</v>
      </c>
      <c r="R92" s="14">
        <f t="shared" si="65"/>
        <v>-0.23993711992700384</v>
      </c>
      <c r="S92" s="14">
        <f t="shared" si="65"/>
        <v>-5.9111312856205416</v>
      </c>
      <c r="T92" s="15">
        <f t="shared" si="65"/>
        <v>-10.276524808785959</v>
      </c>
      <c r="V92" s="44" t="s">
        <v>1461</v>
      </c>
      <c r="W92" s="42">
        <v>3.9</v>
      </c>
      <c r="X92" s="42">
        <v>4.3</v>
      </c>
      <c r="Y92" s="42">
        <v>4.1900000000000004</v>
      </c>
      <c r="Z92" s="42">
        <v>4.32</v>
      </c>
      <c r="AA92" s="42">
        <v>3.66</v>
      </c>
      <c r="AB92" s="42">
        <v>3.11</v>
      </c>
      <c r="AC92" s="42">
        <v>1.62</v>
      </c>
      <c r="AD92" s="46">
        <v>1.24</v>
      </c>
      <c r="AF92" s="44" t="s">
        <v>1462</v>
      </c>
      <c r="AG92" s="42">
        <v>4.17</v>
      </c>
      <c r="AH92" s="42">
        <v>6.15</v>
      </c>
      <c r="AI92" s="42">
        <v>3.79</v>
      </c>
      <c r="AJ92" s="42">
        <v>5.16</v>
      </c>
      <c r="AK92" s="42">
        <v>5.44</v>
      </c>
      <c r="AL92" s="42">
        <v>1.83</v>
      </c>
      <c r="AM92" s="42">
        <v>3.77</v>
      </c>
      <c r="AN92" s="46">
        <v>0</v>
      </c>
    </row>
    <row r="93" spans="2:40">
      <c r="B93" s="44" t="s">
        <v>1463</v>
      </c>
      <c r="C93" s="42">
        <v>3.02</v>
      </c>
      <c r="D93" s="42">
        <v>4.37</v>
      </c>
      <c r="E93" s="42">
        <v>5.3</v>
      </c>
      <c r="F93" s="42">
        <v>5.63</v>
      </c>
      <c r="G93" s="42">
        <v>4.34</v>
      </c>
      <c r="H93" s="42">
        <v>4.84</v>
      </c>
      <c r="I93" s="42">
        <v>1.79</v>
      </c>
      <c r="J93" s="46">
        <v>0.83</v>
      </c>
      <c r="V93" s="44" t="s">
        <v>1464</v>
      </c>
      <c r="W93" s="42">
        <v>3.93</v>
      </c>
      <c r="X93" s="42">
        <v>3.11</v>
      </c>
      <c r="Y93" s="42">
        <v>4.13</v>
      </c>
      <c r="Z93" s="42">
        <v>4.29</v>
      </c>
      <c r="AA93" s="42">
        <v>3.59</v>
      </c>
      <c r="AB93" s="42">
        <v>3.12</v>
      </c>
      <c r="AC93" s="42">
        <v>1.65</v>
      </c>
      <c r="AD93" s="46">
        <v>1.22</v>
      </c>
      <c r="AF93" s="44" t="s">
        <v>1465</v>
      </c>
      <c r="AG93" s="42">
        <v>4.1500000000000004</v>
      </c>
      <c r="AH93" s="42">
        <v>6.08</v>
      </c>
      <c r="AI93" s="42">
        <v>3.77</v>
      </c>
      <c r="AJ93" s="42">
        <v>5.17</v>
      </c>
      <c r="AK93" s="42">
        <v>5.45</v>
      </c>
      <c r="AL93" s="42">
        <v>1.85</v>
      </c>
      <c r="AM93" s="42">
        <v>3.74</v>
      </c>
      <c r="AN93" s="46">
        <v>0</v>
      </c>
    </row>
    <row r="94" spans="2:40">
      <c r="B94" s="44" t="s">
        <v>1466</v>
      </c>
      <c r="C94" s="42">
        <v>3.01</v>
      </c>
      <c r="D94" s="42">
        <v>4.3899999999999997</v>
      </c>
      <c r="E94" s="42">
        <v>5.31</v>
      </c>
      <c r="F94" s="42">
        <v>5.62</v>
      </c>
      <c r="G94" s="42">
        <v>4.33</v>
      </c>
      <c r="H94" s="42">
        <v>4.84</v>
      </c>
      <c r="I94" s="42">
        <v>1.74</v>
      </c>
      <c r="J94" s="46">
        <v>2.27</v>
      </c>
      <c r="V94" s="44" t="s">
        <v>1467</v>
      </c>
      <c r="W94" s="42">
        <v>3.93</v>
      </c>
      <c r="X94" s="42">
        <v>1.1599999999999999</v>
      </c>
      <c r="Y94" s="42">
        <v>3.49</v>
      </c>
      <c r="Z94" s="42">
        <v>4.3099999999999996</v>
      </c>
      <c r="AA94" s="42">
        <v>3.57</v>
      </c>
      <c r="AB94" s="42">
        <v>3.1</v>
      </c>
      <c r="AC94" s="42">
        <v>0.11</v>
      </c>
      <c r="AD94" s="46">
        <v>1.24</v>
      </c>
      <c r="AF94" s="44" t="s">
        <v>1468</v>
      </c>
      <c r="AG94" s="42">
        <v>4.2</v>
      </c>
      <c r="AH94" s="42">
        <v>6.07</v>
      </c>
      <c r="AI94" s="42">
        <v>3.76</v>
      </c>
      <c r="AJ94" s="42">
        <v>5.1100000000000003</v>
      </c>
      <c r="AK94" s="42">
        <v>5.42</v>
      </c>
      <c r="AL94" s="42">
        <v>1.83</v>
      </c>
      <c r="AM94" s="42">
        <v>3.74</v>
      </c>
      <c r="AN94" s="46">
        <v>3.18</v>
      </c>
    </row>
    <row r="95" spans="2:40">
      <c r="B95" s="44" t="s">
        <v>1469</v>
      </c>
      <c r="C95" s="42">
        <v>2.94</v>
      </c>
      <c r="D95" s="42">
        <v>4.38</v>
      </c>
      <c r="E95" s="42">
        <v>5.22</v>
      </c>
      <c r="F95" s="42">
        <v>4.95</v>
      </c>
      <c r="G95" s="42">
        <v>4.34</v>
      </c>
      <c r="H95" s="42">
        <v>4.82</v>
      </c>
      <c r="I95" s="42">
        <v>1.75</v>
      </c>
      <c r="J95" s="46">
        <v>2.16</v>
      </c>
      <c r="V95" s="44" t="s">
        <v>1470</v>
      </c>
      <c r="W95" s="42">
        <v>3.9</v>
      </c>
      <c r="X95" s="42">
        <v>4.28</v>
      </c>
      <c r="Y95" s="42">
        <v>4.1100000000000003</v>
      </c>
      <c r="Z95" s="42">
        <v>4.29</v>
      </c>
      <c r="AA95" s="42">
        <v>3.6</v>
      </c>
      <c r="AB95" s="42">
        <v>3.16</v>
      </c>
      <c r="AC95" s="42">
        <v>1.64</v>
      </c>
      <c r="AD95" s="46">
        <v>1.27</v>
      </c>
      <c r="AF95" s="44" t="s">
        <v>1471</v>
      </c>
      <c r="AG95" s="42">
        <v>4.17</v>
      </c>
      <c r="AH95" s="42">
        <v>6.14</v>
      </c>
      <c r="AI95" s="42">
        <v>3.77</v>
      </c>
      <c r="AJ95" s="42">
        <v>5.21</v>
      </c>
      <c r="AK95" s="42">
        <v>5.48</v>
      </c>
      <c r="AL95" s="42">
        <v>1.84</v>
      </c>
      <c r="AM95" s="42">
        <v>3.76</v>
      </c>
      <c r="AN95" s="46">
        <v>3.06</v>
      </c>
    </row>
    <row r="96" spans="2:40">
      <c r="B96" s="44" t="s">
        <v>1472</v>
      </c>
      <c r="C96" s="42">
        <v>3.07</v>
      </c>
      <c r="D96" s="42">
        <v>4.3899999999999997</v>
      </c>
      <c r="E96" s="42">
        <v>5.29</v>
      </c>
      <c r="F96" s="42">
        <v>5.67</v>
      </c>
      <c r="G96" s="42">
        <v>4.29</v>
      </c>
      <c r="H96" s="42">
        <v>4.49</v>
      </c>
      <c r="I96" s="42">
        <v>1.79</v>
      </c>
      <c r="J96" s="46">
        <v>2.23</v>
      </c>
      <c r="V96" s="44" t="s">
        <v>1473</v>
      </c>
      <c r="W96" s="42">
        <v>3.94</v>
      </c>
      <c r="X96" s="42">
        <v>4.2699999999999996</v>
      </c>
      <c r="Y96" s="42">
        <v>4.17</v>
      </c>
      <c r="Z96" s="42">
        <v>4.3</v>
      </c>
      <c r="AA96" s="42">
        <v>3.56</v>
      </c>
      <c r="AB96" s="42">
        <v>3.14</v>
      </c>
      <c r="AC96" s="42">
        <v>1.63</v>
      </c>
      <c r="AD96" s="46">
        <v>1.3</v>
      </c>
      <c r="AF96" s="44" t="s">
        <v>1474</v>
      </c>
      <c r="AG96" s="42">
        <v>4.16</v>
      </c>
      <c r="AH96" s="42">
        <v>6.09</v>
      </c>
      <c r="AI96" s="42">
        <v>3.75</v>
      </c>
      <c r="AJ96" s="42">
        <v>5.15</v>
      </c>
      <c r="AK96" s="42">
        <v>5.49</v>
      </c>
      <c r="AL96" s="42">
        <v>1.83</v>
      </c>
      <c r="AM96" s="42">
        <v>3.73</v>
      </c>
      <c r="AN96" s="46">
        <v>0</v>
      </c>
    </row>
    <row r="97" spans="2:40">
      <c r="B97" s="44" t="s">
        <v>1475</v>
      </c>
      <c r="C97" s="42">
        <v>3</v>
      </c>
      <c r="D97" s="42">
        <v>4.46</v>
      </c>
      <c r="E97" s="42">
        <v>5.31</v>
      </c>
      <c r="F97" s="42">
        <v>0.12</v>
      </c>
      <c r="G97" s="42">
        <v>4.32</v>
      </c>
      <c r="H97" s="42">
        <v>4.82</v>
      </c>
      <c r="I97" s="42">
        <v>1.75</v>
      </c>
      <c r="J97" s="46">
        <v>1.56</v>
      </c>
      <c r="V97" s="44" t="s">
        <v>1476</v>
      </c>
      <c r="W97" s="42">
        <v>3.91</v>
      </c>
      <c r="X97" s="42">
        <v>4.26</v>
      </c>
      <c r="Y97" s="42">
        <v>1.29</v>
      </c>
      <c r="Z97" s="42">
        <v>0</v>
      </c>
      <c r="AA97" s="42">
        <v>3.61</v>
      </c>
      <c r="AB97" s="42">
        <v>3.15</v>
      </c>
      <c r="AC97" s="42">
        <v>1.62</v>
      </c>
      <c r="AD97" s="46">
        <v>1.29</v>
      </c>
      <c r="AF97" s="44" t="s">
        <v>1477</v>
      </c>
      <c r="AG97" s="42">
        <v>4.16</v>
      </c>
      <c r="AH97" s="42">
        <v>6.07</v>
      </c>
      <c r="AI97" s="42">
        <v>2.12</v>
      </c>
      <c r="AJ97" s="42">
        <v>5.15</v>
      </c>
      <c r="AK97" s="42">
        <v>5.43</v>
      </c>
      <c r="AL97" s="42">
        <v>1.84</v>
      </c>
      <c r="AM97" s="42">
        <v>3.78</v>
      </c>
      <c r="AN97" s="46">
        <v>3.17</v>
      </c>
    </row>
    <row r="98" spans="2:40">
      <c r="B98" s="44" t="s">
        <v>1478</v>
      </c>
      <c r="C98" s="42">
        <v>3.03</v>
      </c>
      <c r="D98" s="42">
        <v>4.41</v>
      </c>
      <c r="E98" s="42">
        <v>5.29</v>
      </c>
      <c r="F98" s="42">
        <v>3.86</v>
      </c>
      <c r="G98" s="42">
        <v>4.33</v>
      </c>
      <c r="H98" s="42">
        <v>4.79</v>
      </c>
      <c r="I98" s="42">
        <v>1.74</v>
      </c>
      <c r="J98" s="46">
        <v>2.54</v>
      </c>
      <c r="V98" s="44" t="s">
        <v>1479</v>
      </c>
      <c r="W98" s="42">
        <v>3.94</v>
      </c>
      <c r="X98" s="42">
        <v>4.25</v>
      </c>
      <c r="Y98" s="42">
        <v>4.22</v>
      </c>
      <c r="Z98" s="42">
        <v>0</v>
      </c>
      <c r="AA98" s="42">
        <v>3.6</v>
      </c>
      <c r="AB98" s="42">
        <v>3.11</v>
      </c>
      <c r="AC98" s="42">
        <v>1.63</v>
      </c>
      <c r="AD98" s="46">
        <v>1.29</v>
      </c>
      <c r="AF98" s="44" t="s">
        <v>1480</v>
      </c>
      <c r="AG98" s="42">
        <v>4.1500000000000004</v>
      </c>
      <c r="AH98" s="42">
        <v>6.03</v>
      </c>
      <c r="AI98" s="42">
        <v>3.75</v>
      </c>
      <c r="AJ98" s="42">
        <v>5.0999999999999996</v>
      </c>
      <c r="AK98" s="42">
        <v>4.99</v>
      </c>
      <c r="AL98" s="42">
        <v>1.85</v>
      </c>
      <c r="AM98" s="42">
        <v>3.75</v>
      </c>
      <c r="AN98" s="46">
        <v>3.2</v>
      </c>
    </row>
    <row r="99" spans="2:40">
      <c r="B99" s="44" t="s">
        <v>1481</v>
      </c>
      <c r="C99" s="42">
        <v>0.06</v>
      </c>
      <c r="D99" s="42">
        <v>4.3899999999999997</v>
      </c>
      <c r="E99" s="42">
        <v>0.08</v>
      </c>
      <c r="F99" s="42">
        <v>4.9400000000000004</v>
      </c>
      <c r="G99" s="42">
        <v>4.32</v>
      </c>
      <c r="H99" s="42">
        <v>4.83</v>
      </c>
      <c r="I99" s="42">
        <v>1.77</v>
      </c>
      <c r="J99" s="46">
        <v>2.29</v>
      </c>
      <c r="V99" s="44" t="s">
        <v>1482</v>
      </c>
      <c r="W99" s="42">
        <v>3.92</v>
      </c>
      <c r="X99" s="42">
        <v>4.28</v>
      </c>
      <c r="Y99" s="42">
        <v>4.13</v>
      </c>
      <c r="Z99" s="42">
        <v>0.99</v>
      </c>
      <c r="AA99" s="42">
        <v>1.8</v>
      </c>
      <c r="AB99" s="42">
        <v>3.08</v>
      </c>
      <c r="AC99" s="42">
        <v>1.62</v>
      </c>
      <c r="AD99" s="46">
        <v>1.25</v>
      </c>
      <c r="AF99" s="44" t="s">
        <v>1483</v>
      </c>
      <c r="AG99" s="42">
        <v>4.1399999999999997</v>
      </c>
      <c r="AH99" s="42">
        <v>6.13</v>
      </c>
      <c r="AI99" s="42">
        <v>3.77</v>
      </c>
      <c r="AJ99" s="42">
        <v>5.2</v>
      </c>
      <c r="AK99" s="42">
        <v>5.44</v>
      </c>
      <c r="AL99" s="42">
        <v>1.87</v>
      </c>
      <c r="AM99" s="42">
        <v>3.78</v>
      </c>
      <c r="AN99" s="46">
        <v>3.12</v>
      </c>
    </row>
    <row r="100" spans="2:40">
      <c r="B100" s="44" t="s">
        <v>1484</v>
      </c>
      <c r="C100" s="42">
        <v>3.02</v>
      </c>
      <c r="D100" s="42">
        <v>4.42</v>
      </c>
      <c r="E100" s="42">
        <v>5.3</v>
      </c>
      <c r="F100" s="42">
        <v>4.5999999999999996</v>
      </c>
      <c r="G100" s="42">
        <v>4.3600000000000003</v>
      </c>
      <c r="H100" s="42">
        <v>1.51</v>
      </c>
      <c r="I100" s="42">
        <v>1.75</v>
      </c>
      <c r="J100" s="46">
        <v>2.2599999999999998</v>
      </c>
      <c r="V100" s="44" t="s">
        <v>1485</v>
      </c>
      <c r="W100" s="42">
        <v>3.92</v>
      </c>
      <c r="X100" s="42">
        <v>4.26</v>
      </c>
      <c r="Y100" s="42">
        <v>4.22</v>
      </c>
      <c r="Z100" s="42">
        <v>4.32</v>
      </c>
      <c r="AA100" s="42">
        <v>0.45</v>
      </c>
      <c r="AB100" s="42">
        <v>3.13</v>
      </c>
      <c r="AC100" s="42">
        <v>1.62</v>
      </c>
      <c r="AD100" s="46">
        <v>1.3</v>
      </c>
      <c r="AF100" s="44" t="s">
        <v>1486</v>
      </c>
      <c r="AG100" s="42">
        <v>4.1399999999999997</v>
      </c>
      <c r="AH100" s="42">
        <v>6.06</v>
      </c>
      <c r="AI100" s="42">
        <v>3.77</v>
      </c>
      <c r="AJ100" s="42">
        <v>5.19</v>
      </c>
      <c r="AK100" s="42">
        <v>5.47</v>
      </c>
      <c r="AL100" s="42">
        <v>1.84</v>
      </c>
      <c r="AM100" s="42">
        <v>3.69</v>
      </c>
      <c r="AN100" s="46">
        <v>3.11</v>
      </c>
    </row>
    <row r="101" spans="2:40">
      <c r="B101" s="44" t="s">
        <v>1487</v>
      </c>
      <c r="C101" s="42">
        <v>3</v>
      </c>
      <c r="D101" s="42">
        <v>4.43</v>
      </c>
      <c r="E101" s="42">
        <v>5.31</v>
      </c>
      <c r="F101" s="42">
        <v>5.61</v>
      </c>
      <c r="G101" s="42">
        <v>4.33</v>
      </c>
      <c r="H101" s="42">
        <v>4.84</v>
      </c>
      <c r="I101" s="42">
        <v>1.8</v>
      </c>
      <c r="J101" s="46">
        <v>0.56999999999999995</v>
      </c>
      <c r="V101" s="44" t="s">
        <v>1488</v>
      </c>
      <c r="W101" s="42">
        <v>3.92</v>
      </c>
      <c r="X101" s="42">
        <v>4.26</v>
      </c>
      <c r="Y101" s="42">
        <v>4.18</v>
      </c>
      <c r="Z101" s="42">
        <v>4.32</v>
      </c>
      <c r="AA101" s="42">
        <v>3.62</v>
      </c>
      <c r="AB101" s="42">
        <v>3.09</v>
      </c>
      <c r="AC101" s="42">
        <v>1.63</v>
      </c>
      <c r="AD101" s="46">
        <v>1.24</v>
      </c>
      <c r="AF101" s="44" t="s">
        <v>1489</v>
      </c>
      <c r="AG101" s="42">
        <v>4.16</v>
      </c>
      <c r="AH101" s="42">
        <v>6.12</v>
      </c>
      <c r="AI101" s="42">
        <v>3.77</v>
      </c>
      <c r="AJ101" s="42">
        <v>99.99</v>
      </c>
      <c r="AK101" s="42">
        <v>3.13</v>
      </c>
      <c r="AL101" s="42">
        <v>1.85</v>
      </c>
      <c r="AM101" s="42">
        <v>3.75</v>
      </c>
      <c r="AN101" s="46">
        <v>0</v>
      </c>
    </row>
    <row r="102" spans="2:40">
      <c r="B102" s="44" t="s">
        <v>1490</v>
      </c>
      <c r="C102" s="42">
        <v>3</v>
      </c>
      <c r="D102" s="42">
        <v>4.3899999999999997</v>
      </c>
      <c r="E102" s="42">
        <v>5.31</v>
      </c>
      <c r="F102" s="42">
        <v>5.63</v>
      </c>
      <c r="G102" s="42">
        <v>0.83</v>
      </c>
      <c r="H102" s="42">
        <v>4.84</v>
      </c>
      <c r="I102" s="42">
        <v>1.76</v>
      </c>
      <c r="J102" s="46">
        <v>2.2000000000000002</v>
      </c>
      <c r="V102" s="44" t="s">
        <v>1491</v>
      </c>
      <c r="W102" s="42">
        <v>3.94</v>
      </c>
      <c r="X102" s="42">
        <v>4.25</v>
      </c>
      <c r="Y102" s="42">
        <v>4.1399999999999997</v>
      </c>
      <c r="Z102" s="42">
        <v>4.2699999999999996</v>
      </c>
      <c r="AA102" s="42">
        <v>0.32</v>
      </c>
      <c r="AB102" s="42">
        <v>3.14</v>
      </c>
      <c r="AC102" s="42">
        <v>1.63</v>
      </c>
      <c r="AD102" s="46">
        <v>1.24</v>
      </c>
      <c r="AF102" s="44" t="s">
        <v>1492</v>
      </c>
      <c r="AG102" s="42">
        <v>4.17</v>
      </c>
      <c r="AH102" s="42">
        <v>6.13</v>
      </c>
      <c r="AI102" s="42">
        <v>3.74</v>
      </c>
      <c r="AJ102" s="42">
        <v>5.64</v>
      </c>
      <c r="AK102" s="42">
        <v>0</v>
      </c>
      <c r="AL102" s="42">
        <v>1.82</v>
      </c>
      <c r="AM102" s="42">
        <v>3.74</v>
      </c>
      <c r="AN102" s="46">
        <v>0</v>
      </c>
    </row>
    <row r="103" spans="2:40">
      <c r="B103" s="44" t="s">
        <v>1493</v>
      </c>
      <c r="C103" s="42">
        <v>3</v>
      </c>
      <c r="D103" s="42">
        <v>4.4000000000000004</v>
      </c>
      <c r="E103" s="42">
        <v>5.33</v>
      </c>
      <c r="F103" s="42">
        <v>5.64</v>
      </c>
      <c r="G103" s="42">
        <v>4.33</v>
      </c>
      <c r="H103" s="42">
        <v>4.8099999999999996</v>
      </c>
      <c r="I103" s="42">
        <v>1.78</v>
      </c>
      <c r="J103" s="46">
        <v>2.27</v>
      </c>
      <c r="V103" s="44" t="s">
        <v>1494</v>
      </c>
      <c r="W103" s="42">
        <v>3.92</v>
      </c>
      <c r="X103" s="42">
        <v>4.26</v>
      </c>
      <c r="Y103" s="42">
        <v>4.17</v>
      </c>
      <c r="Z103" s="42">
        <v>4.3</v>
      </c>
      <c r="AA103" s="42">
        <v>3.62</v>
      </c>
      <c r="AB103" s="42">
        <v>3.15</v>
      </c>
      <c r="AC103" s="42">
        <v>1.6</v>
      </c>
      <c r="AD103" s="46">
        <v>1.22</v>
      </c>
      <c r="AF103" s="44" t="s">
        <v>1495</v>
      </c>
      <c r="AG103" s="42">
        <v>4.1500000000000004</v>
      </c>
      <c r="AH103" s="42">
        <v>6.08</v>
      </c>
      <c r="AI103" s="42">
        <v>3.83</v>
      </c>
      <c r="AJ103" s="42">
        <v>5.14</v>
      </c>
      <c r="AK103" s="42">
        <v>5.47</v>
      </c>
      <c r="AL103" s="42">
        <v>1.83</v>
      </c>
      <c r="AM103" s="42">
        <v>3.77</v>
      </c>
      <c r="AN103" s="46">
        <v>3.2</v>
      </c>
    </row>
    <row r="104" spans="2:40">
      <c r="B104" s="44" t="s">
        <v>1496</v>
      </c>
      <c r="C104" s="42">
        <v>3</v>
      </c>
      <c r="D104" s="42">
        <v>4.41</v>
      </c>
      <c r="E104" s="42">
        <v>5.31</v>
      </c>
      <c r="F104" s="42">
        <v>4.21</v>
      </c>
      <c r="G104" s="42">
        <v>4.32</v>
      </c>
      <c r="H104" s="42">
        <v>4.84</v>
      </c>
      <c r="I104" s="42">
        <v>1.73</v>
      </c>
      <c r="J104" s="46">
        <v>2.23</v>
      </c>
      <c r="V104" s="44" t="s">
        <v>1497</v>
      </c>
      <c r="W104" s="42">
        <v>3.94</v>
      </c>
      <c r="X104" s="42">
        <v>4.3</v>
      </c>
      <c r="Y104" s="42">
        <v>1.47</v>
      </c>
      <c r="Z104" s="42">
        <v>4.3099999999999996</v>
      </c>
      <c r="AA104" s="42">
        <v>3.63</v>
      </c>
      <c r="AB104" s="42">
        <v>3.15</v>
      </c>
      <c r="AC104" s="42">
        <v>1.64</v>
      </c>
      <c r="AD104" s="46">
        <v>1.31</v>
      </c>
      <c r="AF104" s="44" t="s">
        <v>1498</v>
      </c>
      <c r="AG104" s="42">
        <v>4.1500000000000004</v>
      </c>
      <c r="AH104" s="42">
        <v>6.09</v>
      </c>
      <c r="AI104" s="42">
        <v>3.78</v>
      </c>
      <c r="AJ104" s="42">
        <v>5.2</v>
      </c>
      <c r="AK104" s="42">
        <v>5.45</v>
      </c>
      <c r="AL104" s="42">
        <v>1.83</v>
      </c>
      <c r="AM104" s="42">
        <v>3.76</v>
      </c>
      <c r="AN104" s="46">
        <v>3.16</v>
      </c>
    </row>
    <row r="105" spans="2:40">
      <c r="B105" s="44" t="s">
        <v>1499</v>
      </c>
      <c r="C105" s="42">
        <v>3.03</v>
      </c>
      <c r="D105" s="42">
        <v>4.37</v>
      </c>
      <c r="E105" s="42">
        <v>5.3</v>
      </c>
      <c r="F105" s="42">
        <v>5.62</v>
      </c>
      <c r="G105" s="42">
        <v>4.32</v>
      </c>
      <c r="H105" s="42">
        <v>4.8499999999999996</v>
      </c>
      <c r="I105" s="42">
        <v>1.71</v>
      </c>
      <c r="J105" s="46">
        <v>2.27</v>
      </c>
      <c r="V105" s="44" t="s">
        <v>1500</v>
      </c>
      <c r="W105" s="42">
        <v>3.91</v>
      </c>
      <c r="X105" s="42">
        <v>4.28</v>
      </c>
      <c r="Y105" s="42">
        <v>4.1399999999999997</v>
      </c>
      <c r="Z105" s="42">
        <v>4.29</v>
      </c>
      <c r="AA105" s="42">
        <v>3.65</v>
      </c>
      <c r="AB105" s="42">
        <v>3.12</v>
      </c>
      <c r="AC105" s="42">
        <v>1.66</v>
      </c>
      <c r="AD105" s="46">
        <v>1.23</v>
      </c>
      <c r="AF105" s="44" t="s">
        <v>1501</v>
      </c>
      <c r="AG105" s="42">
        <v>3.8</v>
      </c>
      <c r="AH105" s="42">
        <v>0.36</v>
      </c>
      <c r="AI105" s="42">
        <v>3.76</v>
      </c>
      <c r="AJ105" s="42">
        <v>5.09</v>
      </c>
      <c r="AK105" s="42">
        <v>5.43</v>
      </c>
      <c r="AL105" s="42">
        <v>1.87</v>
      </c>
      <c r="AM105" s="42">
        <v>3.74</v>
      </c>
      <c r="AN105" s="46">
        <v>3.11</v>
      </c>
    </row>
    <row r="106" spans="2:40">
      <c r="B106" s="44" t="s">
        <v>1502</v>
      </c>
      <c r="C106" s="42">
        <v>2.98</v>
      </c>
      <c r="D106" s="42">
        <v>4.37</v>
      </c>
      <c r="E106" s="42">
        <v>5.31</v>
      </c>
      <c r="F106" s="42">
        <v>3.64</v>
      </c>
      <c r="G106" s="42">
        <v>4.3</v>
      </c>
      <c r="H106" s="42">
        <v>4.8499999999999996</v>
      </c>
      <c r="I106" s="42">
        <v>1.7</v>
      </c>
      <c r="J106" s="46">
        <v>2.21</v>
      </c>
      <c r="V106" s="44" t="s">
        <v>1503</v>
      </c>
      <c r="W106" s="42">
        <v>3.95</v>
      </c>
      <c r="X106" s="42">
        <v>4.25</v>
      </c>
      <c r="Y106" s="42">
        <v>4.1500000000000004</v>
      </c>
      <c r="Z106" s="42">
        <v>4.3099999999999996</v>
      </c>
      <c r="AA106" s="42">
        <v>3.6</v>
      </c>
      <c r="AB106" s="42">
        <v>3.09</v>
      </c>
      <c r="AC106" s="42">
        <v>1.66</v>
      </c>
      <c r="AD106" s="46">
        <v>1.21</v>
      </c>
      <c r="AF106" s="44" t="s">
        <v>1504</v>
      </c>
      <c r="AG106" s="42">
        <v>2.5</v>
      </c>
      <c r="AH106" s="42">
        <v>6.12</v>
      </c>
      <c r="AI106" s="42">
        <v>3.78</v>
      </c>
      <c r="AJ106" s="42">
        <v>5.12</v>
      </c>
      <c r="AK106" s="42">
        <v>4.5199999999999996</v>
      </c>
      <c r="AL106" s="42">
        <v>1.86</v>
      </c>
      <c r="AM106" s="42">
        <v>3.74</v>
      </c>
      <c r="AN106" s="46">
        <v>1.69</v>
      </c>
    </row>
    <row r="107" spans="2:40">
      <c r="B107" s="44" t="s">
        <v>1505</v>
      </c>
      <c r="C107" s="42">
        <v>2.99</v>
      </c>
      <c r="D107" s="42">
        <v>4.43</v>
      </c>
      <c r="E107" s="42">
        <v>5.29</v>
      </c>
      <c r="F107" s="42">
        <v>5.63</v>
      </c>
      <c r="G107" s="42">
        <v>4.32</v>
      </c>
      <c r="H107" s="42">
        <v>4.7699999999999996</v>
      </c>
      <c r="I107" s="42">
        <v>1.72</v>
      </c>
      <c r="J107" s="46">
        <v>2.5499999999999998</v>
      </c>
      <c r="V107" s="44" t="s">
        <v>1506</v>
      </c>
      <c r="W107" s="42">
        <v>3.91</v>
      </c>
      <c r="X107" s="42">
        <v>4.2699999999999996</v>
      </c>
      <c r="Y107" s="42">
        <v>2.52</v>
      </c>
      <c r="Z107" s="42">
        <v>4.29</v>
      </c>
      <c r="AA107" s="42">
        <v>3.63</v>
      </c>
      <c r="AB107" s="42">
        <v>2.7</v>
      </c>
      <c r="AC107" s="42">
        <v>1.59</v>
      </c>
      <c r="AD107" s="46">
        <v>1.21</v>
      </c>
      <c r="AF107" s="44" t="s">
        <v>1507</v>
      </c>
      <c r="AG107" s="42">
        <v>4.1500000000000004</v>
      </c>
      <c r="AH107" s="42">
        <v>6.07</v>
      </c>
      <c r="AI107" s="42">
        <v>3.76</v>
      </c>
      <c r="AJ107" s="42">
        <v>4.62</v>
      </c>
      <c r="AK107" s="42">
        <v>5.45</v>
      </c>
      <c r="AL107" s="42">
        <v>1.85</v>
      </c>
      <c r="AM107" s="42">
        <v>3.74</v>
      </c>
      <c r="AN107" s="46">
        <v>0</v>
      </c>
    </row>
    <row r="108" spans="2:40">
      <c r="B108" s="44" t="s">
        <v>1508</v>
      </c>
      <c r="C108" s="42">
        <v>3.01</v>
      </c>
      <c r="D108" s="42">
        <v>4.3600000000000003</v>
      </c>
      <c r="E108" s="42">
        <v>5.32</v>
      </c>
      <c r="F108" s="42">
        <v>5.0599999999999996</v>
      </c>
      <c r="G108" s="42">
        <v>4.3499999999999996</v>
      </c>
      <c r="H108" s="42">
        <v>4.84</v>
      </c>
      <c r="I108" s="42">
        <v>1.73</v>
      </c>
      <c r="J108" s="46">
        <v>2.2799999999999998</v>
      </c>
      <c r="V108" s="44" t="s">
        <v>1509</v>
      </c>
      <c r="W108" s="42">
        <v>3.9</v>
      </c>
      <c r="X108" s="42">
        <v>4.29</v>
      </c>
      <c r="Y108" s="42">
        <v>4.17</v>
      </c>
      <c r="Z108" s="42">
        <v>4.3099999999999996</v>
      </c>
      <c r="AA108" s="42">
        <v>3.58</v>
      </c>
      <c r="AB108" s="42">
        <v>3.12</v>
      </c>
      <c r="AC108" s="42">
        <v>1.64</v>
      </c>
      <c r="AD108" s="46">
        <v>1.25</v>
      </c>
      <c r="AF108" s="44" t="s">
        <v>1510</v>
      </c>
      <c r="AG108" s="42">
        <v>4.1399999999999997</v>
      </c>
      <c r="AH108" s="42">
        <v>6.12</v>
      </c>
      <c r="AI108" s="42">
        <v>3.76</v>
      </c>
      <c r="AJ108" s="42">
        <v>5.27</v>
      </c>
      <c r="AK108" s="42">
        <v>5.45</v>
      </c>
      <c r="AL108" s="42">
        <v>1.84</v>
      </c>
      <c r="AM108" s="42">
        <v>3.71</v>
      </c>
      <c r="AN108" s="46">
        <v>3.21</v>
      </c>
    </row>
    <row r="109" spans="2:40">
      <c r="B109" s="44" t="s">
        <v>1511</v>
      </c>
      <c r="C109" s="42">
        <v>2.99</v>
      </c>
      <c r="D109" s="42">
        <v>4.4000000000000004</v>
      </c>
      <c r="E109" s="42">
        <v>1.17</v>
      </c>
      <c r="F109" s="42">
        <v>5.65</v>
      </c>
      <c r="G109" s="42">
        <v>4.33</v>
      </c>
      <c r="H109" s="42">
        <v>4.8499999999999996</v>
      </c>
      <c r="I109" s="42">
        <v>1.72</v>
      </c>
      <c r="J109" s="46">
        <v>2.2599999999999998</v>
      </c>
      <c r="V109" s="44" t="s">
        <v>1512</v>
      </c>
      <c r="W109" s="42">
        <v>3.91</v>
      </c>
      <c r="X109" s="42">
        <v>4.2699999999999996</v>
      </c>
      <c r="Y109" s="42">
        <v>4.17</v>
      </c>
      <c r="Z109" s="42">
        <v>4.3</v>
      </c>
      <c r="AA109" s="42">
        <v>3.61</v>
      </c>
      <c r="AB109" s="42">
        <v>3.12</v>
      </c>
      <c r="AC109" s="42">
        <v>1.63</v>
      </c>
      <c r="AD109" s="46">
        <v>1.21</v>
      </c>
      <c r="AF109" s="44" t="s">
        <v>1513</v>
      </c>
      <c r="AG109" s="42">
        <v>4.1500000000000004</v>
      </c>
      <c r="AH109" s="42">
        <v>6.06</v>
      </c>
      <c r="AI109" s="42">
        <v>3.78</v>
      </c>
      <c r="AJ109" s="42">
        <v>4.33</v>
      </c>
      <c r="AK109" s="42">
        <v>5.44</v>
      </c>
      <c r="AL109" s="42">
        <v>1.84</v>
      </c>
      <c r="AM109" s="42">
        <v>3.77</v>
      </c>
      <c r="AN109" s="46">
        <v>0</v>
      </c>
    </row>
    <row r="110" spans="2:40">
      <c r="B110" s="44" t="s">
        <v>1514</v>
      </c>
      <c r="C110" s="42">
        <v>3.02</v>
      </c>
      <c r="D110" s="42">
        <v>4.38</v>
      </c>
      <c r="E110" s="42">
        <v>5.35</v>
      </c>
      <c r="F110" s="42">
        <v>0.41</v>
      </c>
      <c r="G110" s="42">
        <v>4.34</v>
      </c>
      <c r="H110" s="42">
        <v>4.8499999999999996</v>
      </c>
      <c r="I110" s="42">
        <v>1.77</v>
      </c>
      <c r="J110" s="46">
        <v>3.24</v>
      </c>
      <c r="V110" s="44" t="s">
        <v>1515</v>
      </c>
      <c r="W110" s="42">
        <v>3.92</v>
      </c>
      <c r="X110" s="42">
        <v>4.28</v>
      </c>
      <c r="Y110" s="42">
        <v>4.13</v>
      </c>
      <c r="Z110" s="42">
        <v>2.95</v>
      </c>
      <c r="AA110" s="42">
        <v>3.59</v>
      </c>
      <c r="AB110" s="42">
        <v>3.12</v>
      </c>
      <c r="AC110" s="42">
        <v>1.62</v>
      </c>
      <c r="AD110" s="46">
        <v>1.27</v>
      </c>
      <c r="AF110" s="44" t="s">
        <v>1516</v>
      </c>
      <c r="AG110" s="42">
        <v>4.1399999999999997</v>
      </c>
      <c r="AH110" s="42">
        <v>6.1</v>
      </c>
      <c r="AI110" s="42">
        <v>3.12</v>
      </c>
      <c r="AJ110" s="42">
        <v>5.0999999999999996</v>
      </c>
      <c r="AK110" s="42">
        <v>5.46</v>
      </c>
      <c r="AL110" s="42">
        <v>1.86</v>
      </c>
      <c r="AM110" s="42">
        <v>3.76</v>
      </c>
      <c r="AN110" s="46">
        <v>3.17</v>
      </c>
    </row>
    <row r="111" spans="2:40">
      <c r="B111" s="44" t="s">
        <v>1517</v>
      </c>
      <c r="C111" s="42">
        <v>3.01</v>
      </c>
      <c r="D111" s="42">
        <v>4.38</v>
      </c>
      <c r="E111" s="42">
        <v>5.31</v>
      </c>
      <c r="F111" s="42">
        <v>5.62</v>
      </c>
      <c r="G111" s="42">
        <v>4.33</v>
      </c>
      <c r="H111" s="42">
        <v>4.83</v>
      </c>
      <c r="I111" s="42">
        <v>1.75</v>
      </c>
      <c r="J111" s="46">
        <v>2.29</v>
      </c>
      <c r="V111" s="44" t="s">
        <v>1518</v>
      </c>
      <c r="W111" s="42">
        <v>3.89</v>
      </c>
      <c r="X111" s="42">
        <v>4.26</v>
      </c>
      <c r="Y111" s="42">
        <v>4.2</v>
      </c>
      <c r="Z111" s="42">
        <v>4.29</v>
      </c>
      <c r="AA111" s="42">
        <v>3.57</v>
      </c>
      <c r="AB111" s="42">
        <v>3.15</v>
      </c>
      <c r="AC111" s="42">
        <v>1.64</v>
      </c>
      <c r="AD111" s="46">
        <v>1.21</v>
      </c>
      <c r="AF111" s="44" t="s">
        <v>1519</v>
      </c>
      <c r="AG111" s="42">
        <v>4.1399999999999997</v>
      </c>
      <c r="AH111" s="42">
        <v>6.13</v>
      </c>
      <c r="AI111" s="42">
        <v>3.78</v>
      </c>
      <c r="AJ111" s="42">
        <v>5.21</v>
      </c>
      <c r="AK111" s="42">
        <v>5.46</v>
      </c>
      <c r="AL111" s="42">
        <v>1.85</v>
      </c>
      <c r="AM111" s="42">
        <v>3.78</v>
      </c>
      <c r="AN111" s="46">
        <v>0</v>
      </c>
    </row>
    <row r="112" spans="2:40">
      <c r="B112" s="44" t="s">
        <v>1520</v>
      </c>
      <c r="C112" s="42">
        <v>3.01</v>
      </c>
      <c r="D112" s="42">
        <v>2.1</v>
      </c>
      <c r="E112" s="42">
        <v>5.25</v>
      </c>
      <c r="F112" s="42">
        <v>5.62</v>
      </c>
      <c r="G112" s="42">
        <v>4.32</v>
      </c>
      <c r="H112" s="42">
        <v>4.84</v>
      </c>
      <c r="I112" s="42">
        <v>1.71</v>
      </c>
      <c r="J112" s="46">
        <v>2.68</v>
      </c>
      <c r="V112" s="44" t="s">
        <v>1521</v>
      </c>
      <c r="W112" s="42">
        <v>3.93</v>
      </c>
      <c r="X112" s="42">
        <v>4.28</v>
      </c>
      <c r="Y112" s="42">
        <v>2.92</v>
      </c>
      <c r="Z112" s="42">
        <v>4.3099999999999996</v>
      </c>
      <c r="AA112" s="42">
        <v>3.6</v>
      </c>
      <c r="AB112" s="42">
        <v>3.11</v>
      </c>
      <c r="AC112" s="42">
        <v>1.61</v>
      </c>
      <c r="AD112" s="46">
        <v>1.22</v>
      </c>
      <c r="AF112" s="44" t="s">
        <v>1522</v>
      </c>
      <c r="AG112" s="42">
        <v>4.1399999999999997</v>
      </c>
      <c r="AH112" s="42">
        <v>6.06</v>
      </c>
      <c r="AI112" s="42">
        <v>3.78</v>
      </c>
      <c r="AJ112" s="42">
        <v>5.31</v>
      </c>
      <c r="AK112" s="42">
        <v>5.43</v>
      </c>
      <c r="AL112" s="42">
        <v>1.85</v>
      </c>
      <c r="AM112" s="42">
        <v>3.75</v>
      </c>
      <c r="AN112" s="46">
        <v>0</v>
      </c>
    </row>
    <row r="113" spans="2:40">
      <c r="B113" s="44" t="s">
        <v>1523</v>
      </c>
      <c r="C113" s="42">
        <v>3.01</v>
      </c>
      <c r="D113" s="42">
        <v>4.38</v>
      </c>
      <c r="E113" s="42">
        <v>5.31</v>
      </c>
      <c r="F113" s="42">
        <v>5.63</v>
      </c>
      <c r="G113" s="42">
        <v>4.3099999999999996</v>
      </c>
      <c r="H113" s="42">
        <v>4.78</v>
      </c>
      <c r="I113" s="42">
        <v>1.74</v>
      </c>
      <c r="J113" s="46">
        <v>2.2799999999999998</v>
      </c>
      <c r="V113" s="44" t="s">
        <v>1524</v>
      </c>
      <c r="W113" s="42">
        <v>3.94</v>
      </c>
      <c r="X113" s="42">
        <v>2.5</v>
      </c>
      <c r="Y113" s="42">
        <v>4.1100000000000003</v>
      </c>
      <c r="Z113" s="42">
        <v>4.32</v>
      </c>
      <c r="AA113" s="42">
        <v>3.64</v>
      </c>
      <c r="AB113" s="42">
        <v>3.12</v>
      </c>
      <c r="AC113" s="42">
        <v>1.62</v>
      </c>
      <c r="AD113" s="46">
        <v>1.24</v>
      </c>
      <c r="AF113" s="44" t="s">
        <v>1525</v>
      </c>
      <c r="AG113" s="42">
        <v>4.16</v>
      </c>
      <c r="AH113" s="42">
        <v>6.13</v>
      </c>
      <c r="AI113" s="42">
        <v>3.77</v>
      </c>
      <c r="AJ113" s="42">
        <v>5.13</v>
      </c>
      <c r="AK113" s="42">
        <v>5.44</v>
      </c>
      <c r="AL113" s="42">
        <v>1.84</v>
      </c>
      <c r="AM113" s="42">
        <v>3.79</v>
      </c>
      <c r="AN113" s="46">
        <v>3.1</v>
      </c>
    </row>
    <row r="114" spans="2:40">
      <c r="B114" s="44" t="s">
        <v>1526</v>
      </c>
      <c r="C114" s="42">
        <v>2.95</v>
      </c>
      <c r="D114" s="42">
        <v>4.42</v>
      </c>
      <c r="E114" s="42">
        <v>5.33</v>
      </c>
      <c r="F114" s="42">
        <v>5.63</v>
      </c>
      <c r="G114" s="42">
        <v>4.3099999999999996</v>
      </c>
      <c r="H114" s="42">
        <v>4.8499999999999996</v>
      </c>
      <c r="I114" s="42">
        <v>1.75</v>
      </c>
      <c r="J114" s="46">
        <v>3.18</v>
      </c>
      <c r="V114" s="44" t="s">
        <v>1527</v>
      </c>
      <c r="W114" s="42">
        <v>3.92</v>
      </c>
      <c r="X114" s="42">
        <v>4.2699999999999996</v>
      </c>
      <c r="Y114" s="42">
        <v>1.57</v>
      </c>
      <c r="Z114" s="42">
        <v>4.3</v>
      </c>
      <c r="AA114" s="42">
        <v>3.64</v>
      </c>
      <c r="AB114" s="42">
        <v>3.11</v>
      </c>
      <c r="AC114" s="42">
        <v>1.63</v>
      </c>
      <c r="AD114" s="46">
        <v>1.23</v>
      </c>
      <c r="AF114" s="44" t="s">
        <v>1528</v>
      </c>
      <c r="AG114" s="42">
        <v>4.18</v>
      </c>
      <c r="AH114" s="42">
        <v>6.1</v>
      </c>
      <c r="AI114" s="42">
        <v>3.75</v>
      </c>
      <c r="AJ114" s="42">
        <v>4.2</v>
      </c>
      <c r="AK114" s="42">
        <v>5.45</v>
      </c>
      <c r="AL114" s="42">
        <v>1.83</v>
      </c>
      <c r="AM114" s="42">
        <v>3.74</v>
      </c>
      <c r="AN114" s="46">
        <v>3.14</v>
      </c>
    </row>
    <row r="115" spans="2:40">
      <c r="B115" s="44" t="s">
        <v>1529</v>
      </c>
      <c r="C115" s="42">
        <v>3.01</v>
      </c>
      <c r="D115" s="42">
        <v>4.43</v>
      </c>
      <c r="E115" s="42">
        <v>5.3</v>
      </c>
      <c r="F115" s="42">
        <v>3.21</v>
      </c>
      <c r="G115" s="42">
        <v>4.28</v>
      </c>
      <c r="H115" s="42">
        <v>4.83</v>
      </c>
      <c r="I115" s="42">
        <v>1.76</v>
      </c>
      <c r="J115" s="46">
        <v>0.09</v>
      </c>
      <c r="V115" s="44" t="s">
        <v>1530</v>
      </c>
      <c r="W115" s="42">
        <v>3.92</v>
      </c>
      <c r="X115" s="42">
        <v>2.9</v>
      </c>
      <c r="Y115" s="42">
        <v>4.24</v>
      </c>
      <c r="Z115" s="42">
        <v>4.29</v>
      </c>
      <c r="AA115" s="42">
        <v>3.6</v>
      </c>
      <c r="AB115" s="42">
        <v>3.1</v>
      </c>
      <c r="AC115" s="42">
        <v>1.61</v>
      </c>
      <c r="AD115" s="46">
        <v>1.27</v>
      </c>
      <c r="AF115" s="44" t="s">
        <v>1531</v>
      </c>
      <c r="AG115" s="42">
        <v>4.16</v>
      </c>
      <c r="AH115" s="42">
        <v>6.13</v>
      </c>
      <c r="AI115" s="42">
        <v>3.76</v>
      </c>
      <c r="AJ115" s="42">
        <v>5.14</v>
      </c>
      <c r="AK115" s="42">
        <v>5.45</v>
      </c>
      <c r="AL115" s="42">
        <v>1.83</v>
      </c>
      <c r="AM115" s="42">
        <v>3.72</v>
      </c>
      <c r="AN115" s="46">
        <v>3.13</v>
      </c>
    </row>
    <row r="116" spans="2:40">
      <c r="B116" s="44" t="s">
        <v>1532</v>
      </c>
      <c r="C116" s="42">
        <v>2.99</v>
      </c>
      <c r="D116" s="42">
        <v>4.37</v>
      </c>
      <c r="E116" s="42">
        <v>5.28</v>
      </c>
      <c r="F116" s="42">
        <v>5.64</v>
      </c>
      <c r="G116" s="42">
        <v>4.32</v>
      </c>
      <c r="H116" s="42">
        <v>4.7699999999999996</v>
      </c>
      <c r="I116" s="42">
        <v>1.74</v>
      </c>
      <c r="J116" s="46">
        <v>2.25</v>
      </c>
      <c r="V116" s="44" t="s">
        <v>1533</v>
      </c>
      <c r="W116" s="42">
        <v>3.93</v>
      </c>
      <c r="X116" s="42">
        <v>2.27</v>
      </c>
      <c r="Y116" s="42">
        <v>3.29</v>
      </c>
      <c r="Z116" s="42">
        <v>4.25</v>
      </c>
      <c r="AA116" s="42">
        <v>3.62</v>
      </c>
      <c r="AB116" s="42">
        <v>3.11</v>
      </c>
      <c r="AC116" s="42">
        <v>1.62</v>
      </c>
      <c r="AD116" s="46">
        <v>1.27</v>
      </c>
      <c r="AF116" s="44" t="s">
        <v>1534</v>
      </c>
      <c r="AG116" s="42">
        <v>4.1500000000000004</v>
      </c>
      <c r="AH116" s="42">
        <v>0</v>
      </c>
      <c r="AI116" s="42">
        <v>3.78</v>
      </c>
      <c r="AJ116" s="42">
        <v>0.84</v>
      </c>
      <c r="AK116" s="42">
        <v>5.45</v>
      </c>
      <c r="AL116" s="42">
        <v>1.89</v>
      </c>
      <c r="AM116" s="42">
        <v>3.71</v>
      </c>
      <c r="AN116" s="46">
        <v>5.12</v>
      </c>
    </row>
    <row r="117" spans="2:40">
      <c r="B117" s="44" t="s">
        <v>1535</v>
      </c>
      <c r="C117" s="42">
        <v>2.99</v>
      </c>
      <c r="D117" s="42">
        <v>4.37</v>
      </c>
      <c r="E117" s="42">
        <v>5.32</v>
      </c>
      <c r="F117" s="42">
        <v>5.63</v>
      </c>
      <c r="G117" s="42">
        <v>4.3099999999999996</v>
      </c>
      <c r="H117" s="42">
        <v>4.8499999999999996</v>
      </c>
      <c r="I117" s="42">
        <v>1.76</v>
      </c>
      <c r="J117" s="46">
        <v>2.25</v>
      </c>
      <c r="V117" s="44" t="s">
        <v>1536</v>
      </c>
      <c r="W117" s="42">
        <v>3.92</v>
      </c>
      <c r="X117" s="42">
        <v>4.2699999999999996</v>
      </c>
      <c r="Y117" s="42">
        <v>0.22</v>
      </c>
      <c r="Z117" s="42">
        <v>4.26</v>
      </c>
      <c r="AA117" s="42">
        <v>3.59</v>
      </c>
      <c r="AB117" s="42">
        <v>3.11</v>
      </c>
      <c r="AC117" s="42">
        <v>1.67</v>
      </c>
      <c r="AD117" s="46">
        <v>1.25</v>
      </c>
      <c r="AF117" s="44" t="s">
        <v>1537</v>
      </c>
      <c r="AG117" s="42">
        <v>4.1500000000000004</v>
      </c>
      <c r="AH117" s="42">
        <v>6.11</v>
      </c>
      <c r="AI117" s="42">
        <v>3.77</v>
      </c>
      <c r="AJ117" s="42">
        <v>3.8</v>
      </c>
      <c r="AK117" s="42">
        <v>5.44</v>
      </c>
      <c r="AL117" s="42">
        <v>1.84</v>
      </c>
      <c r="AM117" s="42">
        <v>3.78</v>
      </c>
      <c r="AN117" s="46">
        <v>3.14</v>
      </c>
    </row>
    <row r="118" spans="2:40">
      <c r="B118" s="44" t="s">
        <v>1538</v>
      </c>
      <c r="C118" s="42">
        <v>3</v>
      </c>
      <c r="D118" s="42">
        <v>2.98</v>
      </c>
      <c r="E118" s="42">
        <v>5.31</v>
      </c>
      <c r="F118" s="42">
        <v>5.62</v>
      </c>
      <c r="G118" s="42">
        <v>2.56</v>
      </c>
      <c r="H118" s="42">
        <v>4.7699999999999996</v>
      </c>
      <c r="I118" s="42">
        <v>1.75</v>
      </c>
      <c r="J118" s="46">
        <v>1.1599999999999999</v>
      </c>
      <c r="V118" s="44" t="s">
        <v>1539</v>
      </c>
      <c r="W118" s="42">
        <v>3.91</v>
      </c>
      <c r="X118" s="42">
        <v>4.25</v>
      </c>
      <c r="Y118" s="42">
        <v>4.1900000000000004</v>
      </c>
      <c r="Z118" s="42">
        <v>4.2699999999999996</v>
      </c>
      <c r="AA118" s="42">
        <v>3.62</v>
      </c>
      <c r="AB118" s="42">
        <v>3.13</v>
      </c>
      <c r="AC118" s="42">
        <v>1.62</v>
      </c>
      <c r="AD118" s="46">
        <v>1.21</v>
      </c>
      <c r="AF118" s="44" t="s">
        <v>1540</v>
      </c>
      <c r="AG118" s="42">
        <v>4.1399999999999997</v>
      </c>
      <c r="AH118" s="42">
        <v>6.14</v>
      </c>
      <c r="AI118" s="42">
        <v>3.79</v>
      </c>
      <c r="AJ118" s="42">
        <v>5.14</v>
      </c>
      <c r="AK118" s="42">
        <v>5.45</v>
      </c>
      <c r="AL118" s="42">
        <v>1.84</v>
      </c>
      <c r="AM118" s="42">
        <v>0.03</v>
      </c>
      <c r="AN118" s="46">
        <v>3.13</v>
      </c>
    </row>
    <row r="119" spans="2:40">
      <c r="B119" s="44" t="s">
        <v>1541</v>
      </c>
      <c r="C119" s="42">
        <v>3.01</v>
      </c>
      <c r="D119" s="42">
        <v>4.3899999999999997</v>
      </c>
      <c r="E119" s="42">
        <v>5.3</v>
      </c>
      <c r="F119" s="42">
        <v>5.66</v>
      </c>
      <c r="G119" s="42">
        <v>4.34</v>
      </c>
      <c r="H119" s="42">
        <v>4.82</v>
      </c>
      <c r="I119" s="42">
        <v>1.74</v>
      </c>
      <c r="J119" s="46">
        <v>3.25</v>
      </c>
      <c r="V119" s="44" t="s">
        <v>1542</v>
      </c>
      <c r="W119" s="42">
        <v>3.9</v>
      </c>
      <c r="X119" s="42">
        <v>4.25</v>
      </c>
      <c r="Y119" s="42">
        <v>4.1900000000000004</v>
      </c>
      <c r="Z119" s="42">
        <v>4.3</v>
      </c>
      <c r="AA119" s="42">
        <v>3.65</v>
      </c>
      <c r="AB119" s="42">
        <v>3.11</v>
      </c>
      <c r="AC119" s="42">
        <v>0.13</v>
      </c>
      <c r="AD119" s="46">
        <v>1.23</v>
      </c>
      <c r="AF119" s="44" t="s">
        <v>1543</v>
      </c>
      <c r="AG119" s="42">
        <v>4.17</v>
      </c>
      <c r="AH119" s="42">
        <v>6.17</v>
      </c>
      <c r="AI119" s="42">
        <v>3.76</v>
      </c>
      <c r="AJ119" s="42">
        <v>5.09</v>
      </c>
      <c r="AK119" s="42">
        <v>4.28</v>
      </c>
      <c r="AL119" s="42">
        <v>1.88</v>
      </c>
      <c r="AM119" s="42">
        <v>3.72</v>
      </c>
      <c r="AN119" s="46">
        <v>1.54</v>
      </c>
    </row>
    <row r="120" spans="2:40">
      <c r="B120" s="44" t="s">
        <v>1544</v>
      </c>
      <c r="C120" s="42">
        <v>3.01</v>
      </c>
      <c r="D120" s="42">
        <v>4.3899999999999997</v>
      </c>
      <c r="E120" s="42">
        <v>5.29</v>
      </c>
      <c r="F120" s="42">
        <v>5.63</v>
      </c>
      <c r="G120" s="42">
        <v>4.34</v>
      </c>
      <c r="H120" s="42">
        <v>4.84</v>
      </c>
      <c r="I120" s="42">
        <v>1.75</v>
      </c>
      <c r="J120" s="46">
        <v>2.56</v>
      </c>
      <c r="V120" s="44" t="s">
        <v>1545</v>
      </c>
      <c r="W120" s="42">
        <v>3.94</v>
      </c>
      <c r="X120" s="42">
        <v>4.3</v>
      </c>
      <c r="Y120" s="42">
        <v>4.1500000000000004</v>
      </c>
      <c r="Z120" s="42">
        <v>4.29</v>
      </c>
      <c r="AA120" s="42">
        <v>3.63</v>
      </c>
      <c r="AB120" s="42">
        <v>3.11</v>
      </c>
      <c r="AC120" s="42">
        <v>1.63</v>
      </c>
      <c r="AD120" s="46">
        <v>1.29</v>
      </c>
      <c r="AF120" s="44" t="s">
        <v>1546</v>
      </c>
      <c r="AG120" s="42">
        <v>4.1500000000000004</v>
      </c>
      <c r="AH120" s="42">
        <v>6.09</v>
      </c>
      <c r="AI120" s="42">
        <v>3.79</v>
      </c>
      <c r="AJ120" s="42">
        <v>5.16</v>
      </c>
      <c r="AK120" s="42">
        <v>5.5</v>
      </c>
      <c r="AL120" s="42">
        <v>1.82</v>
      </c>
      <c r="AM120" s="42">
        <v>3.75</v>
      </c>
      <c r="AN120" s="46">
        <v>0</v>
      </c>
    </row>
    <row r="121" spans="2:40">
      <c r="B121" s="44" t="s">
        <v>1547</v>
      </c>
      <c r="C121" s="42">
        <v>2.95</v>
      </c>
      <c r="D121" s="42">
        <v>4.3899999999999997</v>
      </c>
      <c r="E121" s="42">
        <v>5.27</v>
      </c>
      <c r="F121" s="42">
        <v>1.96</v>
      </c>
      <c r="G121" s="42">
        <v>4.3</v>
      </c>
      <c r="H121" s="42">
        <v>4.87</v>
      </c>
      <c r="I121" s="42">
        <v>1.7</v>
      </c>
      <c r="J121" s="46">
        <v>2.2400000000000002</v>
      </c>
      <c r="V121" s="44" t="s">
        <v>1548</v>
      </c>
      <c r="W121" s="42">
        <v>3.92</v>
      </c>
      <c r="X121" s="42">
        <v>4.3099999999999996</v>
      </c>
      <c r="Y121" s="42">
        <v>4.1500000000000004</v>
      </c>
      <c r="Z121" s="42">
        <v>4.28</v>
      </c>
      <c r="AA121" s="42">
        <v>3.63</v>
      </c>
      <c r="AB121" s="42">
        <v>3.11</v>
      </c>
      <c r="AC121" s="42">
        <v>1.62</v>
      </c>
      <c r="AD121" s="46">
        <v>1.24</v>
      </c>
      <c r="AF121" s="44" t="s">
        <v>1549</v>
      </c>
      <c r="AG121" s="42">
        <v>4.13</v>
      </c>
      <c r="AH121" s="42">
        <v>6.15</v>
      </c>
      <c r="AI121" s="42">
        <v>3.74</v>
      </c>
      <c r="AJ121" s="42">
        <v>5.21</v>
      </c>
      <c r="AK121" s="42">
        <v>5.46</v>
      </c>
      <c r="AL121" s="42">
        <v>1.83</v>
      </c>
      <c r="AM121" s="42">
        <v>3.76</v>
      </c>
      <c r="AN121" s="46">
        <v>3.25</v>
      </c>
    </row>
    <row r="122" spans="2:40" ht="15.75" thickBot="1">
      <c r="B122" s="44" t="s">
        <v>1550</v>
      </c>
      <c r="C122" s="42">
        <v>3.02</v>
      </c>
      <c r="D122" s="42">
        <v>0</v>
      </c>
      <c r="E122" s="42">
        <v>5.3</v>
      </c>
      <c r="F122" s="42">
        <v>5.63</v>
      </c>
      <c r="G122" s="42">
        <v>3.28</v>
      </c>
      <c r="H122" s="42">
        <v>4.87</v>
      </c>
      <c r="I122" s="42">
        <v>1.73</v>
      </c>
      <c r="J122" s="46">
        <v>2.21</v>
      </c>
      <c r="V122" s="44" t="s">
        <v>1551</v>
      </c>
      <c r="W122" s="42">
        <v>3.89</v>
      </c>
      <c r="X122" s="42">
        <v>4.26</v>
      </c>
      <c r="Y122" s="42">
        <v>4.17</v>
      </c>
      <c r="Z122" s="42">
        <v>4.29</v>
      </c>
      <c r="AA122" s="42">
        <v>3.57</v>
      </c>
      <c r="AB122" s="42">
        <v>3.12</v>
      </c>
      <c r="AC122" s="42">
        <v>1.6</v>
      </c>
      <c r="AD122" s="46">
        <v>1.22</v>
      </c>
      <c r="AF122" s="44" t="s">
        <v>1552</v>
      </c>
      <c r="AG122" s="42">
        <v>4.1500000000000004</v>
      </c>
      <c r="AH122" s="42">
        <v>6.09</v>
      </c>
      <c r="AI122" s="42">
        <v>3.78</v>
      </c>
      <c r="AJ122" s="42">
        <v>5.18</v>
      </c>
      <c r="AK122" s="42">
        <v>5.45</v>
      </c>
      <c r="AL122" s="42">
        <v>1.85</v>
      </c>
      <c r="AM122" s="42">
        <v>3.73</v>
      </c>
      <c r="AN122" s="46">
        <v>1.96</v>
      </c>
    </row>
    <row r="123" spans="2:40">
      <c r="B123" s="44" t="s">
        <v>1553</v>
      </c>
      <c r="C123" s="42">
        <v>2.96</v>
      </c>
      <c r="D123" s="42">
        <v>4.3899999999999997</v>
      </c>
      <c r="E123" s="42">
        <v>5.3</v>
      </c>
      <c r="F123" s="42">
        <v>5.61</v>
      </c>
      <c r="G123" s="42">
        <v>4.3099999999999996</v>
      </c>
      <c r="H123" s="42">
        <v>4.03</v>
      </c>
      <c r="I123" s="42">
        <v>1.77</v>
      </c>
      <c r="J123" s="46">
        <v>2.27</v>
      </c>
      <c r="V123" s="44" t="s">
        <v>1554</v>
      </c>
      <c r="W123" s="42">
        <v>3.9</v>
      </c>
      <c r="X123" s="42">
        <v>4.28</v>
      </c>
      <c r="Y123" s="42">
        <v>4.1500000000000004</v>
      </c>
      <c r="Z123" s="42">
        <v>4.3099999999999996</v>
      </c>
      <c r="AA123" s="42">
        <v>1.3</v>
      </c>
      <c r="AB123" s="42">
        <v>3.09</v>
      </c>
      <c r="AC123" s="42">
        <v>1.61</v>
      </c>
      <c r="AD123" s="46">
        <v>1.27</v>
      </c>
      <c r="AF123" s="62" t="s">
        <v>936</v>
      </c>
      <c r="AG123" s="57">
        <v>4.00420168067226</v>
      </c>
      <c r="AH123" s="57">
        <v>5.9033913043478199</v>
      </c>
      <c r="AI123" s="57">
        <v>3.69857142857142</v>
      </c>
      <c r="AJ123" s="57">
        <v>4.8133050847457604</v>
      </c>
      <c r="AK123" s="57">
        <v>5.0250847457627099</v>
      </c>
      <c r="AL123" s="57">
        <v>1.8402521008403301</v>
      </c>
      <c r="AM123" s="57">
        <v>3.6768907563025102</v>
      </c>
      <c r="AN123" s="58">
        <v>3.0604255319148899</v>
      </c>
    </row>
    <row r="124" spans="2:40">
      <c r="B124" s="44" t="s">
        <v>1555</v>
      </c>
      <c r="C124" s="42">
        <v>3</v>
      </c>
      <c r="D124" s="42">
        <v>4.3899999999999997</v>
      </c>
      <c r="E124" s="42">
        <v>5.29</v>
      </c>
      <c r="F124" s="42">
        <v>5.28</v>
      </c>
      <c r="G124" s="42">
        <v>4.3499999999999996</v>
      </c>
      <c r="H124" s="42">
        <v>4.82</v>
      </c>
      <c r="I124" s="42">
        <v>1.75</v>
      </c>
      <c r="J124" s="46">
        <v>2.25</v>
      </c>
      <c r="V124" s="44" t="s">
        <v>1556</v>
      </c>
      <c r="W124" s="42">
        <v>3.91</v>
      </c>
      <c r="X124" s="42">
        <v>4.28</v>
      </c>
      <c r="Y124" s="42">
        <v>4.1399999999999997</v>
      </c>
      <c r="Z124" s="42">
        <v>4.26</v>
      </c>
      <c r="AA124" s="42">
        <v>2.02</v>
      </c>
      <c r="AB124" s="42">
        <v>3.14</v>
      </c>
      <c r="AC124" s="42">
        <v>1.63</v>
      </c>
      <c r="AD124" s="46">
        <v>1.23</v>
      </c>
      <c r="AF124" s="47" t="s">
        <v>515</v>
      </c>
      <c r="AG124" s="42">
        <v>0.63082644978240499</v>
      </c>
      <c r="AH124" s="42">
        <v>0.88432227743010505</v>
      </c>
      <c r="AI124" s="42">
        <v>0.39558123540623302</v>
      </c>
      <c r="AJ124" s="42">
        <v>1.11692757688582</v>
      </c>
      <c r="AK124" s="42">
        <v>1.10227172644491</v>
      </c>
      <c r="AL124" s="42">
        <v>6.6313011066931299E-2</v>
      </c>
      <c r="AM124" s="42">
        <v>0.46479370665542202</v>
      </c>
      <c r="AN124" s="46">
        <v>0.59666433575410405</v>
      </c>
    </row>
    <row r="125" spans="2:40">
      <c r="B125" s="44" t="s">
        <v>1557</v>
      </c>
      <c r="C125" s="42">
        <v>3</v>
      </c>
      <c r="D125" s="42">
        <v>4.41</v>
      </c>
      <c r="E125" s="42">
        <v>2.52</v>
      </c>
      <c r="F125" s="42">
        <v>5.63</v>
      </c>
      <c r="G125" s="42">
        <v>4.32</v>
      </c>
      <c r="H125" s="42">
        <v>4.84</v>
      </c>
      <c r="I125" s="42">
        <v>1.73</v>
      </c>
      <c r="J125" s="46">
        <v>2.23</v>
      </c>
      <c r="V125" s="44" t="s">
        <v>1558</v>
      </c>
      <c r="W125" s="42">
        <v>3.93</v>
      </c>
      <c r="X125" s="42">
        <v>0.96</v>
      </c>
      <c r="Y125" s="42">
        <v>4.1399999999999997</v>
      </c>
      <c r="Z125" s="42">
        <v>4.28</v>
      </c>
      <c r="AA125" s="42">
        <v>3.6</v>
      </c>
      <c r="AB125" s="42">
        <v>3.11</v>
      </c>
      <c r="AC125" s="42">
        <v>1.65</v>
      </c>
      <c r="AD125" s="46">
        <v>1.29</v>
      </c>
      <c r="AF125" s="47" t="s">
        <v>520</v>
      </c>
      <c r="AG125" s="42">
        <v>4.6350281304546703</v>
      </c>
      <c r="AH125" s="42">
        <v>6.7877135817779299</v>
      </c>
      <c r="AI125" s="42">
        <v>4.0941526639776598</v>
      </c>
      <c r="AJ125" s="42">
        <v>5.9302326616315799</v>
      </c>
      <c r="AK125" s="42">
        <v>6.1273564722076301</v>
      </c>
      <c r="AL125" s="42">
        <v>1.90656511190726</v>
      </c>
      <c r="AM125" s="42">
        <v>4.1416844629579401</v>
      </c>
      <c r="AN125" s="46">
        <v>3.65708986766899</v>
      </c>
    </row>
    <row r="126" spans="2:40">
      <c r="B126" s="44" t="s">
        <v>1559</v>
      </c>
      <c r="C126" s="42">
        <v>2.98</v>
      </c>
      <c r="D126" s="42">
        <v>2.44</v>
      </c>
      <c r="E126" s="42">
        <v>4.4000000000000004</v>
      </c>
      <c r="F126" s="42">
        <v>5.64</v>
      </c>
      <c r="G126" s="42">
        <v>4.32</v>
      </c>
      <c r="H126" s="42">
        <v>4.84</v>
      </c>
      <c r="I126" s="42">
        <v>1.77</v>
      </c>
      <c r="J126" s="46">
        <v>1.68</v>
      </c>
      <c r="V126" s="44" t="s">
        <v>1560</v>
      </c>
      <c r="W126" s="42">
        <v>3.9</v>
      </c>
      <c r="X126" s="42">
        <v>4.29</v>
      </c>
      <c r="Y126" s="42">
        <v>4.1500000000000004</v>
      </c>
      <c r="Z126" s="42">
        <v>4.3</v>
      </c>
      <c r="AA126" s="42">
        <v>3.66</v>
      </c>
      <c r="AB126" s="42">
        <v>3.14</v>
      </c>
      <c r="AC126" s="42">
        <v>1.64</v>
      </c>
      <c r="AD126" s="46">
        <v>1.22</v>
      </c>
      <c r="AF126" s="47" t="s">
        <v>525</v>
      </c>
      <c r="AG126" s="42">
        <v>3.3733752308898599</v>
      </c>
      <c r="AH126" s="42">
        <v>5.0190690269177196</v>
      </c>
      <c r="AI126" s="42">
        <v>3.3029901931651899</v>
      </c>
      <c r="AJ126" s="42">
        <v>3.6963775078599301</v>
      </c>
      <c r="AK126" s="42">
        <v>3.9228130193177999</v>
      </c>
      <c r="AL126" s="42">
        <v>1.7739390897734</v>
      </c>
      <c r="AM126" s="42">
        <v>3.21209704964709</v>
      </c>
      <c r="AN126" s="46">
        <v>2.4637611961607799</v>
      </c>
    </row>
    <row r="127" spans="2:40" ht="15.75" thickBot="1">
      <c r="B127" s="44" t="s">
        <v>1561</v>
      </c>
      <c r="C127" s="42">
        <v>3.03</v>
      </c>
      <c r="D127" s="42">
        <v>4.38</v>
      </c>
      <c r="E127" s="42">
        <v>5.32</v>
      </c>
      <c r="F127" s="42">
        <v>5.63</v>
      </c>
      <c r="G127" s="42">
        <v>4.32</v>
      </c>
      <c r="H127" s="42">
        <v>4.8</v>
      </c>
      <c r="I127" s="42">
        <v>1.79</v>
      </c>
      <c r="J127" s="46">
        <v>2.27</v>
      </c>
      <c r="V127" s="44" t="s">
        <v>1562</v>
      </c>
      <c r="W127" s="42">
        <v>3.9</v>
      </c>
      <c r="X127" s="42">
        <v>4.26</v>
      </c>
      <c r="Y127" s="42">
        <v>4.1399999999999997</v>
      </c>
      <c r="Z127" s="42">
        <v>4.28</v>
      </c>
      <c r="AA127" s="42">
        <v>3.65</v>
      </c>
      <c r="AB127" s="42">
        <v>3.15</v>
      </c>
      <c r="AC127" s="42">
        <v>1.64</v>
      </c>
      <c r="AD127" s="46">
        <v>1.25</v>
      </c>
      <c r="AF127" s="48" t="s">
        <v>937</v>
      </c>
      <c r="AG127" s="49">
        <v>4.1494642857142798</v>
      </c>
      <c r="AH127" s="49">
        <v>6.0976146788990802</v>
      </c>
      <c r="AI127" s="49">
        <v>3.7673684210526202</v>
      </c>
      <c r="AJ127" s="49">
        <v>5.1278095238095203</v>
      </c>
      <c r="AK127" s="49">
        <v>5.3187037037036999</v>
      </c>
      <c r="AL127" s="49">
        <v>1.84618644067796</v>
      </c>
      <c r="AM127" s="49">
        <v>3.7506086956521698</v>
      </c>
      <c r="AN127" s="50">
        <v>3.1469767441860399</v>
      </c>
    </row>
    <row r="128" spans="2:40" ht="15.75" thickBot="1">
      <c r="B128" s="44" t="s">
        <v>1563</v>
      </c>
      <c r="C128" s="42">
        <v>2.99</v>
      </c>
      <c r="D128" s="42">
        <v>4.3499999999999996</v>
      </c>
      <c r="E128" s="42">
        <v>5.33</v>
      </c>
      <c r="F128" s="42">
        <v>1.55</v>
      </c>
      <c r="G128" s="42">
        <v>4.34</v>
      </c>
      <c r="H128" s="42">
        <v>4.8499999999999996</v>
      </c>
      <c r="I128" s="42">
        <v>1.73</v>
      </c>
      <c r="J128" s="46">
        <v>2.57</v>
      </c>
      <c r="V128" s="44" t="s">
        <v>1564</v>
      </c>
      <c r="W128" s="42">
        <v>3.91</v>
      </c>
      <c r="X128" s="42">
        <v>4.2699999999999996</v>
      </c>
      <c r="Y128" s="42">
        <v>4.13</v>
      </c>
      <c r="Z128" s="42">
        <v>4.3099999999999996</v>
      </c>
      <c r="AA128" s="42">
        <v>1.88</v>
      </c>
      <c r="AB128" s="42">
        <v>3.15</v>
      </c>
      <c r="AC128" s="42">
        <v>1.62</v>
      </c>
      <c r="AD128" s="46">
        <v>1.26</v>
      </c>
    </row>
    <row r="129" spans="2:40" ht="30">
      <c r="B129" s="44" t="s">
        <v>1565</v>
      </c>
      <c r="C129" s="42">
        <v>2.98</v>
      </c>
      <c r="D129" s="42">
        <v>4.41</v>
      </c>
      <c r="E129" s="42">
        <v>5.38</v>
      </c>
      <c r="F129" s="42">
        <v>5.62</v>
      </c>
      <c r="G129" s="42">
        <v>4.33</v>
      </c>
      <c r="H129" s="42">
        <v>4.8499999999999996</v>
      </c>
      <c r="I129" s="42">
        <v>1.74</v>
      </c>
      <c r="J129" s="46">
        <v>2.2000000000000002</v>
      </c>
      <c r="V129" s="44" t="s">
        <v>1566</v>
      </c>
      <c r="W129" s="42">
        <v>3.91</v>
      </c>
      <c r="X129" s="42">
        <v>4.2699999999999996</v>
      </c>
      <c r="Y129" s="42">
        <v>4.16</v>
      </c>
      <c r="Z129" s="42">
        <v>4.2699999999999996</v>
      </c>
      <c r="AA129" s="42">
        <v>3.63</v>
      </c>
      <c r="AB129" s="42">
        <v>3.12</v>
      </c>
      <c r="AC129" s="42">
        <v>1.62</v>
      </c>
      <c r="AD129" s="46">
        <v>1.21</v>
      </c>
      <c r="AF129" s="82" t="s">
        <v>534</v>
      </c>
      <c r="AG129" s="8">
        <v>4.2</v>
      </c>
      <c r="AH129" s="8">
        <v>6.08</v>
      </c>
      <c r="AI129" s="8">
        <v>3.62</v>
      </c>
      <c r="AJ129" s="8">
        <v>5.36</v>
      </c>
      <c r="AK129" s="8">
        <v>5.44</v>
      </c>
      <c r="AL129" s="8">
        <v>1.82</v>
      </c>
      <c r="AM129" s="8">
        <v>3.76</v>
      </c>
      <c r="AN129" s="9">
        <v>2.87</v>
      </c>
    </row>
    <row r="130" spans="2:40">
      <c r="B130" s="44" t="s">
        <v>1567</v>
      </c>
      <c r="C130" s="42">
        <v>2.98</v>
      </c>
      <c r="D130" s="42">
        <v>4.38</v>
      </c>
      <c r="E130" s="42">
        <v>5.3</v>
      </c>
      <c r="F130" s="42">
        <v>4.62</v>
      </c>
      <c r="G130" s="42">
        <v>4.33</v>
      </c>
      <c r="H130" s="42">
        <v>4.78</v>
      </c>
      <c r="I130" s="42">
        <v>1.74</v>
      </c>
      <c r="J130" s="46">
        <v>2.2599999999999998</v>
      </c>
      <c r="V130" s="44" t="s">
        <v>1568</v>
      </c>
      <c r="W130" s="42">
        <v>3.91</v>
      </c>
      <c r="X130" s="42">
        <v>4.28</v>
      </c>
      <c r="Y130" s="42">
        <v>4.17</v>
      </c>
      <c r="Z130" s="42">
        <v>4.3099999999999996</v>
      </c>
      <c r="AA130" s="42">
        <v>3.6</v>
      </c>
      <c r="AB130" s="42">
        <v>3.16</v>
      </c>
      <c r="AC130" s="42">
        <v>1.65</v>
      </c>
      <c r="AD130" s="46">
        <v>1.25</v>
      </c>
      <c r="AF130" s="52" t="s">
        <v>539</v>
      </c>
      <c r="AG130" s="11">
        <f>AG129-AG127</f>
        <v>5.0535714285720346E-2</v>
      </c>
      <c r="AH130" s="11">
        <f t="shared" ref="AH130:AN130" si="66">AH129-AH127</f>
        <v>-1.7614678899080083E-2</v>
      </c>
      <c r="AI130" s="11">
        <f t="shared" si="66"/>
        <v>-0.14736842105262005</v>
      </c>
      <c r="AJ130" s="11">
        <f t="shared" si="66"/>
        <v>0.23219047619048006</v>
      </c>
      <c r="AK130" s="11">
        <f t="shared" si="66"/>
        <v>0.12129629629630045</v>
      </c>
      <c r="AL130" s="11">
        <f t="shared" si="66"/>
        <v>-2.6186440677959943E-2</v>
      </c>
      <c r="AM130" s="11">
        <f t="shared" si="66"/>
        <v>9.3913043478299763E-3</v>
      </c>
      <c r="AN130" s="12">
        <f t="shared" si="66"/>
        <v>-0.27697674418603979</v>
      </c>
    </row>
    <row r="131" spans="2:40" ht="15.75" thickBot="1">
      <c r="B131" s="44" t="s">
        <v>1569</v>
      </c>
      <c r="C131" s="42">
        <v>3.01</v>
      </c>
      <c r="D131" s="42">
        <v>4.3899999999999997</v>
      </c>
      <c r="E131" s="42">
        <v>0.52</v>
      </c>
      <c r="F131" s="42">
        <v>5.66</v>
      </c>
      <c r="G131" s="42">
        <v>4.33</v>
      </c>
      <c r="H131" s="42">
        <v>4.82</v>
      </c>
      <c r="I131" s="42">
        <v>1.79</v>
      </c>
      <c r="J131" s="46">
        <v>2.27</v>
      </c>
      <c r="V131" s="44" t="s">
        <v>1570</v>
      </c>
      <c r="W131" s="42">
        <v>3.94</v>
      </c>
      <c r="X131" s="42">
        <v>4.28</v>
      </c>
      <c r="Y131" s="42">
        <v>4.16</v>
      </c>
      <c r="Z131" s="42">
        <v>99.99</v>
      </c>
      <c r="AA131" s="42">
        <v>3.62</v>
      </c>
      <c r="AB131" s="42">
        <v>3.11</v>
      </c>
      <c r="AC131" s="42">
        <v>1.62</v>
      </c>
      <c r="AD131" s="46">
        <v>1.26</v>
      </c>
      <c r="AF131" s="53" t="s">
        <v>544</v>
      </c>
      <c r="AG131" s="14">
        <f>(AG130/AG127)*100</f>
        <v>1.2178852691829165</v>
      </c>
      <c r="AH131" s="14">
        <f t="shared" ref="AH131:AN131" si="67">(AH130/AH127)*100</f>
        <v>-0.2888781896966372</v>
      </c>
      <c r="AI131" s="14">
        <f t="shared" si="67"/>
        <v>-3.911707180776459</v>
      </c>
      <c r="AJ131" s="14">
        <f t="shared" si="67"/>
        <v>4.5280635934772899</v>
      </c>
      <c r="AK131" s="14">
        <f t="shared" si="67"/>
        <v>2.2805612617945856</v>
      </c>
      <c r="AL131" s="14">
        <f t="shared" si="67"/>
        <v>-1.418407160890192</v>
      </c>
      <c r="AM131" s="14">
        <f t="shared" si="67"/>
        <v>0.25039413892248175</v>
      </c>
      <c r="AN131" s="15">
        <f t="shared" si="67"/>
        <v>-8.8013597398756556</v>
      </c>
    </row>
    <row r="132" spans="2:40" ht="15.75" thickBot="1">
      <c r="B132" s="44" t="s">
        <v>1571</v>
      </c>
      <c r="C132" s="42">
        <v>3.02</v>
      </c>
      <c r="D132" s="42">
        <v>4.41</v>
      </c>
      <c r="E132" s="42">
        <v>5.31</v>
      </c>
      <c r="F132" s="42">
        <v>5.62</v>
      </c>
      <c r="G132" s="42">
        <v>4.3</v>
      </c>
      <c r="H132" s="42">
        <v>4.8499999999999996</v>
      </c>
      <c r="I132" s="42">
        <v>1.79</v>
      </c>
      <c r="J132" s="46">
        <v>2.25</v>
      </c>
      <c r="V132" s="44" t="s">
        <v>1572</v>
      </c>
      <c r="W132" s="42">
        <v>3.92</v>
      </c>
      <c r="X132" s="42">
        <v>4.2699999999999996</v>
      </c>
      <c r="Y132" s="42">
        <v>4.1399999999999997</v>
      </c>
      <c r="Z132" s="42">
        <v>4.29</v>
      </c>
      <c r="AA132" s="42">
        <v>3.12</v>
      </c>
      <c r="AB132" s="42">
        <v>3.13</v>
      </c>
      <c r="AC132" s="42">
        <v>1.62</v>
      </c>
      <c r="AD132" s="46">
        <v>1.29</v>
      </c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2:40" ht="30">
      <c r="B133" s="44" t="s">
        <v>1573</v>
      </c>
      <c r="C133" s="42">
        <v>3.02</v>
      </c>
      <c r="D133" s="42">
        <v>0</v>
      </c>
      <c r="E133" s="42">
        <v>5.3</v>
      </c>
      <c r="F133" s="42">
        <v>5.64</v>
      </c>
      <c r="G133" s="42">
        <v>4.33</v>
      </c>
      <c r="H133" s="42">
        <v>4.8499999999999996</v>
      </c>
      <c r="I133" s="42">
        <v>1.74</v>
      </c>
      <c r="J133" s="46">
        <v>2.19</v>
      </c>
      <c r="V133" s="44" t="s">
        <v>1574</v>
      </c>
      <c r="W133" s="42">
        <v>3.9</v>
      </c>
      <c r="X133" s="42">
        <v>4.29</v>
      </c>
      <c r="Y133" s="42">
        <v>4.18</v>
      </c>
      <c r="Z133" s="42">
        <v>4.29</v>
      </c>
      <c r="AA133" s="42">
        <v>3.63</v>
      </c>
      <c r="AB133" s="42">
        <v>3.12</v>
      </c>
      <c r="AC133" s="42">
        <v>1.63</v>
      </c>
      <c r="AD133" s="46">
        <v>1.24</v>
      </c>
      <c r="AF133" s="82" t="s">
        <v>553</v>
      </c>
      <c r="AG133" s="8">
        <v>4.1399999999999997</v>
      </c>
      <c r="AH133" s="8">
        <v>6.08</v>
      </c>
      <c r="AI133" s="8">
        <v>3.66</v>
      </c>
      <c r="AJ133" s="8">
        <v>5.32</v>
      </c>
      <c r="AK133" s="8">
        <v>5.44</v>
      </c>
      <c r="AL133" s="8">
        <v>1.83</v>
      </c>
      <c r="AM133" s="8">
        <v>3.76</v>
      </c>
      <c r="AN133" s="9">
        <v>2.91</v>
      </c>
    </row>
    <row r="134" spans="2:40">
      <c r="B134" s="44" t="s">
        <v>1575</v>
      </c>
      <c r="C134" s="42">
        <v>3.03</v>
      </c>
      <c r="D134" s="42">
        <v>4.38</v>
      </c>
      <c r="E134" s="42">
        <v>1.81</v>
      </c>
      <c r="F134" s="42">
        <v>5.65</v>
      </c>
      <c r="G134" s="42">
        <v>4.33</v>
      </c>
      <c r="H134" s="42">
        <v>4.9000000000000004</v>
      </c>
      <c r="I134" s="42">
        <v>1.76</v>
      </c>
      <c r="J134" s="46">
        <v>0.56999999999999995</v>
      </c>
      <c r="V134" s="44" t="s">
        <v>1576</v>
      </c>
      <c r="W134" s="42">
        <v>3.94</v>
      </c>
      <c r="X134" s="42">
        <v>3.88</v>
      </c>
      <c r="Y134" s="42">
        <v>4.17</v>
      </c>
      <c r="Z134" s="42">
        <v>4.28</v>
      </c>
      <c r="AA134" s="42">
        <v>3.62</v>
      </c>
      <c r="AB134" s="42">
        <v>3.11</v>
      </c>
      <c r="AC134" s="42">
        <v>1.59</v>
      </c>
      <c r="AD134" s="46">
        <v>1.24</v>
      </c>
      <c r="AF134" s="52" t="s">
        <v>539</v>
      </c>
      <c r="AG134" s="11">
        <f>AG133-AG127</f>
        <v>-9.4642857142801518E-3</v>
      </c>
      <c r="AH134" s="11">
        <f t="shared" ref="AH134:AN134" si="68">AH133-AH127</f>
        <v>-1.7614678899080083E-2</v>
      </c>
      <c r="AI134" s="11">
        <f t="shared" si="68"/>
        <v>-0.10736842105262001</v>
      </c>
      <c r="AJ134" s="11">
        <f t="shared" si="68"/>
        <v>0.19219047619048002</v>
      </c>
      <c r="AK134" s="11">
        <f t="shared" si="68"/>
        <v>0.12129629629630045</v>
      </c>
      <c r="AL134" s="11">
        <f t="shared" si="68"/>
        <v>-1.6186440677959935E-2</v>
      </c>
      <c r="AM134" s="11">
        <f t="shared" si="68"/>
        <v>9.3913043478299763E-3</v>
      </c>
      <c r="AN134" s="12">
        <f t="shared" si="68"/>
        <v>-0.23697674418603976</v>
      </c>
    </row>
    <row r="135" spans="2:40" ht="15.75" thickBot="1">
      <c r="B135" s="44" t="s">
        <v>1577</v>
      </c>
      <c r="C135" s="42">
        <v>3.04</v>
      </c>
      <c r="D135" s="42">
        <v>4.37</v>
      </c>
      <c r="E135" s="42">
        <v>5.3</v>
      </c>
      <c r="F135" s="42">
        <v>4.71</v>
      </c>
      <c r="G135" s="42">
        <v>4.33</v>
      </c>
      <c r="H135" s="42">
        <v>4.8499999999999996</v>
      </c>
      <c r="I135" s="42">
        <v>1.75</v>
      </c>
      <c r="J135" s="46">
        <v>2.27</v>
      </c>
      <c r="V135" s="44" t="s">
        <v>1578</v>
      </c>
      <c r="W135" s="42">
        <v>3.92</v>
      </c>
      <c r="X135" s="42">
        <v>4.26</v>
      </c>
      <c r="Y135" s="42">
        <v>4.16</v>
      </c>
      <c r="Z135" s="42">
        <v>4.3</v>
      </c>
      <c r="AA135" s="42">
        <v>3.61</v>
      </c>
      <c r="AB135" s="42">
        <v>3.11</v>
      </c>
      <c r="AC135" s="42">
        <v>1.62</v>
      </c>
      <c r="AD135" s="46">
        <v>1.25</v>
      </c>
      <c r="AF135" s="53" t="s">
        <v>544</v>
      </c>
      <c r="AG135" s="14">
        <f>(AG134/AG127)*100</f>
        <v>-0.22808452037685126</v>
      </c>
      <c r="AH135" s="14">
        <f t="shared" ref="AH135:AN135" si="69">(AH134/AH127)*100</f>
        <v>-0.2888781896966372</v>
      </c>
      <c r="AI135" s="14">
        <f t="shared" si="69"/>
        <v>-2.8499580888513361</v>
      </c>
      <c r="AJ135" s="14">
        <f t="shared" si="69"/>
        <v>3.7480034174065633</v>
      </c>
      <c r="AK135" s="14">
        <f t="shared" si="69"/>
        <v>2.2805612617945856</v>
      </c>
      <c r="AL135" s="14">
        <f t="shared" si="69"/>
        <v>-0.87675005737859935</v>
      </c>
      <c r="AM135" s="14">
        <f t="shared" si="69"/>
        <v>0.25039413892248175</v>
      </c>
      <c r="AN135" s="15">
        <f t="shared" si="69"/>
        <v>-7.5302985515812377</v>
      </c>
    </row>
    <row r="136" spans="2:40" ht="15.75" thickBot="1">
      <c r="B136" s="44" t="s">
        <v>1579</v>
      </c>
      <c r="C136" s="42">
        <v>3.03</v>
      </c>
      <c r="D136" s="42">
        <v>4.37</v>
      </c>
      <c r="E136" s="42">
        <v>5.29</v>
      </c>
      <c r="F136" s="42">
        <v>4.9000000000000004</v>
      </c>
      <c r="G136" s="42">
        <v>4.3099999999999996</v>
      </c>
      <c r="H136" s="42">
        <v>4.84</v>
      </c>
      <c r="I136" s="42">
        <v>1.73</v>
      </c>
      <c r="J136" s="46">
        <v>2.25</v>
      </c>
      <c r="V136" s="44" t="s">
        <v>1580</v>
      </c>
      <c r="W136" s="42">
        <v>3.79</v>
      </c>
      <c r="X136" s="42">
        <v>4.25</v>
      </c>
      <c r="Y136" s="42">
        <v>4.17</v>
      </c>
      <c r="Z136" s="42">
        <v>4.26</v>
      </c>
      <c r="AA136" s="42">
        <v>3.59</v>
      </c>
      <c r="AB136" s="42">
        <v>3.15</v>
      </c>
      <c r="AC136" s="42">
        <v>1.63</v>
      </c>
      <c r="AD136" s="46">
        <v>1.25</v>
      </c>
    </row>
    <row r="137" spans="2:40" ht="30">
      <c r="B137" s="44" t="s">
        <v>1581</v>
      </c>
      <c r="C137" s="42">
        <v>2.99</v>
      </c>
      <c r="D137" s="42">
        <v>4.3899999999999997</v>
      </c>
      <c r="E137" s="42">
        <v>5.29</v>
      </c>
      <c r="F137" s="42">
        <v>5.65</v>
      </c>
      <c r="G137" s="42">
        <v>4.32</v>
      </c>
      <c r="H137" s="42">
        <v>4.8600000000000003</v>
      </c>
      <c r="I137" s="42">
        <v>1.71</v>
      </c>
      <c r="J137" s="46">
        <v>0.3</v>
      </c>
      <c r="V137" s="44" t="s">
        <v>1582</v>
      </c>
      <c r="W137" s="42">
        <v>3.91</v>
      </c>
      <c r="X137" s="42">
        <v>4.29</v>
      </c>
      <c r="Y137" s="42">
        <v>4.1900000000000004</v>
      </c>
      <c r="Z137" s="42">
        <v>4.32</v>
      </c>
      <c r="AA137" s="42">
        <v>3.63</v>
      </c>
      <c r="AB137" s="42">
        <v>3.11</v>
      </c>
      <c r="AC137" s="42">
        <v>1.61</v>
      </c>
      <c r="AD137" s="46">
        <v>1.28</v>
      </c>
      <c r="AF137" s="82" t="s">
        <v>568</v>
      </c>
      <c r="AG137" s="8">
        <v>4.1900000000000004</v>
      </c>
      <c r="AH137" s="8">
        <v>6.13</v>
      </c>
      <c r="AI137" s="8">
        <v>3.69</v>
      </c>
      <c r="AJ137" s="8">
        <v>5.35</v>
      </c>
      <c r="AK137" s="8">
        <v>5.49</v>
      </c>
      <c r="AL137" s="8">
        <v>1.85</v>
      </c>
      <c r="AM137" s="8">
        <v>3.72</v>
      </c>
      <c r="AN137" s="9">
        <v>2.9</v>
      </c>
    </row>
    <row r="138" spans="2:40">
      <c r="B138" s="44" t="s">
        <v>1583</v>
      </c>
      <c r="C138" s="42">
        <v>3.03</v>
      </c>
      <c r="D138" s="42">
        <v>4.38</v>
      </c>
      <c r="E138" s="42">
        <v>5.31</v>
      </c>
      <c r="F138" s="42">
        <v>5.64</v>
      </c>
      <c r="G138" s="42">
        <v>4.32</v>
      </c>
      <c r="H138" s="42">
        <v>1.78</v>
      </c>
      <c r="I138" s="42">
        <v>1.72</v>
      </c>
      <c r="J138" s="46">
        <v>2.29</v>
      </c>
      <c r="V138" s="44" t="s">
        <v>1584</v>
      </c>
      <c r="W138" s="42">
        <v>3.92</v>
      </c>
      <c r="X138" s="42">
        <v>4.2699999999999996</v>
      </c>
      <c r="Y138" s="42">
        <v>4.13</v>
      </c>
      <c r="Z138" s="42">
        <v>4.29</v>
      </c>
      <c r="AA138" s="42">
        <v>3.6</v>
      </c>
      <c r="AB138" s="42">
        <v>3.16</v>
      </c>
      <c r="AC138" s="42">
        <v>1.64</v>
      </c>
      <c r="AD138" s="46">
        <v>1.23</v>
      </c>
      <c r="AF138" s="52" t="s">
        <v>539</v>
      </c>
      <c r="AG138" s="11">
        <f>AG137-AG127</f>
        <v>4.0535714285720559E-2</v>
      </c>
      <c r="AH138" s="11">
        <f t="shared" ref="AH138:AN138" si="70">AH137-AH127</f>
        <v>3.2385321100919739E-2</v>
      </c>
      <c r="AI138" s="11">
        <f t="shared" si="70"/>
        <v>-7.7368421052620207E-2</v>
      </c>
      <c r="AJ138" s="11">
        <f t="shared" si="70"/>
        <v>0.22219047619047938</v>
      </c>
      <c r="AK138" s="11">
        <f t="shared" si="70"/>
        <v>0.17129629629630028</v>
      </c>
      <c r="AL138" s="11">
        <f t="shared" si="70"/>
        <v>3.8135593220400832E-3</v>
      </c>
      <c r="AM138" s="11">
        <f t="shared" si="70"/>
        <v>-3.0608695652169615E-2</v>
      </c>
      <c r="AN138" s="12">
        <f t="shared" si="70"/>
        <v>-0.24697674418603999</v>
      </c>
    </row>
    <row r="139" spans="2:40" ht="15.75" thickBot="1">
      <c r="B139" s="44" t="s">
        <v>1585</v>
      </c>
      <c r="C139" s="42">
        <v>2.94</v>
      </c>
      <c r="D139" s="42">
        <v>3.94</v>
      </c>
      <c r="E139" s="42">
        <v>5.27</v>
      </c>
      <c r="F139" s="42">
        <v>5.63</v>
      </c>
      <c r="G139" s="42">
        <v>4.3</v>
      </c>
      <c r="H139" s="42">
        <v>4.84</v>
      </c>
      <c r="I139" s="42">
        <v>1.74</v>
      </c>
      <c r="J139" s="46">
        <v>2.2200000000000002</v>
      </c>
      <c r="V139" s="44" t="s">
        <v>1586</v>
      </c>
      <c r="W139" s="42">
        <v>3.9</v>
      </c>
      <c r="X139" s="42">
        <v>4.2699999999999996</v>
      </c>
      <c r="Y139" s="42">
        <v>4.13</v>
      </c>
      <c r="Z139" s="42">
        <v>4.2699999999999996</v>
      </c>
      <c r="AA139" s="42">
        <v>3.6</v>
      </c>
      <c r="AB139" s="42">
        <v>3.15</v>
      </c>
      <c r="AC139" s="42">
        <v>1.61</v>
      </c>
      <c r="AD139" s="46">
        <v>1.28</v>
      </c>
      <c r="AF139" s="53" t="s">
        <v>544</v>
      </c>
      <c r="AG139" s="14">
        <f>(AG138/AG127)*100</f>
        <v>0.97689030425629575</v>
      </c>
      <c r="AH139" s="14">
        <f t="shared" ref="AH139:AN139" si="71">(AH138/AH127)*100</f>
        <v>0.53111458834861769</v>
      </c>
      <c r="AI139" s="14">
        <f t="shared" si="71"/>
        <v>-2.0536462699074995</v>
      </c>
      <c r="AJ139" s="14">
        <f t="shared" si="71"/>
        <v>4.3330485494595949</v>
      </c>
      <c r="AK139" s="14">
        <f t="shared" si="71"/>
        <v>3.2206399498625471</v>
      </c>
      <c r="AL139" s="14">
        <f t="shared" si="71"/>
        <v>0.2065641496445863</v>
      </c>
      <c r="AM139" s="14">
        <f t="shared" si="71"/>
        <v>-0.81609941574689537</v>
      </c>
      <c r="AN139" s="15">
        <f t="shared" si="71"/>
        <v>-7.8480638486548484</v>
      </c>
    </row>
    <row r="140" spans="2:40">
      <c r="B140" s="44" t="s">
        <v>1587</v>
      </c>
      <c r="C140" s="42">
        <v>2.98</v>
      </c>
      <c r="D140" s="42">
        <v>4.38</v>
      </c>
      <c r="E140" s="42">
        <v>5.36</v>
      </c>
      <c r="F140" s="42">
        <v>5.6</v>
      </c>
      <c r="G140" s="42">
        <v>4.32</v>
      </c>
      <c r="H140" s="42">
        <v>4.8</v>
      </c>
      <c r="I140" s="42">
        <v>1.76</v>
      </c>
      <c r="J140" s="46">
        <v>2.2200000000000002</v>
      </c>
      <c r="V140" s="44" t="s">
        <v>1588</v>
      </c>
      <c r="W140" s="42">
        <v>3.93</v>
      </c>
      <c r="X140" s="42">
        <v>4.25</v>
      </c>
      <c r="Y140" s="42">
        <v>4.13</v>
      </c>
      <c r="Z140" s="42">
        <v>4.29</v>
      </c>
      <c r="AA140" s="42">
        <v>3.64</v>
      </c>
      <c r="AB140" s="42">
        <v>3.14</v>
      </c>
      <c r="AC140" s="42">
        <v>1.62</v>
      </c>
      <c r="AD140" s="46">
        <v>1.23</v>
      </c>
    </row>
    <row r="141" spans="2:40">
      <c r="B141" s="44" t="s">
        <v>1589</v>
      </c>
      <c r="C141" s="42">
        <v>2.98</v>
      </c>
      <c r="D141" s="42">
        <v>4.41</v>
      </c>
      <c r="E141" s="42">
        <v>5.28</v>
      </c>
      <c r="F141" s="42">
        <v>0.49</v>
      </c>
      <c r="G141" s="42">
        <v>4.32</v>
      </c>
      <c r="H141" s="42">
        <v>4.84</v>
      </c>
      <c r="I141" s="42">
        <v>1.83</v>
      </c>
      <c r="J141" s="46">
        <v>2.23</v>
      </c>
      <c r="V141" s="44" t="s">
        <v>1590</v>
      </c>
      <c r="W141" s="42">
        <v>3.91</v>
      </c>
      <c r="X141" s="42">
        <v>4.2699999999999996</v>
      </c>
      <c r="Y141" s="42">
        <v>4.1500000000000004</v>
      </c>
      <c r="Z141" s="42">
        <v>4.28</v>
      </c>
      <c r="AA141" s="42">
        <v>3.63</v>
      </c>
      <c r="AB141" s="42">
        <v>3.13</v>
      </c>
      <c r="AC141" s="42">
        <v>1.63</v>
      </c>
      <c r="AD141" s="46">
        <v>1.23</v>
      </c>
    </row>
    <row r="142" spans="2:40">
      <c r="B142" s="44" t="s">
        <v>1591</v>
      </c>
      <c r="C142" s="42">
        <v>3</v>
      </c>
      <c r="D142" s="42">
        <v>4.37</v>
      </c>
      <c r="E142" s="42">
        <v>5.31</v>
      </c>
      <c r="F142" s="42">
        <v>5.66</v>
      </c>
      <c r="G142" s="42">
        <v>4.3499999999999996</v>
      </c>
      <c r="H142" s="42">
        <v>4.8499999999999996</v>
      </c>
      <c r="I142" s="42">
        <v>1.76</v>
      </c>
      <c r="J142" s="46">
        <v>2.2200000000000002</v>
      </c>
      <c r="V142" s="44" t="s">
        <v>1592</v>
      </c>
      <c r="W142" s="42">
        <v>3.92</v>
      </c>
      <c r="X142" s="42">
        <v>4.3099999999999996</v>
      </c>
      <c r="Y142" s="42">
        <v>4.18</v>
      </c>
      <c r="Z142" s="42">
        <v>4.32</v>
      </c>
      <c r="AA142" s="42">
        <v>3.65</v>
      </c>
      <c r="AB142" s="42">
        <v>3.12</v>
      </c>
      <c r="AC142" s="42">
        <v>1.64</v>
      </c>
      <c r="AD142" s="46">
        <v>1.26</v>
      </c>
    </row>
    <row r="143" spans="2:40">
      <c r="B143" s="44" t="s">
        <v>1593</v>
      </c>
      <c r="C143" s="42">
        <v>3.05</v>
      </c>
      <c r="D143" s="42">
        <v>4.37</v>
      </c>
      <c r="E143" s="42">
        <v>5.29</v>
      </c>
      <c r="F143" s="42">
        <v>3.94</v>
      </c>
      <c r="G143" s="42">
        <v>4.3499999999999996</v>
      </c>
      <c r="H143" s="42">
        <v>4.3099999999999996</v>
      </c>
      <c r="I143" s="42">
        <v>1.73</v>
      </c>
      <c r="J143" s="46">
        <v>2.2400000000000002</v>
      </c>
      <c r="V143" s="44" t="s">
        <v>1594</v>
      </c>
      <c r="W143" s="42">
        <v>3.91</v>
      </c>
      <c r="X143" s="42">
        <v>4.28</v>
      </c>
      <c r="Y143" s="42">
        <v>4.21</v>
      </c>
      <c r="Z143" s="42">
        <v>4.3</v>
      </c>
      <c r="AA143" s="42">
        <v>3.63</v>
      </c>
      <c r="AB143" s="42">
        <v>3.16</v>
      </c>
      <c r="AC143" s="42">
        <v>1.65</v>
      </c>
      <c r="AD143" s="46">
        <v>1.29</v>
      </c>
    </row>
    <row r="144" spans="2:40">
      <c r="B144" s="44" t="s">
        <v>1595</v>
      </c>
      <c r="C144" s="42">
        <v>2.98</v>
      </c>
      <c r="D144" s="42">
        <v>4.4000000000000004</v>
      </c>
      <c r="E144" s="42">
        <v>5.29</v>
      </c>
      <c r="F144" s="42">
        <v>5.66</v>
      </c>
      <c r="G144" s="42">
        <v>2.2200000000000002</v>
      </c>
      <c r="H144" s="42">
        <v>4.8499999999999996</v>
      </c>
      <c r="I144" s="42">
        <v>1.72</v>
      </c>
      <c r="J144" s="46">
        <v>2.2200000000000002</v>
      </c>
      <c r="V144" s="44" t="s">
        <v>1596</v>
      </c>
      <c r="W144" s="42">
        <v>3.9</v>
      </c>
      <c r="X144" s="42">
        <v>4.25</v>
      </c>
      <c r="Y144" s="42">
        <v>4.1100000000000003</v>
      </c>
      <c r="Z144" s="42">
        <v>3.82</v>
      </c>
      <c r="AA144" s="42">
        <v>3.66</v>
      </c>
      <c r="AB144" s="42">
        <v>3.11</v>
      </c>
      <c r="AC144" s="42">
        <v>1.63</v>
      </c>
      <c r="AD144" s="46">
        <v>1.25</v>
      </c>
    </row>
    <row r="145" spans="2:30">
      <c r="B145" s="44" t="s">
        <v>1597</v>
      </c>
      <c r="C145" s="42">
        <v>2.99</v>
      </c>
      <c r="D145" s="42">
        <v>0</v>
      </c>
      <c r="E145" s="42">
        <v>5.28</v>
      </c>
      <c r="F145" s="42">
        <v>5.6</v>
      </c>
      <c r="G145" s="42">
        <v>4.33</v>
      </c>
      <c r="H145" s="42">
        <v>4.8899999999999997</v>
      </c>
      <c r="I145" s="42">
        <v>1.74</v>
      </c>
      <c r="J145" s="46">
        <v>2.2599999999999998</v>
      </c>
      <c r="V145" s="44" t="s">
        <v>1598</v>
      </c>
      <c r="W145" s="42">
        <v>3.92</v>
      </c>
      <c r="X145" s="42">
        <v>4.29</v>
      </c>
      <c r="Y145" s="42">
        <v>4.16</v>
      </c>
      <c r="Z145" s="42">
        <v>4.32</v>
      </c>
      <c r="AA145" s="42">
        <v>3.59</v>
      </c>
      <c r="AB145" s="42">
        <v>3.11</v>
      </c>
      <c r="AC145" s="42">
        <v>0.99</v>
      </c>
      <c r="AD145" s="46">
        <v>1.28</v>
      </c>
    </row>
    <row r="146" spans="2:30">
      <c r="B146" s="44" t="s">
        <v>1599</v>
      </c>
      <c r="C146" s="42">
        <v>3</v>
      </c>
      <c r="D146" s="42">
        <v>4.3600000000000003</v>
      </c>
      <c r="E146" s="42">
        <v>5.32</v>
      </c>
      <c r="F146" s="42">
        <v>5.63</v>
      </c>
      <c r="G146" s="42">
        <v>4.3</v>
      </c>
      <c r="H146" s="42">
        <v>4.87</v>
      </c>
      <c r="I146" s="42">
        <v>1.76</v>
      </c>
      <c r="J146" s="46">
        <v>2.25</v>
      </c>
      <c r="V146" s="44" t="s">
        <v>1600</v>
      </c>
      <c r="W146" s="42">
        <v>3.89</v>
      </c>
      <c r="X146" s="42">
        <v>4.2699999999999996</v>
      </c>
      <c r="Y146" s="42">
        <v>4.21</v>
      </c>
      <c r="Z146" s="42">
        <v>4.28</v>
      </c>
      <c r="AA146" s="42">
        <v>3.6</v>
      </c>
      <c r="AB146" s="42">
        <v>3.16</v>
      </c>
      <c r="AC146" s="42">
        <v>1.64</v>
      </c>
      <c r="AD146" s="46">
        <v>1.23</v>
      </c>
    </row>
    <row r="147" spans="2:30">
      <c r="B147" s="44" t="s">
        <v>1601</v>
      </c>
      <c r="C147" s="42">
        <v>2.98</v>
      </c>
      <c r="D147" s="42">
        <v>4.37</v>
      </c>
      <c r="E147" s="42">
        <v>5.3</v>
      </c>
      <c r="F147" s="42">
        <v>5.66</v>
      </c>
      <c r="G147" s="42">
        <v>4.33</v>
      </c>
      <c r="H147" s="42">
        <v>4.88</v>
      </c>
      <c r="I147" s="42">
        <v>1.73</v>
      </c>
      <c r="J147" s="46">
        <v>2.2599999999999998</v>
      </c>
      <c r="V147" s="44" t="s">
        <v>1602</v>
      </c>
      <c r="W147" s="42">
        <v>3.91</v>
      </c>
      <c r="X147" s="42">
        <v>4.26</v>
      </c>
      <c r="Y147" s="42">
        <v>4.13</v>
      </c>
      <c r="Z147" s="42">
        <v>4.32</v>
      </c>
      <c r="AA147" s="42">
        <v>3.65</v>
      </c>
      <c r="AB147" s="42">
        <v>3.12</v>
      </c>
      <c r="AC147" s="42">
        <v>1.62</v>
      </c>
      <c r="AD147" s="46">
        <v>0.11</v>
      </c>
    </row>
    <row r="148" spans="2:30">
      <c r="B148" s="44" t="s">
        <v>1603</v>
      </c>
      <c r="C148" s="42">
        <v>3.05</v>
      </c>
      <c r="D148" s="42">
        <v>4.3899999999999997</v>
      </c>
      <c r="E148" s="42">
        <v>5.29</v>
      </c>
      <c r="F148" s="42">
        <v>5.63</v>
      </c>
      <c r="G148" s="42">
        <v>4.32</v>
      </c>
      <c r="H148" s="42">
        <v>4.8600000000000003</v>
      </c>
      <c r="I148" s="42">
        <v>1.69</v>
      </c>
      <c r="J148" s="46">
        <v>2.27</v>
      </c>
      <c r="V148" s="44" t="s">
        <v>1604</v>
      </c>
      <c r="W148" s="42">
        <v>3.94</v>
      </c>
      <c r="X148" s="42">
        <v>4.2699999999999996</v>
      </c>
      <c r="Y148" s="42">
        <v>4.1500000000000004</v>
      </c>
      <c r="Z148" s="42">
        <v>4.29</v>
      </c>
      <c r="AA148" s="42">
        <v>3.62</v>
      </c>
      <c r="AB148" s="42">
        <v>3.13</v>
      </c>
      <c r="AC148" s="42">
        <v>1.64</v>
      </c>
      <c r="AD148" s="46">
        <v>0.42</v>
      </c>
    </row>
    <row r="149" spans="2:30">
      <c r="B149" s="44" t="s">
        <v>1605</v>
      </c>
      <c r="C149" s="42">
        <v>2.96</v>
      </c>
      <c r="D149" s="42">
        <v>4.3600000000000003</v>
      </c>
      <c r="E149" s="42">
        <v>5.3</v>
      </c>
      <c r="F149" s="42">
        <v>5.66</v>
      </c>
      <c r="G149" s="42">
        <v>4.33</v>
      </c>
      <c r="H149" s="42">
        <v>4.8499999999999996</v>
      </c>
      <c r="I149" s="42">
        <v>1.74</v>
      </c>
      <c r="J149" s="46">
        <v>1.71</v>
      </c>
      <c r="V149" s="44" t="s">
        <v>1606</v>
      </c>
      <c r="W149" s="42">
        <v>3.93</v>
      </c>
      <c r="X149" s="42">
        <v>0.32</v>
      </c>
      <c r="Y149" s="42">
        <v>4.18</v>
      </c>
      <c r="Z149" s="42">
        <v>4.3</v>
      </c>
      <c r="AA149" s="42">
        <v>3.65</v>
      </c>
      <c r="AB149" s="42">
        <v>3.1</v>
      </c>
      <c r="AC149" s="42">
        <v>1.64</v>
      </c>
      <c r="AD149" s="46">
        <v>1.34</v>
      </c>
    </row>
    <row r="150" spans="2:30">
      <c r="B150" s="44" t="s">
        <v>1607</v>
      </c>
      <c r="C150" s="42">
        <v>3</v>
      </c>
      <c r="D150" s="42">
        <v>4.43</v>
      </c>
      <c r="E150" s="42">
        <v>5.28</v>
      </c>
      <c r="F150" s="42">
        <v>5.63</v>
      </c>
      <c r="G150" s="42">
        <v>4.3499999999999996</v>
      </c>
      <c r="H150" s="42">
        <v>1.94</v>
      </c>
      <c r="I150" s="42">
        <v>1.74</v>
      </c>
      <c r="J150" s="46">
        <v>2.25</v>
      </c>
      <c r="V150" s="44" t="s">
        <v>1608</v>
      </c>
      <c r="W150" s="42">
        <v>3.93</v>
      </c>
      <c r="X150" s="42">
        <v>4.2699999999999996</v>
      </c>
      <c r="Y150" s="42">
        <v>4.1399999999999997</v>
      </c>
      <c r="Z150" s="42">
        <v>4.29</v>
      </c>
      <c r="AA150" s="42">
        <v>3.64</v>
      </c>
      <c r="AB150" s="42">
        <v>3.12</v>
      </c>
      <c r="AC150" s="42">
        <v>1.64</v>
      </c>
      <c r="AD150" s="46">
        <v>1.25</v>
      </c>
    </row>
    <row r="151" spans="2:30">
      <c r="B151" s="44" t="s">
        <v>1609</v>
      </c>
      <c r="C151" s="42">
        <v>3</v>
      </c>
      <c r="D151" s="42">
        <v>4.4000000000000004</v>
      </c>
      <c r="E151" s="42">
        <v>5.28</v>
      </c>
      <c r="F151" s="42">
        <v>5.12</v>
      </c>
      <c r="G151" s="42">
        <v>4.3099999999999996</v>
      </c>
      <c r="H151" s="42">
        <v>4.8099999999999996</v>
      </c>
      <c r="I151" s="42">
        <v>1.76</v>
      </c>
      <c r="J151" s="46">
        <v>2.2799999999999998</v>
      </c>
      <c r="V151" s="44" t="s">
        <v>1610</v>
      </c>
      <c r="W151" s="42">
        <v>3.93</v>
      </c>
      <c r="X151" s="42">
        <v>4.29</v>
      </c>
      <c r="Y151" s="42">
        <v>4.1900000000000004</v>
      </c>
      <c r="Z151" s="42">
        <v>4.33</v>
      </c>
      <c r="AA151" s="42">
        <v>1.28</v>
      </c>
      <c r="AB151" s="42">
        <v>3.14</v>
      </c>
      <c r="AC151" s="42">
        <v>1.59</v>
      </c>
      <c r="AD151" s="46">
        <v>1.28</v>
      </c>
    </row>
    <row r="152" spans="2:30">
      <c r="B152" s="44" t="s">
        <v>1611</v>
      </c>
      <c r="C152" s="42">
        <v>3.01</v>
      </c>
      <c r="D152" s="42">
        <v>4.3899999999999997</v>
      </c>
      <c r="E152" s="42">
        <v>5.29</v>
      </c>
      <c r="F152" s="42">
        <v>5.61</v>
      </c>
      <c r="G152" s="42">
        <v>4.32</v>
      </c>
      <c r="H152" s="42">
        <v>4.8499999999999996</v>
      </c>
      <c r="I152" s="42">
        <v>1.73</v>
      </c>
      <c r="J152" s="46">
        <v>2.2599999999999998</v>
      </c>
      <c r="V152" s="44" t="s">
        <v>1612</v>
      </c>
      <c r="W152" s="42">
        <v>3.92</v>
      </c>
      <c r="X152" s="42">
        <v>4.26</v>
      </c>
      <c r="Y152" s="42">
        <v>4.16</v>
      </c>
      <c r="Z152" s="42">
        <v>4.32</v>
      </c>
      <c r="AA152" s="42">
        <v>1.1200000000000001</v>
      </c>
      <c r="AB152" s="42">
        <v>3.11</v>
      </c>
      <c r="AC152" s="42">
        <v>1.6</v>
      </c>
      <c r="AD152" s="46">
        <v>1.24</v>
      </c>
    </row>
    <row r="153" spans="2:30">
      <c r="B153" s="44" t="s">
        <v>1613</v>
      </c>
      <c r="C153" s="42">
        <v>3</v>
      </c>
      <c r="D153" s="42">
        <v>4.38</v>
      </c>
      <c r="E153" s="42">
        <v>5.29</v>
      </c>
      <c r="F153" s="42">
        <v>5.64</v>
      </c>
      <c r="G153" s="42">
        <v>4.29</v>
      </c>
      <c r="H153" s="42">
        <v>4.8499999999999996</v>
      </c>
      <c r="I153" s="42">
        <v>1.75</v>
      </c>
      <c r="J153" s="46">
        <v>3.27</v>
      </c>
      <c r="V153" s="44" t="s">
        <v>1614</v>
      </c>
      <c r="W153" s="42">
        <v>3.94</v>
      </c>
      <c r="X153" s="42">
        <v>4.2699999999999996</v>
      </c>
      <c r="Y153" s="42">
        <v>4.16</v>
      </c>
      <c r="Z153" s="42">
        <v>4.32</v>
      </c>
      <c r="AA153" s="42">
        <v>3.6</v>
      </c>
      <c r="AB153" s="42">
        <v>3.11</v>
      </c>
      <c r="AC153" s="42">
        <v>1.63</v>
      </c>
      <c r="AD153" s="46">
        <v>1.26</v>
      </c>
    </row>
    <row r="154" spans="2:30">
      <c r="B154" s="44" t="s">
        <v>1615</v>
      </c>
      <c r="C154" s="42">
        <v>2.95</v>
      </c>
      <c r="D154" s="42">
        <v>4.38</v>
      </c>
      <c r="E154" s="42">
        <v>5.32</v>
      </c>
      <c r="F154" s="42">
        <v>5.61</v>
      </c>
      <c r="G154" s="42">
        <v>4.32</v>
      </c>
      <c r="H154" s="42">
        <v>4.0599999999999996</v>
      </c>
      <c r="I154" s="42">
        <v>1.74</v>
      </c>
      <c r="J154" s="46">
        <v>2.27</v>
      </c>
      <c r="V154" s="44" t="s">
        <v>1616</v>
      </c>
      <c r="W154" s="42">
        <v>3.91</v>
      </c>
      <c r="X154" s="42">
        <v>2.3199999999999998</v>
      </c>
      <c r="Y154" s="42">
        <v>4.17</v>
      </c>
      <c r="Z154" s="42">
        <v>4.32</v>
      </c>
      <c r="AA154" s="42">
        <v>3.62</v>
      </c>
      <c r="AB154" s="42">
        <v>3.15</v>
      </c>
      <c r="AC154" s="42">
        <v>1.63</v>
      </c>
      <c r="AD154" s="46">
        <v>1.2</v>
      </c>
    </row>
    <row r="155" spans="2:30">
      <c r="B155" s="44" t="s">
        <v>1617</v>
      </c>
      <c r="C155" s="42">
        <v>2.97</v>
      </c>
      <c r="D155" s="42">
        <v>4.3499999999999996</v>
      </c>
      <c r="E155" s="42">
        <v>5.28</v>
      </c>
      <c r="F155" s="42">
        <v>5.64</v>
      </c>
      <c r="G155" s="42">
        <v>4.32</v>
      </c>
      <c r="H155" s="42">
        <v>4.83</v>
      </c>
      <c r="I155" s="42">
        <v>1.81</v>
      </c>
      <c r="J155" s="46">
        <v>2.2599999999999998</v>
      </c>
      <c r="V155" s="44" t="s">
        <v>1618</v>
      </c>
      <c r="W155" s="42">
        <v>3.94</v>
      </c>
      <c r="X155" s="42">
        <v>0.26</v>
      </c>
      <c r="Y155" s="42">
        <v>4.1399999999999997</v>
      </c>
      <c r="Z155" s="42">
        <v>4.3099999999999996</v>
      </c>
      <c r="AA155" s="42">
        <v>3.58</v>
      </c>
      <c r="AB155" s="42">
        <v>3.1</v>
      </c>
      <c r="AC155" s="42">
        <v>1.62</v>
      </c>
      <c r="AD155" s="46">
        <v>1.24</v>
      </c>
    </row>
    <row r="156" spans="2:30">
      <c r="B156" s="44" t="s">
        <v>1619</v>
      </c>
      <c r="C156" s="42">
        <v>3.02</v>
      </c>
      <c r="D156" s="42">
        <v>4.4400000000000004</v>
      </c>
      <c r="E156" s="42">
        <v>5.31</v>
      </c>
      <c r="F156" s="42">
        <v>5.64</v>
      </c>
      <c r="G156" s="42">
        <v>4.33</v>
      </c>
      <c r="H156" s="42">
        <v>4.8600000000000003</v>
      </c>
      <c r="I156" s="42">
        <v>1.72</v>
      </c>
      <c r="J156" s="46">
        <v>2.2799999999999998</v>
      </c>
      <c r="V156" s="44" t="s">
        <v>1620</v>
      </c>
      <c r="W156" s="42">
        <v>3.92</v>
      </c>
      <c r="X156" s="42">
        <v>4.28</v>
      </c>
      <c r="Y156" s="42">
        <v>4.1500000000000004</v>
      </c>
      <c r="Z156" s="42">
        <v>4.3</v>
      </c>
      <c r="AA156" s="42">
        <v>3.63</v>
      </c>
      <c r="AB156" s="42">
        <v>3.11</v>
      </c>
      <c r="AC156" s="42">
        <v>1.64</v>
      </c>
      <c r="AD156" s="46">
        <v>1.28</v>
      </c>
    </row>
    <row r="157" spans="2:30">
      <c r="B157" s="44" t="s">
        <v>1621</v>
      </c>
      <c r="C157" s="42">
        <v>2.98</v>
      </c>
      <c r="D157" s="42">
        <v>4.4000000000000004</v>
      </c>
      <c r="E157" s="42">
        <v>5.31</v>
      </c>
      <c r="F157" s="42">
        <v>5.63</v>
      </c>
      <c r="G157" s="42">
        <v>4.34</v>
      </c>
      <c r="H157" s="42">
        <v>4.8499999999999996</v>
      </c>
      <c r="I157" s="42">
        <v>1.77</v>
      </c>
      <c r="J157" s="46">
        <v>2.2400000000000002</v>
      </c>
      <c r="V157" s="44" t="s">
        <v>1622</v>
      </c>
      <c r="W157" s="42">
        <v>3.91</v>
      </c>
      <c r="X157" s="42">
        <v>4.25</v>
      </c>
      <c r="Y157" s="42">
        <v>4.16</v>
      </c>
      <c r="Z157" s="42">
        <v>4.3</v>
      </c>
      <c r="AA157" s="42">
        <v>3.63</v>
      </c>
      <c r="AB157" s="42">
        <v>3.11</v>
      </c>
      <c r="AC157" s="42">
        <v>1.62</v>
      </c>
      <c r="AD157" s="46">
        <v>1.33</v>
      </c>
    </row>
    <row r="158" spans="2:30">
      <c r="B158" s="44" t="s">
        <v>1623</v>
      </c>
      <c r="C158" s="42">
        <v>2.97</v>
      </c>
      <c r="D158" s="42">
        <v>4.3899999999999997</v>
      </c>
      <c r="E158" s="42">
        <v>5.32</v>
      </c>
      <c r="F158" s="42">
        <v>5.63</v>
      </c>
      <c r="G158" s="42">
        <v>4.33</v>
      </c>
      <c r="H158" s="42">
        <v>4.82</v>
      </c>
      <c r="I158" s="42">
        <v>1.76</v>
      </c>
      <c r="J158" s="46">
        <v>2.2599999999999998</v>
      </c>
      <c r="V158" s="44" t="s">
        <v>1624</v>
      </c>
      <c r="W158" s="42">
        <v>3.94</v>
      </c>
      <c r="X158" s="42">
        <v>3.94</v>
      </c>
      <c r="Y158" s="42">
        <v>4.2</v>
      </c>
      <c r="Z158" s="42">
        <v>4.26</v>
      </c>
      <c r="AA158" s="42">
        <v>0.66</v>
      </c>
      <c r="AB158" s="42">
        <v>3.1</v>
      </c>
      <c r="AC158" s="42">
        <v>1.65</v>
      </c>
      <c r="AD158" s="46">
        <v>1.24</v>
      </c>
    </row>
    <row r="159" spans="2:30">
      <c r="B159" s="44" t="s">
        <v>1625</v>
      </c>
      <c r="C159" s="42">
        <v>3</v>
      </c>
      <c r="D159" s="42">
        <v>4.3899999999999997</v>
      </c>
      <c r="E159" s="42">
        <v>5.3</v>
      </c>
      <c r="F159" s="42">
        <v>5.08</v>
      </c>
      <c r="G159" s="42">
        <v>4.33</v>
      </c>
      <c r="H159" s="42">
        <v>4.0199999999999996</v>
      </c>
      <c r="I159" s="42">
        <v>1.78</v>
      </c>
      <c r="J159" s="46">
        <v>2.2599999999999998</v>
      </c>
      <c r="V159" s="44" t="s">
        <v>1626</v>
      </c>
      <c r="W159" s="42">
        <v>3.94</v>
      </c>
      <c r="X159" s="42">
        <v>4.29</v>
      </c>
      <c r="Y159" s="42">
        <v>4.09</v>
      </c>
      <c r="Z159" s="42">
        <v>4.3</v>
      </c>
      <c r="AA159" s="42">
        <v>3.63</v>
      </c>
      <c r="AB159" s="42">
        <v>3.12</v>
      </c>
      <c r="AC159" s="42">
        <v>1.63</v>
      </c>
      <c r="AD159" s="46">
        <v>1.22</v>
      </c>
    </row>
    <row r="160" spans="2:30">
      <c r="B160" s="44" t="s">
        <v>1627</v>
      </c>
      <c r="C160" s="42">
        <v>3</v>
      </c>
      <c r="D160" s="42">
        <v>4.3899999999999997</v>
      </c>
      <c r="E160" s="42">
        <v>5.28</v>
      </c>
      <c r="F160" s="42">
        <v>5.64</v>
      </c>
      <c r="G160" s="42">
        <v>4.32</v>
      </c>
      <c r="H160" s="42">
        <v>4.8</v>
      </c>
      <c r="I160" s="42">
        <v>1.73</v>
      </c>
      <c r="J160" s="46">
        <v>2.2599999999999998</v>
      </c>
      <c r="V160" s="44" t="s">
        <v>1628</v>
      </c>
      <c r="W160" s="42">
        <v>3.93</v>
      </c>
      <c r="X160" s="42">
        <v>4.2699999999999996</v>
      </c>
      <c r="Y160" s="42">
        <v>4.17</v>
      </c>
      <c r="Z160" s="42">
        <v>4.34</v>
      </c>
      <c r="AA160" s="42">
        <v>1.74</v>
      </c>
      <c r="AB160" s="42">
        <v>3.16</v>
      </c>
      <c r="AC160" s="42">
        <v>1.62</v>
      </c>
      <c r="AD160" s="46">
        <v>1.26</v>
      </c>
    </row>
    <row r="161" spans="2:30">
      <c r="B161" s="44" t="s">
        <v>1629</v>
      </c>
      <c r="C161" s="42">
        <v>3.01</v>
      </c>
      <c r="D161" s="42">
        <v>4.41</v>
      </c>
      <c r="E161" s="42">
        <v>5.31</v>
      </c>
      <c r="F161" s="42">
        <v>5.6</v>
      </c>
      <c r="G161" s="42">
        <v>4.32</v>
      </c>
      <c r="H161" s="42">
        <v>4.8499999999999996</v>
      </c>
      <c r="I161" s="42">
        <v>1.76</v>
      </c>
      <c r="J161" s="46">
        <v>2.2400000000000002</v>
      </c>
      <c r="V161" s="44" t="s">
        <v>1630</v>
      </c>
      <c r="W161" s="42">
        <v>3.91</v>
      </c>
      <c r="X161" s="42">
        <v>4.26</v>
      </c>
      <c r="Y161" s="42">
        <v>4.1399999999999997</v>
      </c>
      <c r="Z161" s="42">
        <v>4.3099999999999996</v>
      </c>
      <c r="AA161" s="42">
        <v>0.12</v>
      </c>
      <c r="AB161" s="42">
        <v>3.11</v>
      </c>
      <c r="AC161" s="42">
        <v>1.62</v>
      </c>
      <c r="AD161" s="46">
        <v>1.24</v>
      </c>
    </row>
    <row r="162" spans="2:30">
      <c r="B162" s="44" t="s">
        <v>1631</v>
      </c>
      <c r="C162" s="42">
        <v>3.01</v>
      </c>
      <c r="D162" s="42">
        <v>4.42</v>
      </c>
      <c r="E162" s="42">
        <v>5.28</v>
      </c>
      <c r="F162" s="42">
        <v>2.1800000000000002</v>
      </c>
      <c r="G162" s="42">
        <v>4.3499999999999996</v>
      </c>
      <c r="H162" s="42">
        <v>4.8499999999999996</v>
      </c>
      <c r="I162" s="42">
        <v>1.74</v>
      </c>
      <c r="J162" s="46">
        <v>2.27</v>
      </c>
      <c r="V162" s="44" t="s">
        <v>1632</v>
      </c>
      <c r="W162" s="42">
        <v>3.91</v>
      </c>
      <c r="X162" s="42">
        <v>4.29</v>
      </c>
      <c r="Y162" s="42">
        <v>4.17</v>
      </c>
      <c r="Z162" s="42">
        <v>4.3</v>
      </c>
      <c r="AA162" s="42">
        <v>3.61</v>
      </c>
      <c r="AB162" s="42">
        <v>3.16</v>
      </c>
      <c r="AC162" s="42">
        <v>1.62</v>
      </c>
      <c r="AD162" s="46">
        <v>1.34</v>
      </c>
    </row>
    <row r="163" spans="2:30">
      <c r="B163" s="44" t="s">
        <v>1633</v>
      </c>
      <c r="C163" s="42">
        <v>2.99</v>
      </c>
      <c r="D163" s="42">
        <v>0</v>
      </c>
      <c r="E163" s="42">
        <v>5.26</v>
      </c>
      <c r="F163" s="42">
        <v>5.62</v>
      </c>
      <c r="G163" s="42">
        <v>4.32</v>
      </c>
      <c r="H163" s="42">
        <v>2</v>
      </c>
      <c r="I163" s="42">
        <v>1.74</v>
      </c>
      <c r="J163" s="46">
        <v>2.2599999999999998</v>
      </c>
      <c r="V163" s="44" t="s">
        <v>1634</v>
      </c>
      <c r="W163" s="42">
        <v>3.96</v>
      </c>
      <c r="X163" s="42">
        <v>0.6</v>
      </c>
      <c r="Y163" s="42">
        <v>4.17</v>
      </c>
      <c r="Z163" s="42">
        <v>4.2699999999999996</v>
      </c>
      <c r="AA163" s="42">
        <v>2.14</v>
      </c>
      <c r="AB163" s="42">
        <v>1.44</v>
      </c>
      <c r="AC163" s="42">
        <v>1.65</v>
      </c>
      <c r="AD163" s="46">
        <v>1.29</v>
      </c>
    </row>
    <row r="164" spans="2:30">
      <c r="B164" s="44" t="s">
        <v>1635</v>
      </c>
      <c r="C164" s="42">
        <v>3.02</v>
      </c>
      <c r="D164" s="42">
        <v>4.3600000000000003</v>
      </c>
      <c r="E164" s="42">
        <v>5.26</v>
      </c>
      <c r="F164" s="42">
        <v>5.64</v>
      </c>
      <c r="G164" s="42">
        <v>4.3099999999999996</v>
      </c>
      <c r="H164" s="42">
        <v>0.66</v>
      </c>
      <c r="I164" s="42">
        <v>1.75</v>
      </c>
      <c r="J164" s="46">
        <v>1.52</v>
      </c>
      <c r="V164" s="44" t="s">
        <v>1636</v>
      </c>
      <c r="W164" s="42">
        <v>0.4</v>
      </c>
      <c r="X164" s="42">
        <v>4.25</v>
      </c>
      <c r="Y164" s="42">
        <v>4.1500000000000004</v>
      </c>
      <c r="Z164" s="42">
        <v>4.3</v>
      </c>
      <c r="AA164" s="42">
        <v>0.24</v>
      </c>
      <c r="AB164" s="42">
        <v>3.12</v>
      </c>
      <c r="AC164" s="42">
        <v>1.61</v>
      </c>
      <c r="AD164" s="46">
        <v>1.23</v>
      </c>
    </row>
    <row r="165" spans="2:30">
      <c r="B165" s="44" t="s">
        <v>1637</v>
      </c>
      <c r="C165" s="42">
        <v>3.01</v>
      </c>
      <c r="D165" s="42">
        <v>4.37</v>
      </c>
      <c r="E165" s="42">
        <v>5.3</v>
      </c>
      <c r="F165" s="42">
        <v>5.63</v>
      </c>
      <c r="G165" s="42">
        <v>4.32</v>
      </c>
      <c r="H165" s="42">
        <v>4.84</v>
      </c>
      <c r="I165" s="42">
        <v>0</v>
      </c>
      <c r="J165" s="46">
        <v>2.2599999999999998</v>
      </c>
      <c r="V165" s="44" t="s">
        <v>1638</v>
      </c>
      <c r="W165" s="42">
        <v>3.92</v>
      </c>
      <c r="X165" s="42">
        <v>4.28</v>
      </c>
      <c r="Y165" s="42">
        <v>4.0999999999999996</v>
      </c>
      <c r="Z165" s="42">
        <v>4.3</v>
      </c>
      <c r="AA165" s="42">
        <v>3.59</v>
      </c>
      <c r="AB165" s="42">
        <v>3.16</v>
      </c>
      <c r="AC165" s="42">
        <v>1.6</v>
      </c>
      <c r="AD165" s="46">
        <v>1.23</v>
      </c>
    </row>
    <row r="166" spans="2:30">
      <c r="B166" s="44" t="s">
        <v>1639</v>
      </c>
      <c r="C166" s="42">
        <v>99.99</v>
      </c>
      <c r="D166" s="42">
        <v>4.45</v>
      </c>
      <c r="E166" s="42">
        <v>5.3</v>
      </c>
      <c r="F166" s="42">
        <v>5.63</v>
      </c>
      <c r="G166" s="42">
        <v>4.3</v>
      </c>
      <c r="H166" s="42">
        <v>4.87</v>
      </c>
      <c r="I166" s="42">
        <v>1.73</v>
      </c>
      <c r="J166" s="46">
        <v>1.05</v>
      </c>
      <c r="V166" s="44" t="s">
        <v>1640</v>
      </c>
      <c r="W166" s="42">
        <v>3.9</v>
      </c>
      <c r="X166" s="42">
        <v>1.22</v>
      </c>
      <c r="Y166" s="42">
        <v>4.17</v>
      </c>
      <c r="Z166" s="42">
        <v>4.3499999999999996</v>
      </c>
      <c r="AA166" s="42">
        <v>3.6</v>
      </c>
      <c r="AB166" s="42">
        <v>3.13</v>
      </c>
      <c r="AC166" s="42">
        <v>1.62</v>
      </c>
      <c r="AD166" s="46">
        <v>1.21</v>
      </c>
    </row>
    <row r="167" spans="2:30">
      <c r="B167" s="44" t="s">
        <v>1641</v>
      </c>
      <c r="C167" s="42">
        <v>2.95</v>
      </c>
      <c r="D167" s="42">
        <v>4.42</v>
      </c>
      <c r="E167" s="42">
        <v>5.3</v>
      </c>
      <c r="F167" s="42">
        <v>5.0999999999999996</v>
      </c>
      <c r="G167" s="42">
        <v>4.32</v>
      </c>
      <c r="H167" s="42">
        <v>3.48</v>
      </c>
      <c r="I167" s="42">
        <v>1.72</v>
      </c>
      <c r="J167" s="46">
        <v>2.2599999999999998</v>
      </c>
      <c r="V167" s="44" t="s">
        <v>1642</v>
      </c>
      <c r="W167" s="42">
        <v>3.93</v>
      </c>
      <c r="X167" s="42">
        <v>4.2699999999999996</v>
      </c>
      <c r="Y167" s="42">
        <v>4.16</v>
      </c>
      <c r="Z167" s="42">
        <v>4.33</v>
      </c>
      <c r="AA167" s="42">
        <v>3.62</v>
      </c>
      <c r="AB167" s="42">
        <v>3.14</v>
      </c>
      <c r="AC167" s="42">
        <v>1.62</v>
      </c>
      <c r="AD167" s="46">
        <v>1.24</v>
      </c>
    </row>
    <row r="168" spans="2:30">
      <c r="B168" s="44" t="s">
        <v>1643</v>
      </c>
      <c r="C168" s="42">
        <v>3.03</v>
      </c>
      <c r="D168" s="42">
        <v>4.4000000000000004</v>
      </c>
      <c r="E168" s="42">
        <v>5.31</v>
      </c>
      <c r="F168" s="42">
        <v>5.62</v>
      </c>
      <c r="G168" s="42">
        <v>4.32</v>
      </c>
      <c r="H168" s="42">
        <v>1.57</v>
      </c>
      <c r="I168" s="42">
        <v>1.74</v>
      </c>
      <c r="J168" s="46">
        <v>2.2599999999999998</v>
      </c>
      <c r="V168" s="44" t="s">
        <v>1644</v>
      </c>
      <c r="W168" s="42">
        <v>3.95</v>
      </c>
      <c r="X168" s="42">
        <v>4.28</v>
      </c>
      <c r="Y168" s="42">
        <v>4.16</v>
      </c>
      <c r="Z168" s="42">
        <v>4.29</v>
      </c>
      <c r="AA168" s="42">
        <v>3.67</v>
      </c>
      <c r="AB168" s="42">
        <v>3.14</v>
      </c>
      <c r="AC168" s="42">
        <v>1.66</v>
      </c>
      <c r="AD168" s="46">
        <v>1.27</v>
      </c>
    </row>
    <row r="169" spans="2:30">
      <c r="B169" s="44" t="s">
        <v>1645</v>
      </c>
      <c r="C169" s="42">
        <v>2.98</v>
      </c>
      <c r="D169" s="42">
        <v>4.4000000000000004</v>
      </c>
      <c r="E169" s="42">
        <v>5.3</v>
      </c>
      <c r="F169" s="42">
        <v>5.64</v>
      </c>
      <c r="G169" s="42">
        <v>4.33</v>
      </c>
      <c r="H169" s="42">
        <v>4.83</v>
      </c>
      <c r="I169" s="42">
        <v>1.79</v>
      </c>
      <c r="J169" s="46">
        <v>2.29</v>
      </c>
      <c r="V169" s="44" t="s">
        <v>1646</v>
      </c>
      <c r="W169" s="42">
        <v>3.92</v>
      </c>
      <c r="X169" s="42">
        <v>4.29</v>
      </c>
      <c r="Y169" s="42">
        <v>4.1399999999999997</v>
      </c>
      <c r="Z169" s="42">
        <v>4.29</v>
      </c>
      <c r="AA169" s="42">
        <v>3.59</v>
      </c>
      <c r="AB169" s="42">
        <v>3.13</v>
      </c>
      <c r="AC169" s="42">
        <v>1.62</v>
      </c>
      <c r="AD169" s="46">
        <v>1.26</v>
      </c>
    </row>
    <row r="170" spans="2:30">
      <c r="B170" s="44" t="s">
        <v>1647</v>
      </c>
      <c r="C170" s="42">
        <v>2.99</v>
      </c>
      <c r="D170" s="42">
        <v>0</v>
      </c>
      <c r="E170" s="42">
        <v>5.36</v>
      </c>
      <c r="F170" s="42">
        <v>5.61</v>
      </c>
      <c r="G170" s="42">
        <v>3.64</v>
      </c>
      <c r="H170" s="42">
        <v>4.84</v>
      </c>
      <c r="I170" s="42">
        <v>1.74</v>
      </c>
      <c r="J170" s="46">
        <v>4.49</v>
      </c>
      <c r="V170" s="44" t="s">
        <v>1648</v>
      </c>
      <c r="W170" s="42">
        <v>3.95</v>
      </c>
      <c r="X170" s="42">
        <v>4.29</v>
      </c>
      <c r="Y170" s="42">
        <v>4.17</v>
      </c>
      <c r="Z170" s="42">
        <v>4.29</v>
      </c>
      <c r="AA170" s="42">
        <v>3.58</v>
      </c>
      <c r="AB170" s="42">
        <v>3.12</v>
      </c>
      <c r="AC170" s="42">
        <v>1.66</v>
      </c>
      <c r="AD170" s="46">
        <v>1.2</v>
      </c>
    </row>
    <row r="171" spans="2:30">
      <c r="B171" s="44" t="s">
        <v>1649</v>
      </c>
      <c r="C171" s="42">
        <v>3</v>
      </c>
      <c r="D171" s="42">
        <v>4.3600000000000003</v>
      </c>
      <c r="E171" s="42">
        <v>2.19</v>
      </c>
      <c r="F171" s="42">
        <v>5.63</v>
      </c>
      <c r="G171" s="42">
        <v>4.3</v>
      </c>
      <c r="H171" s="42">
        <v>4.01</v>
      </c>
      <c r="I171" s="42">
        <v>1.76</v>
      </c>
      <c r="J171" s="46">
        <v>2.27</v>
      </c>
      <c r="V171" s="44" t="s">
        <v>1650</v>
      </c>
      <c r="W171" s="42">
        <v>0.11</v>
      </c>
      <c r="X171" s="42">
        <v>4.26</v>
      </c>
      <c r="Y171" s="42">
        <v>4.21</v>
      </c>
      <c r="Z171" s="42">
        <v>2.73</v>
      </c>
      <c r="AA171" s="42">
        <v>3.58</v>
      </c>
      <c r="AB171" s="42">
        <v>3.15</v>
      </c>
      <c r="AC171" s="42">
        <v>1.59</v>
      </c>
      <c r="AD171" s="46">
        <v>1.34</v>
      </c>
    </row>
    <row r="172" spans="2:30">
      <c r="B172" s="44" t="s">
        <v>1651</v>
      </c>
      <c r="C172" s="42">
        <v>2.99</v>
      </c>
      <c r="D172" s="42">
        <v>4.41</v>
      </c>
      <c r="E172" s="42">
        <v>5.33</v>
      </c>
      <c r="F172" s="42">
        <v>5.62</v>
      </c>
      <c r="G172" s="42">
        <v>4.32</v>
      </c>
      <c r="H172" s="42">
        <v>4.7699999999999996</v>
      </c>
      <c r="I172" s="42">
        <v>1.75</v>
      </c>
      <c r="J172" s="46">
        <v>1.94</v>
      </c>
      <c r="V172" s="44" t="s">
        <v>1652</v>
      </c>
      <c r="W172" s="42">
        <v>3.95</v>
      </c>
      <c r="X172" s="42">
        <v>4.28</v>
      </c>
      <c r="Y172" s="42">
        <v>4.21</v>
      </c>
      <c r="Z172" s="42">
        <v>4.32</v>
      </c>
      <c r="AA172" s="42">
        <v>3.62</v>
      </c>
      <c r="AB172" s="42">
        <v>3.12</v>
      </c>
      <c r="AC172" s="42">
        <v>1.63</v>
      </c>
      <c r="AD172" s="46">
        <v>1.23</v>
      </c>
    </row>
    <row r="173" spans="2:30">
      <c r="B173" s="44" t="s">
        <v>1653</v>
      </c>
      <c r="C173" s="42">
        <v>3</v>
      </c>
      <c r="D173" s="42">
        <v>4.37</v>
      </c>
      <c r="E173" s="42">
        <v>5.31</v>
      </c>
      <c r="F173" s="42">
        <v>0.48</v>
      </c>
      <c r="G173" s="42">
        <v>4.3</v>
      </c>
      <c r="H173" s="42">
        <v>4.84</v>
      </c>
      <c r="I173" s="42">
        <v>1.77</v>
      </c>
      <c r="J173" s="46">
        <v>2.2200000000000002</v>
      </c>
      <c r="V173" s="44" t="s">
        <v>1654</v>
      </c>
      <c r="W173" s="42">
        <v>3.91</v>
      </c>
      <c r="X173" s="42">
        <v>4.26</v>
      </c>
      <c r="Y173" s="42">
        <v>4.1399999999999997</v>
      </c>
      <c r="Z173" s="42">
        <v>4.29</v>
      </c>
      <c r="AA173" s="42">
        <v>3.61</v>
      </c>
      <c r="AB173" s="42">
        <v>3.15</v>
      </c>
      <c r="AC173" s="42">
        <v>1.61</v>
      </c>
      <c r="AD173" s="46">
        <v>1.25</v>
      </c>
    </row>
    <row r="174" spans="2:30">
      <c r="B174" s="44" t="s">
        <v>1655</v>
      </c>
      <c r="C174" s="42">
        <v>3</v>
      </c>
      <c r="D174" s="42">
        <v>4.42</v>
      </c>
      <c r="E174" s="42">
        <v>5.28</v>
      </c>
      <c r="F174" s="42">
        <v>5.63</v>
      </c>
      <c r="G174" s="42">
        <v>4.32</v>
      </c>
      <c r="H174" s="42">
        <v>4.83</v>
      </c>
      <c r="I174" s="42">
        <v>1.74</v>
      </c>
      <c r="J174" s="46">
        <v>0.98</v>
      </c>
      <c r="V174" s="44" t="s">
        <v>1656</v>
      </c>
      <c r="W174" s="42">
        <v>3.99</v>
      </c>
      <c r="X174" s="42">
        <v>4.28</v>
      </c>
      <c r="Y174" s="42">
        <v>4.16</v>
      </c>
      <c r="Z174" s="42">
        <v>4.33</v>
      </c>
      <c r="AA174" s="42">
        <v>3.64</v>
      </c>
      <c r="AB174" s="42">
        <v>3.13</v>
      </c>
      <c r="AC174" s="42">
        <v>1.47</v>
      </c>
      <c r="AD174" s="46">
        <v>1.25</v>
      </c>
    </row>
    <row r="175" spans="2:30">
      <c r="B175" s="44" t="s">
        <v>1657</v>
      </c>
      <c r="C175" s="42">
        <v>2.97</v>
      </c>
      <c r="D175" s="42">
        <v>4.3600000000000003</v>
      </c>
      <c r="E175" s="42">
        <v>5.28</v>
      </c>
      <c r="F175" s="42">
        <v>5.64</v>
      </c>
      <c r="G175" s="42">
        <v>4.34</v>
      </c>
      <c r="H175" s="42">
        <v>4.83</v>
      </c>
      <c r="I175" s="42">
        <v>1.71</v>
      </c>
      <c r="J175" s="46">
        <v>2.23</v>
      </c>
      <c r="V175" s="44" t="s">
        <v>1658</v>
      </c>
      <c r="W175" s="42">
        <v>3.93</v>
      </c>
      <c r="X175" s="42">
        <v>4.28</v>
      </c>
      <c r="Y175" s="42">
        <v>4.2</v>
      </c>
      <c r="Z175" s="42">
        <v>4.3499999999999996</v>
      </c>
      <c r="AA175" s="42">
        <v>3.58</v>
      </c>
      <c r="AB175" s="42">
        <v>3.15</v>
      </c>
      <c r="AC175" s="42">
        <v>1.63</v>
      </c>
      <c r="AD175" s="46">
        <v>1.24</v>
      </c>
    </row>
    <row r="176" spans="2:30">
      <c r="B176" s="44" t="s">
        <v>1659</v>
      </c>
      <c r="C176" s="42">
        <v>3.01</v>
      </c>
      <c r="D176" s="42">
        <v>4.3600000000000003</v>
      </c>
      <c r="E176" s="42">
        <v>5.28</v>
      </c>
      <c r="F176" s="42">
        <v>5.62</v>
      </c>
      <c r="G176" s="42">
        <v>4.33</v>
      </c>
      <c r="H176" s="42">
        <v>4.84</v>
      </c>
      <c r="I176" s="42">
        <v>1.76</v>
      </c>
      <c r="J176" s="46">
        <v>2.23</v>
      </c>
      <c r="V176" s="44" t="s">
        <v>1660</v>
      </c>
      <c r="W176" s="42">
        <v>3.93</v>
      </c>
      <c r="X176" s="42">
        <v>4.26</v>
      </c>
      <c r="Y176" s="42">
        <v>4.17</v>
      </c>
      <c r="Z176" s="42">
        <v>4.33</v>
      </c>
      <c r="AA176" s="42">
        <v>3.61</v>
      </c>
      <c r="AB176" s="42">
        <v>3.12</v>
      </c>
      <c r="AC176" s="42">
        <v>1.64</v>
      </c>
      <c r="AD176" s="46">
        <v>1.22</v>
      </c>
    </row>
    <row r="177" spans="2:30">
      <c r="B177" s="44" t="s">
        <v>1661</v>
      </c>
      <c r="C177" s="42">
        <v>3.02</v>
      </c>
      <c r="D177" s="42">
        <v>4.3899999999999997</v>
      </c>
      <c r="E177" s="42">
        <v>5.3</v>
      </c>
      <c r="F177" s="42">
        <v>5.61</v>
      </c>
      <c r="G177" s="42">
        <v>4.32</v>
      </c>
      <c r="H177" s="42">
        <v>4.84</v>
      </c>
      <c r="I177" s="42">
        <v>1.78</v>
      </c>
      <c r="J177" s="46">
        <v>2.2599999999999998</v>
      </c>
      <c r="V177" s="44" t="s">
        <v>1662</v>
      </c>
      <c r="W177" s="42">
        <v>3.89</v>
      </c>
      <c r="X177" s="42">
        <v>4.24</v>
      </c>
      <c r="Y177" s="42">
        <v>4.13</v>
      </c>
      <c r="Z177" s="42">
        <v>4.29</v>
      </c>
      <c r="AA177" s="42">
        <v>3.6</v>
      </c>
      <c r="AB177" s="42">
        <v>3.14</v>
      </c>
      <c r="AC177" s="42">
        <v>1.65</v>
      </c>
      <c r="AD177" s="46">
        <v>1.21</v>
      </c>
    </row>
    <row r="178" spans="2:30">
      <c r="B178" s="44" t="s">
        <v>1663</v>
      </c>
      <c r="C178" s="42">
        <v>3.02</v>
      </c>
      <c r="D178" s="42">
        <v>0</v>
      </c>
      <c r="E178" s="42">
        <v>5.31</v>
      </c>
      <c r="F178" s="42">
        <v>5.66</v>
      </c>
      <c r="G178" s="42">
        <v>4.33</v>
      </c>
      <c r="H178" s="42">
        <v>4.82</v>
      </c>
      <c r="I178" s="42">
        <v>1.72</v>
      </c>
      <c r="J178" s="46">
        <v>2.25</v>
      </c>
      <c r="V178" s="44" t="s">
        <v>1664</v>
      </c>
      <c r="W178" s="42">
        <v>1.41</v>
      </c>
      <c r="X178" s="42">
        <v>4.2699999999999996</v>
      </c>
      <c r="Y178" s="42">
        <v>4.16</v>
      </c>
      <c r="Z178" s="42">
        <v>4.3</v>
      </c>
      <c r="AA178" s="42">
        <v>3.59</v>
      </c>
      <c r="AB178" s="42">
        <v>3.12</v>
      </c>
      <c r="AC178" s="42">
        <v>1.63</v>
      </c>
      <c r="AD178" s="46">
        <v>1.24</v>
      </c>
    </row>
    <row r="179" spans="2:30" ht="15.75" thickBot="1">
      <c r="B179" s="44" t="s">
        <v>1665</v>
      </c>
      <c r="C179" s="42">
        <v>3.02</v>
      </c>
      <c r="D179" s="42">
        <v>4.43</v>
      </c>
      <c r="E179" s="42">
        <v>5.26</v>
      </c>
      <c r="F179" s="42">
        <v>5.65</v>
      </c>
      <c r="G179" s="42">
        <v>4.34</v>
      </c>
      <c r="H179" s="42">
        <v>4.8499999999999996</v>
      </c>
      <c r="I179" s="42">
        <v>1.74</v>
      </c>
      <c r="J179" s="46">
        <v>2.2200000000000002</v>
      </c>
      <c r="V179" s="44" t="s">
        <v>1666</v>
      </c>
      <c r="W179" s="42">
        <v>3.94</v>
      </c>
      <c r="X179" s="42">
        <v>4.29</v>
      </c>
      <c r="Y179" s="42">
        <v>4.13</v>
      </c>
      <c r="Z179" s="42">
        <v>0.8</v>
      </c>
      <c r="AA179" s="42">
        <v>3.59</v>
      </c>
      <c r="AB179" s="42">
        <v>3.11</v>
      </c>
      <c r="AC179" s="42">
        <v>1.62</v>
      </c>
      <c r="AD179" s="46">
        <v>1.25</v>
      </c>
    </row>
    <row r="180" spans="2:30">
      <c r="B180" s="62" t="s">
        <v>936</v>
      </c>
      <c r="C180" s="57">
        <v>2.95885714285714</v>
      </c>
      <c r="D180" s="57">
        <v>4.3125308641975204</v>
      </c>
      <c r="E180" s="57">
        <v>5.07419540229884</v>
      </c>
      <c r="F180" s="57">
        <v>5.0943749999999897</v>
      </c>
      <c r="G180" s="57">
        <v>4.2281250000000004</v>
      </c>
      <c r="H180" s="57">
        <v>4.4652272727272697</v>
      </c>
      <c r="I180" s="57">
        <v>1.7498850574712601</v>
      </c>
      <c r="J180" s="58">
        <v>2.25602272727272</v>
      </c>
      <c r="V180" s="44" t="s">
        <v>1667</v>
      </c>
      <c r="W180" s="42">
        <v>3.92</v>
      </c>
      <c r="X180" s="42">
        <v>2.13</v>
      </c>
      <c r="Y180" s="42">
        <v>2.95</v>
      </c>
      <c r="Z180" s="42">
        <v>4.3099999999999996</v>
      </c>
      <c r="AA180" s="42">
        <v>3.63</v>
      </c>
      <c r="AB180" s="42">
        <v>3.12</v>
      </c>
      <c r="AC180" s="42">
        <v>1.61</v>
      </c>
      <c r="AD180" s="46">
        <v>1.26</v>
      </c>
    </row>
    <row r="181" spans="2:30">
      <c r="B181" s="47" t="s">
        <v>515</v>
      </c>
      <c r="C181" s="42">
        <v>0.32759357597548899</v>
      </c>
      <c r="D181" s="42">
        <v>0.42500299451144702</v>
      </c>
      <c r="E181" s="42">
        <v>0.85627178168896401</v>
      </c>
      <c r="F181" s="42">
        <v>1.24436897857088</v>
      </c>
      <c r="G181" s="42">
        <v>0.48030459825226801</v>
      </c>
      <c r="H181" s="42">
        <v>0.94481055974287897</v>
      </c>
      <c r="I181" s="42">
        <v>2.4658320405627401E-2</v>
      </c>
      <c r="J181" s="46">
        <v>0.51525708449261898</v>
      </c>
      <c r="V181" s="44" t="s">
        <v>1668</v>
      </c>
      <c r="W181" s="42">
        <v>3.95</v>
      </c>
      <c r="X181" s="42">
        <v>4.26</v>
      </c>
      <c r="Y181" s="42">
        <v>1.49</v>
      </c>
      <c r="Z181" s="42">
        <v>4.3099999999999996</v>
      </c>
      <c r="AA181" s="42">
        <v>3.58</v>
      </c>
      <c r="AB181" s="42">
        <v>3.15</v>
      </c>
      <c r="AC181" s="42">
        <v>1.1000000000000001</v>
      </c>
      <c r="AD181" s="46">
        <v>1.32</v>
      </c>
    </row>
    <row r="182" spans="2:30">
      <c r="B182" s="47" t="s">
        <v>520</v>
      </c>
      <c r="C182" s="42">
        <v>3.2864507188326302</v>
      </c>
      <c r="D182" s="42">
        <v>4.7375338587089697</v>
      </c>
      <c r="E182" s="42">
        <v>5.9304671839878003</v>
      </c>
      <c r="F182" s="42">
        <v>6.3387439785708803</v>
      </c>
      <c r="G182" s="42">
        <v>4.7084295982522697</v>
      </c>
      <c r="H182" s="42">
        <v>5.4100378324701497</v>
      </c>
      <c r="I182" s="42">
        <v>1.77454337787689</v>
      </c>
      <c r="J182" s="46">
        <v>2.7712798117653401</v>
      </c>
      <c r="V182" s="44" t="s">
        <v>1669</v>
      </c>
      <c r="W182" s="42">
        <v>3.91</v>
      </c>
      <c r="X182" s="42">
        <v>4.28</v>
      </c>
      <c r="Y182" s="42">
        <v>4.1500000000000004</v>
      </c>
      <c r="Z182" s="42">
        <v>4.26</v>
      </c>
      <c r="AA182" s="42">
        <v>2.74</v>
      </c>
      <c r="AB182" s="42">
        <v>3.14</v>
      </c>
      <c r="AC182" s="42">
        <v>1.64</v>
      </c>
      <c r="AD182" s="46">
        <v>1.22</v>
      </c>
    </row>
    <row r="183" spans="2:30">
      <c r="B183" s="47" t="s">
        <v>525</v>
      </c>
      <c r="C183" s="42">
        <v>2.6312635668816502</v>
      </c>
      <c r="D183" s="42">
        <v>3.88752786968608</v>
      </c>
      <c r="E183" s="42">
        <v>4.21792362060987</v>
      </c>
      <c r="F183" s="42">
        <v>3.8500060214291101</v>
      </c>
      <c r="G183" s="42">
        <v>3.7478204017477301</v>
      </c>
      <c r="H183" s="42">
        <v>3.5204167129843902</v>
      </c>
      <c r="I183" s="42">
        <v>1.72522673706563</v>
      </c>
      <c r="J183" s="46">
        <v>1.7407656427800999</v>
      </c>
      <c r="V183" s="44" t="s">
        <v>1670</v>
      </c>
      <c r="W183" s="42">
        <v>3.9</v>
      </c>
      <c r="X183" s="42">
        <v>4.2699999999999996</v>
      </c>
      <c r="Y183" s="42">
        <v>4.1399999999999997</v>
      </c>
      <c r="Z183" s="42">
        <v>4.3099999999999996</v>
      </c>
      <c r="AA183" s="42">
        <v>3.63</v>
      </c>
      <c r="AB183" s="42">
        <v>3.09</v>
      </c>
      <c r="AC183" s="42">
        <v>1.64</v>
      </c>
      <c r="AD183" s="46">
        <v>1.27</v>
      </c>
    </row>
    <row r="184" spans="2:30" ht="15.75" thickBot="1">
      <c r="B184" s="48" t="s">
        <v>937</v>
      </c>
      <c r="C184" s="49">
        <v>3.0002906976744099</v>
      </c>
      <c r="D184" s="49">
        <v>4.3852229299363001</v>
      </c>
      <c r="E184" s="49">
        <v>5.2766463414634002</v>
      </c>
      <c r="F184" s="49">
        <v>5.4578616352201204</v>
      </c>
      <c r="G184" s="49">
        <v>4.3231547619047603</v>
      </c>
      <c r="H184" s="49">
        <v>4.7834193548387098</v>
      </c>
      <c r="I184" s="49">
        <v>1.7493333333333301</v>
      </c>
      <c r="J184" s="50">
        <v>2.2751333333333301</v>
      </c>
      <c r="V184" s="44" t="s">
        <v>1671</v>
      </c>
      <c r="W184" s="42">
        <v>3.92</v>
      </c>
      <c r="X184" s="42">
        <v>4.26</v>
      </c>
      <c r="Y184" s="42">
        <v>4.1500000000000004</v>
      </c>
      <c r="Z184" s="42">
        <v>4.32</v>
      </c>
      <c r="AA184" s="42">
        <v>3.65</v>
      </c>
      <c r="AB184" s="42">
        <v>3.14</v>
      </c>
      <c r="AC184" s="42">
        <v>1.65</v>
      </c>
      <c r="AD184" s="46">
        <v>1.23</v>
      </c>
    </row>
    <row r="185" spans="2:30" ht="15.75" thickBot="1">
      <c r="V185" s="44" t="s">
        <v>1672</v>
      </c>
      <c r="W185" s="42">
        <v>3.93</v>
      </c>
      <c r="X185" s="42">
        <v>2.44</v>
      </c>
      <c r="Y185" s="42">
        <v>4.12</v>
      </c>
      <c r="Z185" s="42">
        <v>4.33</v>
      </c>
      <c r="AA185" s="42">
        <v>1.0900000000000001</v>
      </c>
      <c r="AB185" s="42">
        <v>0.42</v>
      </c>
      <c r="AC185" s="42">
        <v>1.63</v>
      </c>
      <c r="AD185" s="46">
        <v>1.26</v>
      </c>
    </row>
    <row r="186" spans="2:30">
      <c r="B186" s="51" t="s">
        <v>1673</v>
      </c>
      <c r="C186" s="8">
        <v>3.04</v>
      </c>
      <c r="D186" s="8">
        <v>4.01</v>
      </c>
      <c r="E186" s="8">
        <v>5.24</v>
      </c>
      <c r="F186" s="8">
        <v>5.77</v>
      </c>
      <c r="G186" s="8">
        <v>4.1900000000000004</v>
      </c>
      <c r="H186" s="8">
        <v>4.38</v>
      </c>
      <c r="I186" s="8">
        <v>1.55</v>
      </c>
      <c r="J186" s="9">
        <v>2.41</v>
      </c>
      <c r="V186" s="44" t="s">
        <v>1674</v>
      </c>
      <c r="W186" s="42">
        <v>3.94</v>
      </c>
      <c r="X186" s="42">
        <v>4.28</v>
      </c>
      <c r="Y186" s="42">
        <v>2.42</v>
      </c>
      <c r="Z186" s="42">
        <v>4.32</v>
      </c>
      <c r="AA186" s="42">
        <v>3.62</v>
      </c>
      <c r="AB186" s="42">
        <v>3.13</v>
      </c>
      <c r="AC186" s="42">
        <v>1.62</v>
      </c>
      <c r="AD186" s="46">
        <v>1.22</v>
      </c>
    </row>
    <row r="187" spans="2:30">
      <c r="B187" s="52" t="s">
        <v>945</v>
      </c>
      <c r="C187" s="11">
        <f t="shared" ref="C187:J187" si="72">C186-C184</f>
        <v>3.9709302325590112E-2</v>
      </c>
      <c r="D187" s="11">
        <f t="shared" si="72"/>
        <v>-0.37522292993630035</v>
      </c>
      <c r="E187" s="11">
        <f t="shared" si="72"/>
        <v>-3.6646341463399956E-2</v>
      </c>
      <c r="F187" s="11">
        <f t="shared" si="72"/>
        <v>0.31213836477987922</v>
      </c>
      <c r="G187" s="11">
        <f t="shared" si="72"/>
        <v>-0.13315476190475994</v>
      </c>
      <c r="H187" s="11">
        <f t="shared" si="72"/>
        <v>-0.40341935483870994</v>
      </c>
      <c r="I187" s="11">
        <f t="shared" si="72"/>
        <v>-0.19933333333333003</v>
      </c>
      <c r="J187" s="12">
        <f t="shared" si="72"/>
        <v>0.13486666666667002</v>
      </c>
      <c r="V187" s="44" t="s">
        <v>1675</v>
      </c>
      <c r="W187" s="42">
        <v>3.93</v>
      </c>
      <c r="X187" s="42">
        <v>4.28</v>
      </c>
      <c r="Y187" s="42">
        <v>4.18</v>
      </c>
      <c r="Z187" s="42">
        <v>4.29</v>
      </c>
      <c r="AA187" s="42">
        <v>3.6</v>
      </c>
      <c r="AB187" s="42">
        <v>3.12</v>
      </c>
      <c r="AC187" s="42">
        <v>1.62</v>
      </c>
      <c r="AD187" s="46">
        <v>1.22</v>
      </c>
    </row>
    <row r="188" spans="2:30" ht="15.75" thickBot="1">
      <c r="B188" s="53" t="s">
        <v>946</v>
      </c>
      <c r="C188" s="14">
        <f>(C187/C184)*100</f>
        <v>1.3235151632596684</v>
      </c>
      <c r="D188" s="14">
        <f t="shared" ref="D188:H188" si="73">(D187/D184)*100</f>
        <v>-8.5565303276782529</v>
      </c>
      <c r="E188" s="14">
        <f t="shared" si="73"/>
        <v>-0.69450061823238718</v>
      </c>
      <c r="F188" s="14">
        <f t="shared" si="73"/>
        <v>5.7190596911731788</v>
      </c>
      <c r="G188" s="14">
        <f>(G187/G184)*100</f>
        <v>-3.0800368998608931</v>
      </c>
      <c r="H188" s="14">
        <f t="shared" si="73"/>
        <v>-8.4337024398796974</v>
      </c>
      <c r="I188" s="14">
        <f>(I187/I184)*100</f>
        <v>-11.394817073170564</v>
      </c>
      <c r="J188" s="15">
        <f>(J187/J184)*100</f>
        <v>5.927857707973315</v>
      </c>
      <c r="V188" s="44" t="s">
        <v>1676</v>
      </c>
      <c r="W188" s="42">
        <v>3.91</v>
      </c>
      <c r="X188" s="42">
        <v>4.26</v>
      </c>
      <c r="Y188" s="42">
        <v>4.1900000000000004</v>
      </c>
      <c r="Z188" s="42">
        <v>4.3099999999999996</v>
      </c>
      <c r="AA188" s="42">
        <v>3.6</v>
      </c>
      <c r="AB188" s="42">
        <v>3.11</v>
      </c>
      <c r="AC188" s="42">
        <v>1.64</v>
      </c>
      <c r="AD188" s="46">
        <v>1.27</v>
      </c>
    </row>
    <row r="189" spans="2:30" ht="15.75" thickBot="1">
      <c r="V189" s="44" t="s">
        <v>1677</v>
      </c>
      <c r="W189" s="42">
        <v>3.91</v>
      </c>
      <c r="X189" s="42">
        <v>4.2699999999999996</v>
      </c>
      <c r="Y189" s="42">
        <v>4.1500000000000004</v>
      </c>
      <c r="Z189" s="42">
        <v>4.3499999999999996</v>
      </c>
      <c r="AA189" s="42">
        <v>3.64</v>
      </c>
      <c r="AB189" s="42">
        <v>3.15</v>
      </c>
      <c r="AC189" s="42">
        <v>1.64</v>
      </c>
      <c r="AD189" s="46">
        <v>1.26</v>
      </c>
    </row>
    <row r="190" spans="2:30" ht="30">
      <c r="B190" s="82" t="s">
        <v>553</v>
      </c>
      <c r="C190" s="8">
        <v>2.99</v>
      </c>
      <c r="D190" s="8">
        <v>4.18</v>
      </c>
      <c r="E190" s="8">
        <v>5.28</v>
      </c>
      <c r="F190" s="8">
        <v>5.69</v>
      </c>
      <c r="G190" s="8">
        <v>4.22</v>
      </c>
      <c r="H190" s="8">
        <v>4.3899999999999997</v>
      </c>
      <c r="I190" s="8">
        <v>1.62</v>
      </c>
      <c r="J190" s="9">
        <v>2.44</v>
      </c>
      <c r="V190" s="44" t="s">
        <v>1678</v>
      </c>
      <c r="W190" s="42">
        <v>3.91</v>
      </c>
      <c r="X190" s="42">
        <v>4.28</v>
      </c>
      <c r="Y190" s="42">
        <v>4.17</v>
      </c>
      <c r="Z190" s="42">
        <v>4.3</v>
      </c>
      <c r="AA190" s="42">
        <v>3.62</v>
      </c>
      <c r="AB190" s="42">
        <v>3.07</v>
      </c>
      <c r="AC190" s="42">
        <v>1.62</v>
      </c>
      <c r="AD190" s="46">
        <v>1.18</v>
      </c>
    </row>
    <row r="191" spans="2:30">
      <c r="B191" s="52" t="s">
        <v>539</v>
      </c>
      <c r="C191" s="11">
        <f t="shared" ref="C191:J191" si="74">C190-C184</f>
        <v>-1.029069767440971E-2</v>
      </c>
      <c r="D191" s="11">
        <f t="shared" si="74"/>
        <v>-0.20522292993630042</v>
      </c>
      <c r="E191" s="11">
        <f t="shared" si="74"/>
        <v>3.3536585366000793E-3</v>
      </c>
      <c r="F191" s="11">
        <f t="shared" si="74"/>
        <v>0.23213836477988004</v>
      </c>
      <c r="G191" s="11">
        <f t="shared" si="74"/>
        <v>-0.10315476190476058</v>
      </c>
      <c r="H191" s="11">
        <f t="shared" si="74"/>
        <v>-0.39341935483871016</v>
      </c>
      <c r="I191" s="11">
        <f t="shared" si="74"/>
        <v>-0.12933333333332997</v>
      </c>
      <c r="J191" s="12">
        <f t="shared" si="74"/>
        <v>0.16486666666666983</v>
      </c>
      <c r="V191" s="44" t="s">
        <v>1679</v>
      </c>
      <c r="W191" s="42">
        <v>3.94</v>
      </c>
      <c r="X191" s="42">
        <v>4.2699999999999996</v>
      </c>
      <c r="Y191" s="42">
        <v>4.1399999999999997</v>
      </c>
      <c r="Z191" s="42">
        <v>4.29</v>
      </c>
      <c r="AA191" s="42">
        <v>3.6</v>
      </c>
      <c r="AB191" s="42">
        <v>3.1</v>
      </c>
      <c r="AC191" s="42">
        <v>1.64</v>
      </c>
      <c r="AD191" s="46">
        <v>1.25</v>
      </c>
    </row>
    <row r="192" spans="2:30" ht="15.75" thickBot="1">
      <c r="B192" s="53" t="s">
        <v>544</v>
      </c>
      <c r="C192" s="14">
        <f>(C191/C184)*100</f>
        <v>-0.34299002034657011</v>
      </c>
      <c r="D192" s="14">
        <f>(D191/D184)*100</f>
        <v>-4.6798745061583791</v>
      </c>
      <c r="E192" s="14">
        <f>(E191/E184)*100</f>
        <v>6.355662895667917E-2</v>
      </c>
      <c r="F192" s="14">
        <f>(F191/F184)*100</f>
        <v>4.2532841668588341</v>
      </c>
      <c r="G192" s="14">
        <f>(G191/G184)*100</f>
        <v>-2.3860992165663557</v>
      </c>
      <c r="H192" s="14">
        <f t="shared" ref="H192" si="75">(H191/H184)*100</f>
        <v>-8.2246469659981489</v>
      </c>
      <c r="I192" s="14">
        <f>(I191/I184)*100</f>
        <v>-7.393292682926651</v>
      </c>
      <c r="J192" s="15">
        <f>(J191/J184)*100</f>
        <v>7.246461745831895</v>
      </c>
      <c r="V192" s="44" t="s">
        <v>1680</v>
      </c>
      <c r="W192" s="42">
        <v>3.93</v>
      </c>
      <c r="X192" s="42">
        <v>4.28</v>
      </c>
      <c r="Y192" s="42">
        <v>4.1399999999999997</v>
      </c>
      <c r="Z192" s="42">
        <v>4.28</v>
      </c>
      <c r="AA192" s="42">
        <v>3.64</v>
      </c>
      <c r="AB192" s="42">
        <v>0</v>
      </c>
      <c r="AC192" s="42">
        <v>1.64</v>
      </c>
      <c r="AD192" s="46">
        <v>0</v>
      </c>
    </row>
    <row r="193" spans="2:30" ht="15.75" thickBot="1">
      <c r="V193" s="44" t="s">
        <v>1681</v>
      </c>
      <c r="W193" s="42">
        <v>3.94</v>
      </c>
      <c r="X193" s="42">
        <v>4.26</v>
      </c>
      <c r="Y193" s="42">
        <v>4.18</v>
      </c>
      <c r="Z193" s="42">
        <v>4.3499999999999996</v>
      </c>
      <c r="AA193" s="42">
        <v>3.57</v>
      </c>
      <c r="AB193" s="42">
        <v>3.11</v>
      </c>
      <c r="AC193" s="42">
        <v>0.97</v>
      </c>
      <c r="AD193" s="46">
        <v>1.28</v>
      </c>
    </row>
    <row r="194" spans="2:30" ht="30">
      <c r="B194" s="82" t="s">
        <v>568</v>
      </c>
      <c r="C194" s="8">
        <v>2.99</v>
      </c>
      <c r="D194" s="8">
        <v>4.1900000000000004</v>
      </c>
      <c r="E194" s="8">
        <v>5.3</v>
      </c>
      <c r="F194" s="8">
        <v>5.73</v>
      </c>
      <c r="G194" s="8">
        <v>4.24</v>
      </c>
      <c r="H194" s="8">
        <v>4.45</v>
      </c>
      <c r="I194" s="8">
        <v>1.61</v>
      </c>
      <c r="J194" s="9">
        <v>2.42</v>
      </c>
      <c r="V194" s="44" t="s">
        <v>1682</v>
      </c>
      <c r="W194" s="42">
        <v>3.92</v>
      </c>
      <c r="X194" s="42">
        <v>1.41</v>
      </c>
      <c r="Y194" s="42">
        <v>2.09</v>
      </c>
      <c r="Z194" s="42">
        <v>4.33</v>
      </c>
      <c r="AA194" s="42">
        <v>3.6</v>
      </c>
      <c r="AB194" s="42">
        <v>3.12</v>
      </c>
      <c r="AC194" s="42">
        <v>1.64</v>
      </c>
      <c r="AD194" s="46">
        <v>1.23</v>
      </c>
    </row>
    <row r="195" spans="2:30">
      <c r="B195" s="52" t="s">
        <v>539</v>
      </c>
      <c r="C195" s="11">
        <f>C194-C184</f>
        <v>-1.029069767440971E-2</v>
      </c>
      <c r="D195" s="11">
        <f t="shared" ref="D195:J195" si="76">D194-D184</f>
        <v>-0.19522292993629975</v>
      </c>
      <c r="E195" s="11">
        <f>E194-E184</f>
        <v>2.3353658536599653E-2</v>
      </c>
      <c r="F195" s="11">
        <f t="shared" si="76"/>
        <v>0.27213836477988007</v>
      </c>
      <c r="G195" s="11">
        <f>G194-G184</f>
        <v>-8.3154761904760122E-2</v>
      </c>
      <c r="H195" s="11">
        <f t="shared" si="76"/>
        <v>-0.33341935483870966</v>
      </c>
      <c r="I195" s="11">
        <f>I194-I184</f>
        <v>-0.13933333333332998</v>
      </c>
      <c r="J195" s="12">
        <f t="shared" si="76"/>
        <v>0.14486666666666981</v>
      </c>
      <c r="V195" s="44" t="s">
        <v>1683</v>
      </c>
      <c r="W195" s="42">
        <v>0.38</v>
      </c>
      <c r="X195" s="42">
        <v>4.28</v>
      </c>
      <c r="Y195" s="42">
        <v>4.17</v>
      </c>
      <c r="Z195" s="42">
        <v>4.29</v>
      </c>
      <c r="AA195" s="42">
        <v>3.64</v>
      </c>
      <c r="AB195" s="42">
        <v>3.17</v>
      </c>
      <c r="AC195" s="42">
        <v>1.64</v>
      </c>
      <c r="AD195" s="46">
        <v>1.21</v>
      </c>
    </row>
    <row r="196" spans="2:30" ht="15.75" thickBot="1">
      <c r="B196" s="53" t="s">
        <v>544</v>
      </c>
      <c r="C196" s="14">
        <f>(C195/C184)*100</f>
        <v>-0.34299002034657011</v>
      </c>
      <c r="D196" s="14">
        <f t="shared" ref="D196:I196" si="77">(D195/D184)*100</f>
        <v>-4.4518359284219002</v>
      </c>
      <c r="E196" s="14">
        <f>(E195/E184)*100</f>
        <v>0.44258525255120396</v>
      </c>
      <c r="F196" s="14">
        <f t="shared" si="77"/>
        <v>4.9861719290160149</v>
      </c>
      <c r="G196" s="14">
        <f t="shared" si="77"/>
        <v>-1.9234740943699769</v>
      </c>
      <c r="H196" s="14">
        <f>(H195/H184)*100</f>
        <v>-6.9703141227088192</v>
      </c>
      <c r="I196" s="14">
        <f t="shared" si="77"/>
        <v>-7.9649390243900662</v>
      </c>
      <c r="J196" s="15">
        <f>(J195/J184)*100</f>
        <v>6.3673923872595015</v>
      </c>
      <c r="V196" s="44" t="s">
        <v>1684</v>
      </c>
      <c r="W196" s="42">
        <v>3.89</v>
      </c>
      <c r="X196" s="42">
        <v>4.2699999999999996</v>
      </c>
      <c r="Y196" s="42">
        <v>4.1500000000000004</v>
      </c>
      <c r="Z196" s="42">
        <v>4.33</v>
      </c>
      <c r="AA196" s="42">
        <v>0.43</v>
      </c>
      <c r="AB196" s="42">
        <v>3.09</v>
      </c>
      <c r="AC196" s="42">
        <v>1.63</v>
      </c>
      <c r="AD196" s="46">
        <v>1.25</v>
      </c>
    </row>
    <row r="197" spans="2:30">
      <c r="V197" s="44" t="s">
        <v>1685</v>
      </c>
      <c r="W197" s="42">
        <v>3.91</v>
      </c>
      <c r="X197" s="42">
        <v>4.29</v>
      </c>
      <c r="Y197" s="42">
        <v>4.17</v>
      </c>
      <c r="Z197" s="42">
        <v>4.2699999999999996</v>
      </c>
      <c r="AA197" s="42">
        <v>3.59</v>
      </c>
      <c r="AB197" s="42">
        <v>3.14</v>
      </c>
      <c r="AC197" s="42">
        <v>1.6</v>
      </c>
      <c r="AD197" s="46">
        <v>1.25</v>
      </c>
    </row>
    <row r="198" spans="2:30">
      <c r="V198" s="44" t="s">
        <v>1686</v>
      </c>
      <c r="W198" s="42">
        <v>3.94</v>
      </c>
      <c r="X198" s="42">
        <v>4.2699999999999996</v>
      </c>
      <c r="Y198" s="42">
        <v>4.1399999999999997</v>
      </c>
      <c r="Z198" s="42">
        <v>4.32</v>
      </c>
      <c r="AA198" s="42">
        <v>3.61</v>
      </c>
      <c r="AB198" s="42">
        <v>3.1</v>
      </c>
      <c r="AC198" s="42">
        <v>0.45</v>
      </c>
      <c r="AD198" s="46">
        <v>1.23</v>
      </c>
    </row>
    <row r="199" spans="2:30">
      <c r="V199" s="44" t="s">
        <v>1687</v>
      </c>
      <c r="W199" s="42">
        <v>3.91</v>
      </c>
      <c r="X199" s="42">
        <v>4.26</v>
      </c>
      <c r="Y199" s="42">
        <v>1.1200000000000001</v>
      </c>
      <c r="Z199" s="42">
        <v>4.28</v>
      </c>
      <c r="AA199" s="42">
        <v>0.69</v>
      </c>
      <c r="AB199" s="42">
        <v>3.12</v>
      </c>
      <c r="AC199" s="42">
        <v>1.62</v>
      </c>
      <c r="AD199" s="46">
        <v>1.24</v>
      </c>
    </row>
    <row r="200" spans="2:30">
      <c r="V200" s="44" t="s">
        <v>1688</v>
      </c>
      <c r="W200" s="42">
        <v>3.93</v>
      </c>
      <c r="X200" s="42">
        <v>4.25</v>
      </c>
      <c r="Y200" s="42">
        <v>4.17</v>
      </c>
      <c r="Z200" s="42">
        <v>4.29</v>
      </c>
      <c r="AA200" s="42">
        <v>3.6</v>
      </c>
      <c r="AB200" s="42">
        <v>3.12</v>
      </c>
      <c r="AC200" s="42">
        <v>1.26</v>
      </c>
      <c r="AD200" s="46">
        <v>1.3</v>
      </c>
    </row>
    <row r="201" spans="2:30">
      <c r="V201" s="44" t="s">
        <v>1689</v>
      </c>
      <c r="W201" s="42">
        <v>3.91</v>
      </c>
      <c r="X201" s="42">
        <v>2.4300000000000002</v>
      </c>
      <c r="Y201" s="42">
        <v>4.1500000000000004</v>
      </c>
      <c r="Z201" s="42">
        <v>4.3</v>
      </c>
      <c r="AA201" s="42">
        <v>3.58</v>
      </c>
      <c r="AB201" s="42">
        <v>3.14</v>
      </c>
      <c r="AC201" s="42">
        <v>1.61</v>
      </c>
      <c r="AD201" s="46">
        <v>1.24</v>
      </c>
    </row>
    <row r="202" spans="2:30">
      <c r="V202" s="44" t="s">
        <v>1690</v>
      </c>
      <c r="W202" s="42">
        <v>3.92</v>
      </c>
      <c r="X202" s="42">
        <v>4.29</v>
      </c>
      <c r="Y202" s="42">
        <v>4.16</v>
      </c>
      <c r="Z202" s="42">
        <v>4.3099999999999996</v>
      </c>
      <c r="AA202" s="42">
        <v>3.63</v>
      </c>
      <c r="AB202" s="42">
        <v>3.1</v>
      </c>
      <c r="AC202" s="42">
        <v>1.61</v>
      </c>
      <c r="AD202" s="46">
        <v>1.19</v>
      </c>
    </row>
    <row r="203" spans="2:30">
      <c r="V203" s="44" t="s">
        <v>1691</v>
      </c>
      <c r="W203" s="42">
        <v>3.94</v>
      </c>
      <c r="X203" s="42">
        <v>4.25</v>
      </c>
      <c r="Y203" s="42">
        <v>4.1500000000000004</v>
      </c>
      <c r="Z203" s="42">
        <v>4.28</v>
      </c>
      <c r="AA203" s="42">
        <v>3.61</v>
      </c>
      <c r="AB203" s="42">
        <v>3.07</v>
      </c>
      <c r="AC203" s="42">
        <v>1.66</v>
      </c>
      <c r="AD203" s="46">
        <v>1.36</v>
      </c>
    </row>
    <row r="204" spans="2:30">
      <c r="V204" s="44" t="s">
        <v>1692</v>
      </c>
      <c r="W204" s="42">
        <v>3.9</v>
      </c>
      <c r="X204" s="42">
        <v>4.2699999999999996</v>
      </c>
      <c r="Y204" s="42">
        <v>4.2</v>
      </c>
      <c r="Z204" s="42">
        <v>4.3</v>
      </c>
      <c r="AA204" s="42">
        <v>3.6</v>
      </c>
      <c r="AB204" s="42">
        <v>3.1</v>
      </c>
      <c r="AC204" s="42">
        <v>1.62</v>
      </c>
      <c r="AD204" s="46">
        <v>1.27</v>
      </c>
    </row>
    <row r="205" spans="2:30">
      <c r="V205" s="44" t="s">
        <v>1693</v>
      </c>
      <c r="W205" s="42">
        <v>3.95</v>
      </c>
      <c r="X205" s="42">
        <v>4.29</v>
      </c>
      <c r="Y205" s="42">
        <v>4.17</v>
      </c>
      <c r="Z205" s="42">
        <v>4.3099999999999996</v>
      </c>
      <c r="AA205" s="42">
        <v>3.61</v>
      </c>
      <c r="AB205" s="42">
        <v>3.14</v>
      </c>
      <c r="AC205" s="42">
        <v>1.62</v>
      </c>
      <c r="AD205" s="46">
        <v>1.29</v>
      </c>
    </row>
    <row r="206" spans="2:30">
      <c r="V206" s="44" t="s">
        <v>1694</v>
      </c>
      <c r="W206" s="42">
        <v>3.9</v>
      </c>
      <c r="X206" s="42">
        <v>4.34</v>
      </c>
      <c r="Y206" s="42">
        <v>4.13</v>
      </c>
      <c r="Z206" s="42">
        <v>4.29</v>
      </c>
      <c r="AA206" s="42">
        <v>2.31</v>
      </c>
      <c r="AB206" s="42">
        <v>3.13</v>
      </c>
      <c r="AC206" s="42">
        <v>1.66</v>
      </c>
      <c r="AD206" s="46">
        <v>1.28</v>
      </c>
    </row>
    <row r="207" spans="2:30">
      <c r="V207" s="44" t="s">
        <v>1695</v>
      </c>
      <c r="W207" s="42">
        <v>3.9</v>
      </c>
      <c r="X207" s="42">
        <v>4.28</v>
      </c>
      <c r="Y207" s="42">
        <v>4.16</v>
      </c>
      <c r="Z207" s="42">
        <v>4.32</v>
      </c>
      <c r="AA207" s="42">
        <v>3.61</v>
      </c>
      <c r="AB207" s="42">
        <v>3.11</v>
      </c>
      <c r="AC207" s="42">
        <v>1.58</v>
      </c>
      <c r="AD207" s="46">
        <v>1.23</v>
      </c>
    </row>
    <row r="208" spans="2:30">
      <c r="V208" s="44" t="s">
        <v>1696</v>
      </c>
      <c r="W208" s="42">
        <v>3.92</v>
      </c>
      <c r="X208" s="42">
        <v>1.56</v>
      </c>
      <c r="Y208" s="42">
        <v>4.13</v>
      </c>
      <c r="Z208" s="42">
        <v>4.3</v>
      </c>
      <c r="AA208" s="42">
        <v>3.6</v>
      </c>
      <c r="AB208" s="42">
        <v>0.17</v>
      </c>
      <c r="AC208" s="42">
        <v>1.62</v>
      </c>
      <c r="AD208" s="46">
        <v>1.24</v>
      </c>
    </row>
    <row r="209" spans="22:30">
      <c r="V209" s="44" t="s">
        <v>1697</v>
      </c>
      <c r="W209" s="42">
        <v>3.94</v>
      </c>
      <c r="X209" s="42">
        <v>4.26</v>
      </c>
      <c r="Y209" s="42">
        <v>4.16</v>
      </c>
      <c r="Z209" s="42">
        <v>4.2699999999999996</v>
      </c>
      <c r="AA209" s="42">
        <v>3.6</v>
      </c>
      <c r="AB209" s="42">
        <v>3.1</v>
      </c>
      <c r="AC209" s="42">
        <v>1.62</v>
      </c>
      <c r="AD209" s="46">
        <v>0.23</v>
      </c>
    </row>
    <row r="210" spans="22:30">
      <c r="V210" s="44" t="s">
        <v>1698</v>
      </c>
      <c r="W210" s="42">
        <v>3.92</v>
      </c>
      <c r="X210" s="42">
        <v>4.3099999999999996</v>
      </c>
      <c r="Y210" s="42">
        <v>4.21</v>
      </c>
      <c r="Z210" s="42">
        <v>4.26</v>
      </c>
      <c r="AA210" s="42">
        <v>3.59</v>
      </c>
      <c r="AB210" s="42">
        <v>3.1</v>
      </c>
      <c r="AC210" s="42">
        <v>1.64</v>
      </c>
      <c r="AD210" s="46">
        <v>1.21</v>
      </c>
    </row>
    <row r="211" spans="22:30">
      <c r="V211" s="44" t="s">
        <v>1699</v>
      </c>
      <c r="W211" s="42">
        <v>3.9</v>
      </c>
      <c r="X211" s="42">
        <v>4.24</v>
      </c>
      <c r="Y211" s="42">
        <v>4.17</v>
      </c>
      <c r="Z211" s="42">
        <v>4.32</v>
      </c>
      <c r="AA211" s="42">
        <v>3.61</v>
      </c>
      <c r="AB211" s="42">
        <v>3.13</v>
      </c>
      <c r="AC211" s="42">
        <v>1.63</v>
      </c>
      <c r="AD211" s="46">
        <v>1.24</v>
      </c>
    </row>
    <row r="212" spans="22:30">
      <c r="V212" s="44" t="s">
        <v>1700</v>
      </c>
      <c r="W212" s="42">
        <v>3.92</v>
      </c>
      <c r="X212" s="42">
        <v>4.29</v>
      </c>
      <c r="Y212" s="42">
        <v>4.13</v>
      </c>
      <c r="Z212" s="42">
        <v>4.33</v>
      </c>
      <c r="AA212" s="42">
        <v>3.56</v>
      </c>
      <c r="AB212" s="42">
        <v>3.14</v>
      </c>
      <c r="AC212" s="42">
        <v>1.63</v>
      </c>
      <c r="AD212" s="46">
        <v>1.31</v>
      </c>
    </row>
    <row r="213" spans="22:30">
      <c r="V213" s="44" t="s">
        <v>1701</v>
      </c>
      <c r="W213" s="42">
        <v>3.93</v>
      </c>
      <c r="X213" s="42">
        <v>0.62</v>
      </c>
      <c r="Y213" s="42">
        <v>4.1900000000000004</v>
      </c>
      <c r="Z213" s="42">
        <v>4.3099999999999996</v>
      </c>
      <c r="AA213" s="42">
        <v>1.86</v>
      </c>
      <c r="AB213" s="42">
        <v>3.11</v>
      </c>
      <c r="AC213" s="42">
        <v>1.62</v>
      </c>
      <c r="AD213" s="46">
        <v>1.24</v>
      </c>
    </row>
    <row r="214" spans="22:30">
      <c r="V214" s="44" t="s">
        <v>1702</v>
      </c>
      <c r="W214" s="42">
        <v>2.2999999999999998</v>
      </c>
      <c r="X214" s="42">
        <v>4.2699999999999996</v>
      </c>
      <c r="Y214" s="42">
        <v>4.17</v>
      </c>
      <c r="Z214" s="42">
        <v>4.2699999999999996</v>
      </c>
      <c r="AA214" s="42">
        <v>3.59</v>
      </c>
      <c r="AB214" s="42">
        <v>3.14</v>
      </c>
      <c r="AC214" s="42">
        <v>0.16</v>
      </c>
      <c r="AD214" s="46">
        <v>1.23</v>
      </c>
    </row>
    <row r="215" spans="22:30">
      <c r="V215" s="44" t="s">
        <v>1703</v>
      </c>
      <c r="W215" s="42">
        <v>2.88</v>
      </c>
      <c r="X215" s="42">
        <v>4.26</v>
      </c>
      <c r="Y215" s="42">
        <v>4.1900000000000004</v>
      </c>
      <c r="Z215" s="42">
        <v>4.3</v>
      </c>
      <c r="AA215" s="42">
        <v>3.57</v>
      </c>
      <c r="AB215" s="42">
        <v>3.14</v>
      </c>
      <c r="AC215" s="42">
        <v>1.59</v>
      </c>
      <c r="AD215" s="46">
        <v>1.24</v>
      </c>
    </row>
    <row r="216" spans="22:30">
      <c r="V216" s="44" t="s">
        <v>1704</v>
      </c>
      <c r="W216" s="42">
        <v>3.91</v>
      </c>
      <c r="X216" s="42">
        <v>4.2699999999999996</v>
      </c>
      <c r="Y216" s="42">
        <v>4.13</v>
      </c>
      <c r="Z216" s="42">
        <v>4.3099999999999996</v>
      </c>
      <c r="AA216" s="42">
        <v>3.64</v>
      </c>
      <c r="AB216" s="42">
        <v>3.15</v>
      </c>
      <c r="AC216" s="42">
        <v>1.62</v>
      </c>
      <c r="AD216" s="46">
        <v>1.28</v>
      </c>
    </row>
    <row r="217" spans="22:30">
      <c r="V217" s="44" t="s">
        <v>1705</v>
      </c>
      <c r="W217" s="42">
        <v>3.93</v>
      </c>
      <c r="X217" s="42">
        <v>4.26</v>
      </c>
      <c r="Y217" s="42">
        <v>4.1100000000000003</v>
      </c>
      <c r="Z217" s="42">
        <v>4.3</v>
      </c>
      <c r="AA217" s="42">
        <v>3.58</v>
      </c>
      <c r="AB217" s="42">
        <v>3.13</v>
      </c>
      <c r="AC217" s="42">
        <v>1.64</v>
      </c>
      <c r="AD217" s="46">
        <v>1.22</v>
      </c>
    </row>
    <row r="218" spans="22:30">
      <c r="V218" s="44" t="s">
        <v>1706</v>
      </c>
      <c r="W218" s="42">
        <v>3.9</v>
      </c>
      <c r="X218" s="42">
        <v>3.5</v>
      </c>
      <c r="Y218" s="42">
        <v>4.1399999999999997</v>
      </c>
      <c r="Z218" s="42">
        <v>4.2699999999999996</v>
      </c>
      <c r="AA218" s="42">
        <v>3.62</v>
      </c>
      <c r="AB218" s="42">
        <v>3.14</v>
      </c>
      <c r="AC218" s="42">
        <v>1.06</v>
      </c>
      <c r="AD218" s="46">
        <v>1.24</v>
      </c>
    </row>
    <row r="219" spans="22:30">
      <c r="V219" s="44" t="s">
        <v>1707</v>
      </c>
      <c r="W219" s="42">
        <v>3.93</v>
      </c>
      <c r="X219" s="42">
        <v>4.2699999999999996</v>
      </c>
      <c r="Y219" s="42">
        <v>4.18</v>
      </c>
      <c r="Z219" s="42">
        <v>4.32</v>
      </c>
      <c r="AA219" s="42">
        <v>3.58</v>
      </c>
      <c r="AB219" s="42">
        <v>3.16</v>
      </c>
      <c r="AC219" s="42">
        <v>1.61</v>
      </c>
      <c r="AD219" s="46">
        <v>1.31</v>
      </c>
    </row>
    <row r="220" spans="22:30">
      <c r="V220" s="44" t="s">
        <v>1708</v>
      </c>
      <c r="W220" s="42">
        <v>3.91</v>
      </c>
      <c r="X220" s="42">
        <v>4.2699999999999996</v>
      </c>
      <c r="Y220" s="42">
        <v>4.25</v>
      </c>
      <c r="Z220" s="42">
        <v>4.3099999999999996</v>
      </c>
      <c r="AA220" s="42">
        <v>3.63</v>
      </c>
      <c r="AB220" s="42">
        <v>3.11</v>
      </c>
      <c r="AC220" s="42">
        <v>1.62</v>
      </c>
      <c r="AD220" s="46">
        <v>1.24</v>
      </c>
    </row>
    <row r="221" spans="22:30">
      <c r="V221" s="44" t="s">
        <v>1709</v>
      </c>
      <c r="W221" s="42">
        <v>3.92</v>
      </c>
      <c r="X221" s="42">
        <v>3.78</v>
      </c>
      <c r="Y221" s="42">
        <v>4.1900000000000004</v>
      </c>
      <c r="Z221" s="42">
        <v>4.3</v>
      </c>
      <c r="AA221" s="42">
        <v>3.58</v>
      </c>
      <c r="AB221" s="42">
        <v>3.14</v>
      </c>
      <c r="AC221" s="42">
        <v>1.66</v>
      </c>
      <c r="AD221" s="46">
        <v>1.19</v>
      </c>
    </row>
    <row r="222" spans="22:30">
      <c r="V222" s="44" t="s">
        <v>1710</v>
      </c>
      <c r="W222" s="42">
        <v>3.89</v>
      </c>
      <c r="X222" s="42">
        <v>4.2699999999999996</v>
      </c>
      <c r="Y222" s="42">
        <v>4.1500000000000004</v>
      </c>
      <c r="Z222" s="42">
        <v>4.32</v>
      </c>
      <c r="AA222" s="42">
        <v>3.57</v>
      </c>
      <c r="AB222" s="42">
        <v>3.1</v>
      </c>
      <c r="AC222" s="42">
        <v>1.62</v>
      </c>
      <c r="AD222" s="46">
        <v>1.21</v>
      </c>
    </row>
    <row r="223" spans="22:30">
      <c r="V223" s="44" t="s">
        <v>1711</v>
      </c>
      <c r="W223" s="42">
        <v>3.9</v>
      </c>
      <c r="X223" s="42">
        <v>1.1200000000000001</v>
      </c>
      <c r="Y223" s="42">
        <v>4.1500000000000004</v>
      </c>
      <c r="Z223" s="42">
        <v>4.28</v>
      </c>
      <c r="AA223" s="42">
        <v>3.64</v>
      </c>
      <c r="AB223" s="42">
        <v>3.11</v>
      </c>
      <c r="AC223" s="42">
        <v>1.64</v>
      </c>
      <c r="AD223" s="46">
        <v>1.24</v>
      </c>
    </row>
    <row r="224" spans="22:30">
      <c r="V224" s="44" t="s">
        <v>1712</v>
      </c>
      <c r="W224" s="42">
        <v>3.93</v>
      </c>
      <c r="X224" s="42">
        <v>0.46</v>
      </c>
      <c r="Y224" s="42">
        <v>4.1399999999999997</v>
      </c>
      <c r="Z224" s="42">
        <v>4.29</v>
      </c>
      <c r="AA224" s="42">
        <v>3.61</v>
      </c>
      <c r="AB224" s="42">
        <v>3.15</v>
      </c>
      <c r="AC224" s="42">
        <v>1.6</v>
      </c>
      <c r="AD224" s="46">
        <v>1.22</v>
      </c>
    </row>
    <row r="225" spans="22:30">
      <c r="V225" s="44" t="s">
        <v>1713</v>
      </c>
      <c r="W225" s="42">
        <v>3.9</v>
      </c>
      <c r="X225" s="42">
        <v>4.2699999999999996</v>
      </c>
      <c r="Y225" s="42">
        <v>4.1900000000000004</v>
      </c>
      <c r="Z225" s="42">
        <v>4.3</v>
      </c>
      <c r="AA225" s="42">
        <v>3.57</v>
      </c>
      <c r="AB225" s="42">
        <v>3.13</v>
      </c>
      <c r="AC225" s="42">
        <v>0.06</v>
      </c>
      <c r="AD225" s="46">
        <v>1.24</v>
      </c>
    </row>
    <row r="226" spans="22:30">
      <c r="V226" s="44" t="s">
        <v>1714</v>
      </c>
      <c r="W226" s="42">
        <v>3.94</v>
      </c>
      <c r="X226" s="42">
        <v>4.26</v>
      </c>
      <c r="Y226" s="42">
        <v>4.17</v>
      </c>
      <c r="Z226" s="42">
        <v>4.3499999999999996</v>
      </c>
      <c r="AA226" s="42">
        <v>3.62</v>
      </c>
      <c r="AB226" s="42">
        <v>3.13</v>
      </c>
      <c r="AC226" s="42">
        <v>1.64</v>
      </c>
      <c r="AD226" s="46">
        <v>1.28</v>
      </c>
    </row>
    <row r="227" spans="22:30">
      <c r="V227" s="44" t="s">
        <v>1715</v>
      </c>
      <c r="W227" s="42">
        <v>3.94</v>
      </c>
      <c r="X227" s="42">
        <v>4.24</v>
      </c>
      <c r="Y227" s="42">
        <v>4.17</v>
      </c>
      <c r="Z227" s="42">
        <v>4.26</v>
      </c>
      <c r="AA227" s="42">
        <v>3.58</v>
      </c>
      <c r="AB227" s="42">
        <v>3.13</v>
      </c>
      <c r="AC227" s="42">
        <v>1.63</v>
      </c>
      <c r="AD227" s="46">
        <v>1.25</v>
      </c>
    </row>
    <row r="228" spans="22:30">
      <c r="V228" s="44" t="s">
        <v>1716</v>
      </c>
      <c r="W228" s="42">
        <v>3.92</v>
      </c>
      <c r="X228" s="42">
        <v>4.26</v>
      </c>
      <c r="Y228" s="42">
        <v>4.17</v>
      </c>
      <c r="Z228" s="42">
        <v>4.32</v>
      </c>
      <c r="AA228" s="42">
        <v>3.62</v>
      </c>
      <c r="AB228" s="42">
        <v>3.11</v>
      </c>
      <c r="AC228" s="42">
        <v>1.6</v>
      </c>
      <c r="AD228" s="46">
        <v>1.23</v>
      </c>
    </row>
    <row r="229" spans="22:30">
      <c r="V229" s="44" t="s">
        <v>1717</v>
      </c>
      <c r="W229" s="42">
        <v>3.57</v>
      </c>
      <c r="X229" s="42">
        <v>4.26</v>
      </c>
      <c r="Y229" s="42">
        <v>4.2300000000000004</v>
      </c>
      <c r="Z229" s="42">
        <v>2.81</v>
      </c>
      <c r="AA229" s="42">
        <v>3.61</v>
      </c>
      <c r="AB229" s="42">
        <v>3.11</v>
      </c>
      <c r="AC229" s="42">
        <v>1.63</v>
      </c>
      <c r="AD229" s="46">
        <v>1.24</v>
      </c>
    </row>
    <row r="230" spans="22:30">
      <c r="V230" s="44" t="s">
        <v>1718</v>
      </c>
      <c r="W230" s="42">
        <v>3.9</v>
      </c>
      <c r="X230" s="42">
        <v>4.28</v>
      </c>
      <c r="Y230" s="42">
        <v>4.1500000000000004</v>
      </c>
      <c r="Z230" s="42">
        <v>4.29</v>
      </c>
      <c r="AA230" s="42">
        <v>3.6</v>
      </c>
      <c r="AB230" s="42">
        <v>3.12</v>
      </c>
      <c r="AC230" s="42">
        <v>1.64</v>
      </c>
      <c r="AD230" s="46">
        <v>1.23</v>
      </c>
    </row>
    <row r="231" spans="22:30">
      <c r="V231" s="44" t="s">
        <v>1719</v>
      </c>
      <c r="W231" s="42">
        <v>3.9</v>
      </c>
      <c r="X231" s="42">
        <v>4.26</v>
      </c>
      <c r="Y231" s="42">
        <v>4.13</v>
      </c>
      <c r="Z231" s="42">
        <v>4.28</v>
      </c>
      <c r="AA231" s="42">
        <v>3.27</v>
      </c>
      <c r="AB231" s="42">
        <v>1.2</v>
      </c>
      <c r="AC231" s="42">
        <v>1.62</v>
      </c>
      <c r="AD231" s="46">
        <v>1.31</v>
      </c>
    </row>
    <row r="232" spans="22:30">
      <c r="V232" s="44" t="s">
        <v>1720</v>
      </c>
      <c r="W232" s="42">
        <v>3.92</v>
      </c>
      <c r="X232" s="42">
        <v>4.24</v>
      </c>
      <c r="Y232" s="42">
        <v>4.1399999999999997</v>
      </c>
      <c r="Z232" s="42">
        <v>4.34</v>
      </c>
      <c r="AA232" s="42">
        <v>3.62</v>
      </c>
      <c r="AB232" s="42">
        <v>3.11</v>
      </c>
      <c r="AC232" s="42">
        <v>1.62</v>
      </c>
      <c r="AD232" s="46">
        <v>1.34</v>
      </c>
    </row>
    <row r="233" spans="22:30">
      <c r="V233" s="44" t="s">
        <v>1721</v>
      </c>
      <c r="W233" s="42">
        <v>2.4700000000000002</v>
      </c>
      <c r="X233" s="42">
        <v>4.25</v>
      </c>
      <c r="Y233" s="42">
        <v>4.1399999999999997</v>
      </c>
      <c r="Z233" s="42">
        <v>4.28</v>
      </c>
      <c r="AA233" s="42">
        <v>3.6</v>
      </c>
      <c r="AB233" s="42">
        <v>3.13</v>
      </c>
      <c r="AC233" s="42">
        <v>1.63</v>
      </c>
      <c r="AD233" s="46">
        <v>0.9</v>
      </c>
    </row>
    <row r="234" spans="22:30">
      <c r="V234" s="44" t="s">
        <v>1722</v>
      </c>
      <c r="W234" s="42">
        <v>3.91</v>
      </c>
      <c r="X234" s="42">
        <v>4.3</v>
      </c>
      <c r="Y234" s="42">
        <v>4.2</v>
      </c>
      <c r="Z234" s="42">
        <v>4.3</v>
      </c>
      <c r="AA234" s="42">
        <v>3.59</v>
      </c>
      <c r="AB234" s="42">
        <v>3.15</v>
      </c>
      <c r="AC234" s="42">
        <v>1.68</v>
      </c>
      <c r="AD234" s="46">
        <v>1.26</v>
      </c>
    </row>
    <row r="235" spans="22:30">
      <c r="V235" s="44" t="s">
        <v>1723</v>
      </c>
      <c r="W235" s="42">
        <v>3.94</v>
      </c>
      <c r="X235" s="42">
        <v>2.8</v>
      </c>
      <c r="Y235" s="42">
        <v>4.18</v>
      </c>
      <c r="Z235" s="42">
        <v>0.44</v>
      </c>
      <c r="AA235" s="42">
        <v>3.62</v>
      </c>
      <c r="AB235" s="42">
        <v>3.16</v>
      </c>
      <c r="AC235" s="42">
        <v>1.62</v>
      </c>
      <c r="AD235" s="46">
        <v>1.24</v>
      </c>
    </row>
    <row r="236" spans="22:30">
      <c r="V236" s="44" t="s">
        <v>1724</v>
      </c>
      <c r="W236" s="42">
        <v>3.95</v>
      </c>
      <c r="X236" s="42">
        <v>4.2699999999999996</v>
      </c>
      <c r="Y236" s="42">
        <v>4.12</v>
      </c>
      <c r="Z236" s="42">
        <v>4.28</v>
      </c>
      <c r="AA236" s="42">
        <v>3.61</v>
      </c>
      <c r="AB236" s="42">
        <v>3.12</v>
      </c>
      <c r="AC236" s="42">
        <v>1.61</v>
      </c>
      <c r="AD236" s="46">
        <v>1.21</v>
      </c>
    </row>
    <row r="237" spans="22:30">
      <c r="V237" s="44" t="s">
        <v>1725</v>
      </c>
      <c r="W237" s="42">
        <v>3.94</v>
      </c>
      <c r="X237" s="42">
        <v>4.26</v>
      </c>
      <c r="Y237" s="42">
        <v>4.1399999999999997</v>
      </c>
      <c r="Z237" s="42">
        <v>4.29</v>
      </c>
      <c r="AA237" s="42">
        <v>3.61</v>
      </c>
      <c r="AB237" s="42">
        <v>3.11</v>
      </c>
      <c r="AC237" s="42">
        <v>1.62</v>
      </c>
      <c r="AD237" s="46">
        <v>1.25</v>
      </c>
    </row>
    <row r="238" spans="22:30">
      <c r="V238" s="44" t="s">
        <v>1726</v>
      </c>
      <c r="W238" s="42">
        <v>3.94</v>
      </c>
      <c r="X238" s="42">
        <v>3.99</v>
      </c>
      <c r="Y238" s="42">
        <v>4.2300000000000004</v>
      </c>
      <c r="Z238" s="42">
        <v>4.28</v>
      </c>
      <c r="AA238" s="42">
        <v>3.59</v>
      </c>
      <c r="AB238" s="42">
        <v>3.14</v>
      </c>
      <c r="AC238" s="42">
        <v>1.66</v>
      </c>
      <c r="AD238" s="46">
        <v>1.28</v>
      </c>
    </row>
    <row r="239" spans="22:30">
      <c r="V239" s="44" t="s">
        <v>1727</v>
      </c>
      <c r="W239" s="42">
        <v>3.95</v>
      </c>
      <c r="X239" s="42">
        <v>4.26</v>
      </c>
      <c r="Y239" s="42">
        <v>4.18</v>
      </c>
      <c r="Z239" s="42">
        <v>4.33</v>
      </c>
      <c r="AA239" s="42">
        <v>2.82</v>
      </c>
      <c r="AB239" s="42">
        <v>3.11</v>
      </c>
      <c r="AC239" s="42">
        <v>1.65</v>
      </c>
      <c r="AD239" s="46">
        <v>1.29</v>
      </c>
    </row>
    <row r="240" spans="22:30">
      <c r="V240" s="44" t="s">
        <v>1728</v>
      </c>
      <c r="W240" s="42">
        <v>3.92</v>
      </c>
      <c r="X240" s="42">
        <v>4.2699999999999996</v>
      </c>
      <c r="Y240" s="42">
        <v>4.22</v>
      </c>
      <c r="Z240" s="42">
        <v>4.3099999999999996</v>
      </c>
      <c r="AA240" s="42">
        <v>3.59</v>
      </c>
      <c r="AB240" s="42">
        <v>0.73</v>
      </c>
      <c r="AC240" s="42">
        <v>1.66</v>
      </c>
      <c r="AD240" s="46">
        <v>1.2</v>
      </c>
    </row>
    <row r="241" spans="22:30">
      <c r="V241" s="44" t="s">
        <v>1729</v>
      </c>
      <c r="W241" s="42">
        <v>3.91</v>
      </c>
      <c r="X241" s="42">
        <v>4.26</v>
      </c>
      <c r="Y241" s="42">
        <v>4.1399999999999997</v>
      </c>
      <c r="Z241" s="42">
        <v>4.29</v>
      </c>
      <c r="AA241" s="42">
        <v>3.64</v>
      </c>
      <c r="AB241" s="42">
        <v>3.16</v>
      </c>
      <c r="AC241" s="42">
        <v>1.61</v>
      </c>
      <c r="AD241" s="46">
        <v>1.28</v>
      </c>
    </row>
    <row r="242" spans="22:30">
      <c r="V242" s="44" t="s">
        <v>1730</v>
      </c>
      <c r="W242" s="42">
        <v>3.89</v>
      </c>
      <c r="X242" s="42">
        <v>4.3099999999999996</v>
      </c>
      <c r="Y242" s="42">
        <v>1.35</v>
      </c>
      <c r="Z242" s="42">
        <v>4.38</v>
      </c>
      <c r="AA242" s="42">
        <v>1.89</v>
      </c>
      <c r="AB242" s="42">
        <v>3.11</v>
      </c>
      <c r="AC242" s="42">
        <v>1.62</v>
      </c>
      <c r="AD242" s="46">
        <v>1.33</v>
      </c>
    </row>
    <row r="243" spans="22:30">
      <c r="V243" s="44" t="s">
        <v>1731</v>
      </c>
      <c r="W243" s="42">
        <v>3.95</v>
      </c>
      <c r="X243" s="42">
        <v>4.26</v>
      </c>
      <c r="Y243" s="42">
        <v>4.13</v>
      </c>
      <c r="Z243" s="42">
        <v>4.34</v>
      </c>
      <c r="AA243" s="42">
        <v>3.59</v>
      </c>
      <c r="AB243" s="42">
        <v>3.11</v>
      </c>
      <c r="AC243" s="42">
        <v>1.62</v>
      </c>
      <c r="AD243" s="46">
        <v>1.27</v>
      </c>
    </row>
    <row r="244" spans="22:30">
      <c r="V244" s="44" t="s">
        <v>1732</v>
      </c>
      <c r="W244" s="42">
        <v>3.91</v>
      </c>
      <c r="X244" s="42">
        <v>4.2699999999999996</v>
      </c>
      <c r="Y244" s="42">
        <v>4.13</v>
      </c>
      <c r="Z244" s="42">
        <v>2.96</v>
      </c>
      <c r="AA244" s="42">
        <v>3.6</v>
      </c>
      <c r="AB244" s="42">
        <v>3.11</v>
      </c>
      <c r="AC244" s="42">
        <v>1.6</v>
      </c>
      <c r="AD244" s="46">
        <v>0</v>
      </c>
    </row>
    <row r="245" spans="22:30">
      <c r="V245" s="44" t="s">
        <v>1733</v>
      </c>
      <c r="W245" s="42">
        <v>3.94</v>
      </c>
      <c r="X245" s="42">
        <v>4.2699999999999996</v>
      </c>
      <c r="Y245" s="42">
        <v>3.75</v>
      </c>
      <c r="Z245" s="42">
        <v>4.32</v>
      </c>
      <c r="AA245" s="42">
        <v>3.59</v>
      </c>
      <c r="AB245" s="42">
        <v>3.13</v>
      </c>
      <c r="AC245" s="42">
        <v>1.62</v>
      </c>
      <c r="AD245" s="46">
        <v>1.25</v>
      </c>
    </row>
    <row r="246" spans="22:30">
      <c r="V246" s="44" t="s">
        <v>1734</v>
      </c>
      <c r="W246" s="42">
        <v>3.89</v>
      </c>
      <c r="X246" s="42">
        <v>4.28</v>
      </c>
      <c r="Y246" s="42">
        <v>4.2</v>
      </c>
      <c r="Z246" s="42">
        <v>4.28</v>
      </c>
      <c r="AA246" s="42">
        <v>3.59</v>
      </c>
      <c r="AB246" s="42">
        <v>3.1</v>
      </c>
      <c r="AC246" s="42">
        <v>1.65</v>
      </c>
      <c r="AD246" s="46">
        <v>1.27</v>
      </c>
    </row>
    <row r="247" spans="22:30">
      <c r="V247" s="44" t="s">
        <v>1735</v>
      </c>
      <c r="W247" s="42">
        <v>3.93</v>
      </c>
      <c r="X247" s="42">
        <v>4.28</v>
      </c>
      <c r="Y247" s="42">
        <v>4.1500000000000004</v>
      </c>
      <c r="Z247" s="42">
        <v>4.29</v>
      </c>
      <c r="AA247" s="42">
        <v>3.6</v>
      </c>
      <c r="AB247" s="42">
        <v>3.14</v>
      </c>
      <c r="AC247" s="42">
        <v>1.64</v>
      </c>
      <c r="AD247" s="46">
        <v>1.21</v>
      </c>
    </row>
    <row r="248" spans="22:30">
      <c r="V248" s="44" t="s">
        <v>1736</v>
      </c>
      <c r="W248" s="42">
        <v>3.91</v>
      </c>
      <c r="X248" s="42">
        <v>4.26</v>
      </c>
      <c r="Y248" s="42">
        <v>4.18</v>
      </c>
      <c r="Z248" s="42">
        <v>4.3499999999999996</v>
      </c>
      <c r="AA248" s="42">
        <v>3.56</v>
      </c>
      <c r="AB248" s="42">
        <v>3.09</v>
      </c>
      <c r="AC248" s="42">
        <v>1.63</v>
      </c>
      <c r="AD248" s="46">
        <v>1.25</v>
      </c>
    </row>
    <row r="249" spans="22:30">
      <c r="V249" s="44" t="s">
        <v>1737</v>
      </c>
      <c r="W249" s="42">
        <v>3.94</v>
      </c>
      <c r="X249" s="42">
        <v>4.25</v>
      </c>
      <c r="Y249" s="42">
        <v>4.17</v>
      </c>
      <c r="Z249" s="42">
        <v>4.3</v>
      </c>
      <c r="AA249" s="42">
        <v>3.55</v>
      </c>
      <c r="AB249" s="42">
        <v>3.11</v>
      </c>
      <c r="AC249" s="42">
        <v>1.65</v>
      </c>
      <c r="AD249" s="46">
        <v>1.18</v>
      </c>
    </row>
    <row r="250" spans="22:30">
      <c r="V250" s="44" t="s">
        <v>1738</v>
      </c>
      <c r="W250" s="42">
        <v>3.9</v>
      </c>
      <c r="X250" s="42">
        <v>0.9</v>
      </c>
      <c r="Y250" s="42">
        <v>4.1399999999999997</v>
      </c>
      <c r="Z250" s="42">
        <v>4.32</v>
      </c>
      <c r="AA250" s="42">
        <v>3.61</v>
      </c>
      <c r="AB250" s="42">
        <v>3.14</v>
      </c>
      <c r="AC250" s="42">
        <v>1.61</v>
      </c>
      <c r="AD250" s="46">
        <v>1.27</v>
      </c>
    </row>
    <row r="251" spans="22:30">
      <c r="V251" s="44" t="s">
        <v>1739</v>
      </c>
      <c r="W251" s="42">
        <v>3.94</v>
      </c>
      <c r="X251" s="42">
        <v>4.29</v>
      </c>
      <c r="Y251" s="42">
        <v>4.1399999999999997</v>
      </c>
      <c r="Z251" s="42">
        <v>4.33</v>
      </c>
      <c r="AA251" s="42">
        <v>3.59</v>
      </c>
      <c r="AB251" s="42">
        <v>3.16</v>
      </c>
      <c r="AC251" s="42">
        <v>1.63</v>
      </c>
      <c r="AD251" s="46">
        <v>1.29</v>
      </c>
    </row>
    <row r="252" spans="22:30">
      <c r="V252" s="44" t="s">
        <v>1740</v>
      </c>
      <c r="W252" s="42">
        <v>3.9</v>
      </c>
      <c r="X252" s="42">
        <v>4.26</v>
      </c>
      <c r="Y252" s="42">
        <v>4.1900000000000004</v>
      </c>
      <c r="Z252" s="42">
        <v>4.3</v>
      </c>
      <c r="AA252" s="42">
        <v>3.62</v>
      </c>
      <c r="AB252" s="42">
        <v>3.11</v>
      </c>
      <c r="AC252" s="42">
        <v>1.63</v>
      </c>
      <c r="AD252" s="46">
        <v>1.34</v>
      </c>
    </row>
    <row r="253" spans="22:30">
      <c r="V253" s="44" t="s">
        <v>1741</v>
      </c>
      <c r="W253" s="42">
        <v>1.78</v>
      </c>
      <c r="X253" s="42">
        <v>4.26</v>
      </c>
      <c r="Y253" s="42">
        <v>4.16</v>
      </c>
      <c r="Z253" s="42">
        <v>4.26</v>
      </c>
      <c r="AA253" s="42">
        <v>0.97</v>
      </c>
      <c r="AB253" s="42">
        <v>3.16</v>
      </c>
      <c r="AC253" s="42">
        <v>1.64</v>
      </c>
      <c r="AD253" s="46">
        <v>1.25</v>
      </c>
    </row>
    <row r="254" spans="22:30">
      <c r="V254" s="44" t="s">
        <v>1742</v>
      </c>
      <c r="W254" s="42">
        <v>3.89</v>
      </c>
      <c r="X254" s="42">
        <v>4.2699999999999996</v>
      </c>
      <c r="Y254" s="42">
        <v>4.1500000000000004</v>
      </c>
      <c r="Z254" s="42">
        <v>4.3</v>
      </c>
      <c r="AA254" s="42">
        <v>3.58</v>
      </c>
      <c r="AB254" s="42">
        <v>3.13</v>
      </c>
      <c r="AC254" s="42">
        <v>1.66</v>
      </c>
      <c r="AD254" s="46">
        <v>1.18</v>
      </c>
    </row>
    <row r="255" spans="22:30">
      <c r="V255" s="44" t="s">
        <v>1743</v>
      </c>
      <c r="W255" s="42">
        <v>3.92</v>
      </c>
      <c r="X255" s="42">
        <v>4.28</v>
      </c>
      <c r="Y255" s="42">
        <v>4.1399999999999997</v>
      </c>
      <c r="Z255" s="42">
        <v>4.2699999999999996</v>
      </c>
      <c r="AA255" s="42">
        <v>2.95</v>
      </c>
      <c r="AB255" s="42">
        <v>3.13</v>
      </c>
      <c r="AC255" s="42">
        <v>1.64</v>
      </c>
      <c r="AD255" s="46">
        <v>1.22</v>
      </c>
    </row>
    <row r="256" spans="22:30">
      <c r="V256" s="44" t="s">
        <v>1744</v>
      </c>
      <c r="W256" s="42">
        <v>3.92</v>
      </c>
      <c r="X256" s="42">
        <v>4.29</v>
      </c>
      <c r="Y256" s="42">
        <v>2.12</v>
      </c>
      <c r="Z256" s="42">
        <v>4.3499999999999996</v>
      </c>
      <c r="AA256" s="42">
        <v>3.6</v>
      </c>
      <c r="AB256" s="42">
        <v>3.14</v>
      </c>
      <c r="AC256" s="42">
        <v>1.63</v>
      </c>
      <c r="AD256" s="46">
        <v>1.29</v>
      </c>
    </row>
    <row r="257" spans="22:30">
      <c r="V257" s="44" t="s">
        <v>1745</v>
      </c>
      <c r="W257" s="42">
        <v>3.93</v>
      </c>
      <c r="X257" s="42">
        <v>4.2699999999999996</v>
      </c>
      <c r="Y257" s="42">
        <v>4.1500000000000004</v>
      </c>
      <c r="Z257" s="42">
        <v>4.32</v>
      </c>
      <c r="AA257" s="42">
        <v>2.96</v>
      </c>
      <c r="AB257" s="42">
        <v>3.16</v>
      </c>
      <c r="AC257" s="42">
        <v>1.62</v>
      </c>
      <c r="AD257" s="46">
        <v>1.24</v>
      </c>
    </row>
    <row r="258" spans="22:30">
      <c r="V258" s="44" t="s">
        <v>1746</v>
      </c>
      <c r="W258" s="42">
        <v>3.92</v>
      </c>
      <c r="X258" s="42">
        <v>4.2699999999999996</v>
      </c>
      <c r="Y258" s="42">
        <v>3.67</v>
      </c>
      <c r="Z258" s="42">
        <v>4.29</v>
      </c>
      <c r="AA258" s="42">
        <v>3.57</v>
      </c>
      <c r="AB258" s="42">
        <v>3.14</v>
      </c>
      <c r="AC258" s="42">
        <v>1.59</v>
      </c>
      <c r="AD258" s="46">
        <v>1.25</v>
      </c>
    </row>
    <row r="259" spans="22:30">
      <c r="V259" s="44" t="s">
        <v>1747</v>
      </c>
      <c r="W259" s="42">
        <v>3.94</v>
      </c>
      <c r="X259" s="42">
        <v>4.28</v>
      </c>
      <c r="Y259" s="42">
        <v>4.17</v>
      </c>
      <c r="Z259" s="42">
        <v>4.28</v>
      </c>
      <c r="AA259" s="42">
        <v>3.57</v>
      </c>
      <c r="AB259" s="42">
        <v>3.14</v>
      </c>
      <c r="AC259" s="42">
        <v>1.64</v>
      </c>
      <c r="AD259" s="46">
        <v>1.17</v>
      </c>
    </row>
    <row r="260" spans="22:30">
      <c r="V260" s="44" t="s">
        <v>1748</v>
      </c>
      <c r="W260" s="42">
        <v>3.93</v>
      </c>
      <c r="X260" s="42">
        <v>4.2699999999999996</v>
      </c>
      <c r="Y260" s="42">
        <v>4.12</v>
      </c>
      <c r="Z260" s="42">
        <v>4.33</v>
      </c>
      <c r="AA260" s="42">
        <v>3.62</v>
      </c>
      <c r="AB260" s="42">
        <v>3.13</v>
      </c>
      <c r="AC260" s="42">
        <v>1.62</v>
      </c>
      <c r="AD260" s="46">
        <v>1.33</v>
      </c>
    </row>
    <row r="261" spans="22:30">
      <c r="V261" s="44" t="s">
        <v>1749</v>
      </c>
      <c r="W261" s="42">
        <v>3.91</v>
      </c>
      <c r="X261" s="42">
        <v>4.29</v>
      </c>
      <c r="Y261" s="42">
        <v>4.18</v>
      </c>
      <c r="Z261" s="42">
        <v>4.37</v>
      </c>
      <c r="AA261" s="42">
        <v>3.53</v>
      </c>
      <c r="AB261" s="42">
        <v>1.1299999999999999</v>
      </c>
      <c r="AC261" s="42">
        <v>1.64</v>
      </c>
      <c r="AD261" s="46">
        <v>1.27</v>
      </c>
    </row>
    <row r="262" spans="22:30">
      <c r="V262" s="44" t="s">
        <v>1750</v>
      </c>
      <c r="W262" s="42">
        <v>3.94</v>
      </c>
      <c r="X262" s="42">
        <v>4.28</v>
      </c>
      <c r="Y262" s="42">
        <v>4.13</v>
      </c>
      <c r="Z262" s="42">
        <v>4.29</v>
      </c>
      <c r="AA262" s="42">
        <v>3.64</v>
      </c>
      <c r="AB262" s="42">
        <v>3.14</v>
      </c>
      <c r="AC262" s="42">
        <v>7.0000000000000007E-2</v>
      </c>
      <c r="AD262" s="46">
        <v>1.23</v>
      </c>
    </row>
    <row r="263" spans="22:30">
      <c r="V263" s="44" t="s">
        <v>1751</v>
      </c>
      <c r="W263" s="42">
        <v>3.88</v>
      </c>
      <c r="X263" s="42">
        <v>4.2699999999999996</v>
      </c>
      <c r="Y263" s="42">
        <v>4.13</v>
      </c>
      <c r="Z263" s="42">
        <v>0.5</v>
      </c>
      <c r="AA263" s="42">
        <v>3.59</v>
      </c>
      <c r="AB263" s="42">
        <v>3.14</v>
      </c>
      <c r="AC263" s="42">
        <v>1.62</v>
      </c>
      <c r="AD263" s="46">
        <v>1.21</v>
      </c>
    </row>
    <row r="264" spans="22:30">
      <c r="V264" s="44" t="s">
        <v>1752</v>
      </c>
      <c r="W264" s="42">
        <v>3.92</v>
      </c>
      <c r="X264" s="42">
        <v>4.26</v>
      </c>
      <c r="Y264" s="42">
        <v>4.1399999999999997</v>
      </c>
      <c r="Z264" s="42">
        <v>4.28</v>
      </c>
      <c r="AA264" s="42">
        <v>3.62</v>
      </c>
      <c r="AB264" s="42">
        <v>3.18</v>
      </c>
      <c r="AC264" s="42">
        <v>1.63</v>
      </c>
      <c r="AD264" s="46">
        <v>1.29</v>
      </c>
    </row>
    <row r="265" spans="22:30">
      <c r="V265" s="44" t="s">
        <v>1753</v>
      </c>
      <c r="W265" s="42">
        <v>3.9</v>
      </c>
      <c r="X265" s="42">
        <v>4.2699999999999996</v>
      </c>
      <c r="Y265" s="42">
        <v>4.22</v>
      </c>
      <c r="Z265" s="42">
        <v>4.34</v>
      </c>
      <c r="AA265" s="42">
        <v>1.85</v>
      </c>
      <c r="AB265" s="42">
        <v>3.15</v>
      </c>
      <c r="AC265" s="42">
        <v>1.65</v>
      </c>
      <c r="AD265" s="46">
        <v>1.29</v>
      </c>
    </row>
    <row r="266" spans="22:30">
      <c r="V266" s="44" t="s">
        <v>1754</v>
      </c>
      <c r="W266" s="42">
        <v>3.92</v>
      </c>
      <c r="X266" s="42">
        <v>4.2699999999999996</v>
      </c>
      <c r="Y266" s="42">
        <v>4.13</v>
      </c>
      <c r="Z266" s="42">
        <v>4.25</v>
      </c>
      <c r="AA266" s="42">
        <v>3.59</v>
      </c>
      <c r="AB266" s="42">
        <v>3.11</v>
      </c>
      <c r="AC266" s="42">
        <v>1.64</v>
      </c>
      <c r="AD266" s="46">
        <v>0.53</v>
      </c>
    </row>
    <row r="267" spans="22:30" ht="15.75" thickBot="1">
      <c r="V267" s="44" t="s">
        <v>1755</v>
      </c>
      <c r="W267" s="42">
        <v>3.95</v>
      </c>
      <c r="X267" s="42">
        <v>4.25</v>
      </c>
      <c r="Y267" s="42">
        <v>4.17</v>
      </c>
      <c r="Z267" s="42">
        <v>4.32</v>
      </c>
      <c r="AA267" s="42">
        <v>3.64</v>
      </c>
      <c r="AB267" s="42">
        <v>3.11</v>
      </c>
      <c r="AC267" s="42">
        <v>1.64</v>
      </c>
      <c r="AD267" s="46">
        <v>1.3</v>
      </c>
    </row>
    <row r="268" spans="22:30">
      <c r="V268" s="62" t="s">
        <v>936</v>
      </c>
      <c r="W268" s="57">
        <v>3.7704166666666601</v>
      </c>
      <c r="X268" s="57">
        <v>3.98386363636362</v>
      </c>
      <c r="Y268" s="57">
        <v>3.9887878787878699</v>
      </c>
      <c r="Z268" s="57">
        <v>4.17145593869731</v>
      </c>
      <c r="AA268" s="57">
        <v>3.3224999999999998</v>
      </c>
      <c r="AB268" s="57">
        <v>3.0324714828897301</v>
      </c>
      <c r="AC268" s="57">
        <v>1.57151515151515</v>
      </c>
      <c r="AD268" s="58">
        <v>1.2284351145038099</v>
      </c>
    </row>
    <row r="269" spans="22:30">
      <c r="V269" s="47" t="s">
        <v>515</v>
      </c>
      <c r="W269" s="42">
        <v>0.61348808417050005</v>
      </c>
      <c r="X269" s="42">
        <v>0.85193420549703602</v>
      </c>
      <c r="Y269" s="42">
        <v>0.63188214558862299</v>
      </c>
      <c r="Z269" s="42">
        <v>0.62397209493827999</v>
      </c>
      <c r="AA269" s="42">
        <v>0.79366561827784998</v>
      </c>
      <c r="AB269" s="42">
        <v>0.46321283997567803</v>
      </c>
      <c r="AC269" s="42">
        <v>0.26269000294875899</v>
      </c>
      <c r="AD269" s="46">
        <v>0.141327652396327</v>
      </c>
    </row>
    <row r="270" spans="22:30">
      <c r="V270" s="47" t="s">
        <v>520</v>
      </c>
      <c r="W270" s="42">
        <v>4.3839047508371598</v>
      </c>
      <c r="X270" s="42">
        <v>4.8357978418606598</v>
      </c>
      <c r="Y270" s="42">
        <v>4.6206700243764898</v>
      </c>
      <c r="Z270" s="42">
        <v>4.7954280336355897</v>
      </c>
      <c r="AA270" s="42">
        <v>4.1161656182778499</v>
      </c>
      <c r="AB270" s="42">
        <v>3.4956843228654102</v>
      </c>
      <c r="AC270" s="42">
        <v>1.83420515446391</v>
      </c>
      <c r="AD270" s="46">
        <v>1.36976276690014</v>
      </c>
    </row>
    <row r="271" spans="22:30">
      <c r="V271" s="47" t="s">
        <v>525</v>
      </c>
      <c r="W271" s="42">
        <v>3.1569285824961599</v>
      </c>
      <c r="X271" s="42">
        <v>3.1319294308665899</v>
      </c>
      <c r="Y271" s="42">
        <v>3.35690573319925</v>
      </c>
      <c r="Z271" s="42">
        <v>3.5474838437590299</v>
      </c>
      <c r="AA271" s="42">
        <v>2.5288343817221501</v>
      </c>
      <c r="AB271" s="42">
        <v>2.56925864291405</v>
      </c>
      <c r="AC271" s="42">
        <v>1.30882514856639</v>
      </c>
      <c r="AD271" s="46">
        <v>1.0871074621074801</v>
      </c>
    </row>
    <row r="272" spans="22:30" ht="15.75" thickBot="1">
      <c r="V272" s="48" t="s">
        <v>937</v>
      </c>
      <c r="W272" s="49">
        <v>3.9152016129032199</v>
      </c>
      <c r="X272" s="49">
        <v>4.2516455696202398</v>
      </c>
      <c r="Y272" s="49">
        <v>4.1533606557376999</v>
      </c>
      <c r="Z272" s="49">
        <v>4.2990763052208703</v>
      </c>
      <c r="AA272" s="49">
        <v>3.5863404255319198</v>
      </c>
      <c r="AB272" s="49">
        <v>3.1254</v>
      </c>
      <c r="AC272" s="49">
        <v>1.6285999999999901</v>
      </c>
      <c r="AD272" s="50">
        <v>1.24960629921259</v>
      </c>
    </row>
    <row r="273" spans="22:45" ht="15.75" thickBot="1"/>
    <row r="274" spans="22:45" ht="30">
      <c r="V274" s="82" t="s">
        <v>534</v>
      </c>
      <c r="W274" s="8">
        <v>3.88</v>
      </c>
      <c r="X274" s="8">
        <v>4.2300000000000004</v>
      </c>
      <c r="Y274" s="8">
        <v>3.88</v>
      </c>
      <c r="Z274" s="8">
        <v>4.43</v>
      </c>
      <c r="AA274" s="8">
        <v>3.58</v>
      </c>
      <c r="AB274" s="8">
        <v>3.17</v>
      </c>
      <c r="AC274" s="8">
        <v>1.72</v>
      </c>
      <c r="AD274" s="9">
        <v>1.1399999999999999</v>
      </c>
      <c r="AF274" s="11"/>
      <c r="AG274" s="11"/>
      <c r="AI274" s="11"/>
      <c r="AJ274" s="11"/>
      <c r="AL274" s="11"/>
      <c r="AM274" s="11"/>
      <c r="AO274" s="11"/>
      <c r="AP274" s="11"/>
      <c r="AR274" s="11"/>
      <c r="AS274" s="11"/>
    </row>
    <row r="275" spans="22:45">
      <c r="V275" s="52" t="s">
        <v>945</v>
      </c>
      <c r="W275" s="11">
        <f>W274-W272</f>
        <v>-3.5201612903219992E-2</v>
      </c>
      <c r="X275" s="11">
        <f t="shared" ref="X275" si="78">X274-X272</f>
        <v>-2.1645569620239336E-2</v>
      </c>
      <c r="Y275" s="11">
        <f>Y274-Y272</f>
        <v>-0.27336065573769996</v>
      </c>
      <c r="Z275" s="11">
        <f t="shared" ref="Z275" si="79">Z274-Z272</f>
        <v>0.13092369477912946</v>
      </c>
      <c r="AA275" s="11">
        <f>AA274-AA272</f>
        <v>-6.3404255319197134E-3</v>
      </c>
      <c r="AB275" s="11">
        <f>AB274-AB272</f>
        <v>4.4599999999999973E-2</v>
      </c>
      <c r="AC275" s="11">
        <f>AC274-AC272</f>
        <v>9.1400000000009918E-2</v>
      </c>
      <c r="AD275" s="12">
        <f t="shared" ref="AD275" si="80">AD274-AD272</f>
        <v>-0.10960629921259013</v>
      </c>
      <c r="AF275" s="11"/>
      <c r="AG275" s="11"/>
      <c r="AI275" s="11"/>
      <c r="AJ275" s="11"/>
      <c r="AL275" s="11"/>
      <c r="AM275" s="11"/>
      <c r="AO275" s="11"/>
      <c r="AP275" s="11"/>
      <c r="AR275" s="11"/>
      <c r="AS275" s="11"/>
    </row>
    <row r="276" spans="22:45" ht="15.75" thickBot="1">
      <c r="V276" s="53" t="s">
        <v>946</v>
      </c>
      <c r="W276" s="14">
        <f>(W275/W272)*100</f>
        <v>-0.89910089910075186</v>
      </c>
      <c r="X276" s="14">
        <f t="shared" ref="X276" si="81">(X275/X272)*100</f>
        <v>-0.50911039656988</v>
      </c>
      <c r="Y276" s="14">
        <f>(Y275/Y272)*100</f>
        <v>-6.5816739357816969</v>
      </c>
      <c r="Z276" s="14">
        <f t="shared" ref="Z276" si="82">(Z275/Z272)*100</f>
        <v>3.0453912767292248</v>
      </c>
      <c r="AA276" s="14">
        <f>(AA275/AA272)*100</f>
        <v>-0.1767937445865673</v>
      </c>
      <c r="AB276" s="14">
        <f t="shared" ref="AB276" si="83">(AB275/AB272)*100</f>
        <v>1.4270173417802514</v>
      </c>
      <c r="AC276" s="14">
        <f>(AC275/AC272)*100</f>
        <v>5.6121822424174423</v>
      </c>
      <c r="AD276" s="15">
        <f>(AD275/AD272)*100</f>
        <v>-8.7712665406421166</v>
      </c>
      <c r="AF276" s="11"/>
      <c r="AG276" s="11"/>
      <c r="AI276" s="11"/>
      <c r="AJ276" s="11"/>
      <c r="AL276" s="11"/>
      <c r="AM276" s="11"/>
      <c r="AO276" s="11"/>
      <c r="AP276" s="11"/>
      <c r="AR276" s="11"/>
      <c r="AS276" s="11"/>
    </row>
    <row r="277" spans="22:45" ht="15.75" thickBot="1"/>
    <row r="278" spans="22:45" ht="30">
      <c r="V278" s="82" t="s">
        <v>553</v>
      </c>
      <c r="W278" s="8">
        <v>3.86</v>
      </c>
      <c r="X278" s="8">
        <v>4.24</v>
      </c>
      <c r="Y278" s="8">
        <v>3.37</v>
      </c>
      <c r="Z278" s="8">
        <v>4.38</v>
      </c>
      <c r="AA278" s="8">
        <v>3.57</v>
      </c>
      <c r="AB278" s="8">
        <v>3.19</v>
      </c>
      <c r="AC278" s="8">
        <v>1.74</v>
      </c>
      <c r="AD278" s="9">
        <v>1.1200000000000001</v>
      </c>
    </row>
    <row r="279" spans="22:45">
      <c r="V279" s="52" t="s">
        <v>539</v>
      </c>
      <c r="W279" s="11">
        <f>W278-W272</f>
        <v>-5.520161290322001E-2</v>
      </c>
      <c r="X279" s="11">
        <f t="shared" ref="X279" si="84">X278-X272</f>
        <v>-1.1645569620239549E-2</v>
      </c>
      <c r="Y279" s="11">
        <f>Y278-Y272</f>
        <v>-0.78336065573769975</v>
      </c>
      <c r="Z279" s="11">
        <f t="shared" ref="Z279" si="85">Z278-Z272</f>
        <v>8.092369477912964E-2</v>
      </c>
      <c r="AA279" s="11">
        <f>AA278-AA272</f>
        <v>-1.6340425531919944E-2</v>
      </c>
      <c r="AB279" s="11">
        <f t="shared" ref="AB279" si="86">AB278-AB272</f>
        <v>6.4599999999999991E-2</v>
      </c>
      <c r="AC279" s="11">
        <f>AC278-AC272</f>
        <v>0.11140000000000994</v>
      </c>
      <c r="AD279" s="12">
        <f>AD278-AD272</f>
        <v>-0.12960629921258993</v>
      </c>
    </row>
    <row r="280" spans="22:45" ht="15.75" thickBot="1">
      <c r="V280" s="53" t="s">
        <v>544</v>
      </c>
      <c r="W280" s="14">
        <f t="shared" ref="W280:AC280" si="87">(W279/W272)*100</f>
        <v>-1.4099302759095114</v>
      </c>
      <c r="X280" s="14">
        <f t="shared" si="87"/>
        <v>-0.27390734786201237</v>
      </c>
      <c r="Y280" s="14">
        <f>(Y279/Y272)*100</f>
        <v>-18.860886897831005</v>
      </c>
      <c r="Z280" s="14">
        <f t="shared" si="87"/>
        <v>1.8823507431318338</v>
      </c>
      <c r="AA280" s="14">
        <f t="shared" si="87"/>
        <v>-0.45562951624973974</v>
      </c>
      <c r="AB280" s="14">
        <f>(AB279/AB272)*100</f>
        <v>2.0669354322646698</v>
      </c>
      <c r="AC280" s="14">
        <f t="shared" si="87"/>
        <v>6.8402308731432289</v>
      </c>
      <c r="AD280" s="15">
        <f>(AD279/AD272)*100</f>
        <v>-10.37177063642031</v>
      </c>
    </row>
    <row r="281" spans="22:45" ht="15.75" thickBot="1"/>
    <row r="282" spans="22:45" ht="30">
      <c r="V282" s="82" t="s">
        <v>568</v>
      </c>
      <c r="W282" s="8">
        <v>3.83</v>
      </c>
      <c r="X282" s="8">
        <v>4.29</v>
      </c>
      <c r="Y282" s="8">
        <v>3.95</v>
      </c>
      <c r="Z282" s="8">
        <v>4.43</v>
      </c>
      <c r="AA282" s="8">
        <v>3.64</v>
      </c>
      <c r="AB282" s="8">
        <v>3.23</v>
      </c>
      <c r="AC282" s="8">
        <v>1.7</v>
      </c>
      <c r="AD282" s="9">
        <v>1.1299999999999999</v>
      </c>
    </row>
    <row r="283" spans="22:45">
      <c r="V283" s="52" t="s">
        <v>539</v>
      </c>
      <c r="W283" s="11">
        <f>W282-W272</f>
        <v>-8.5201612903219814E-2</v>
      </c>
      <c r="X283" s="11">
        <f t="shared" ref="X283:AC283" si="88">X282-X272</f>
        <v>3.8354430379760274E-2</v>
      </c>
      <c r="Y283" s="11">
        <f>Y282-Y272</f>
        <v>-0.20336065573769968</v>
      </c>
      <c r="Z283" s="11">
        <f t="shared" si="88"/>
        <v>0.13092369477912946</v>
      </c>
      <c r="AA283" s="11">
        <f>AA282-AA272</f>
        <v>5.365957446808034E-2</v>
      </c>
      <c r="AB283" s="11">
        <f t="shared" si="88"/>
        <v>0.10460000000000003</v>
      </c>
      <c r="AC283" s="11">
        <f t="shared" si="88"/>
        <v>7.14000000000099E-2</v>
      </c>
      <c r="AD283" s="12">
        <f>AD282-AD272</f>
        <v>-0.11960629921259014</v>
      </c>
    </row>
    <row r="284" spans="22:45" ht="15.75" thickBot="1">
      <c r="V284" s="53" t="s">
        <v>544</v>
      </c>
      <c r="W284" s="14">
        <f>(W283/W272)*100</f>
        <v>-2.1761743411226449</v>
      </c>
      <c r="X284" s="14">
        <f t="shared" ref="X284:AB284" si="89">(X283/X272)*100</f>
        <v>0.90210789567734639</v>
      </c>
      <c r="Y284" s="14">
        <f>(Y283/Y272)*100</f>
        <v>-4.8962917645200195</v>
      </c>
      <c r="Z284" s="14">
        <f t="shared" si="89"/>
        <v>3.0453912767292248</v>
      </c>
      <c r="AA284" s="14">
        <f t="shared" si="89"/>
        <v>1.4962208853924301</v>
      </c>
      <c r="AB284" s="14">
        <f t="shared" si="89"/>
        <v>3.346771613233507</v>
      </c>
      <c r="AC284" s="14">
        <f>(AC283/AC272)*100</f>
        <v>4.3841336116916576</v>
      </c>
      <c r="AD284" s="15">
        <f>(AD283/AD272)*100</f>
        <v>-9.5715185885312213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0"/>
  <sheetViews>
    <sheetView topLeftCell="AH1" zoomScale="145" zoomScaleNormal="145" workbookViewId="0">
      <pane ySplit="3" topLeftCell="A57" activePane="bottomLeft" state="frozen"/>
      <selection pane="bottomLeft" activeCell="AQ64" sqref="AQ64:AX64"/>
    </sheetView>
  </sheetViews>
  <sheetFormatPr defaultColWidth="8.85546875" defaultRowHeight="15"/>
  <cols>
    <col min="1" max="1" width="8.85546875" style="40"/>
    <col min="2" max="2" width="19.5703125" style="40" bestFit="1" customWidth="1"/>
    <col min="3" max="5" width="5.7109375" style="40" bestFit="1" customWidth="1"/>
    <col min="6" max="6" width="5" style="40" bestFit="1" customWidth="1"/>
    <col min="7" max="8" width="5.7109375" style="40" bestFit="1" customWidth="1"/>
    <col min="9" max="9" width="6.7109375" style="40" bestFit="1" customWidth="1"/>
    <col min="10" max="10" width="5" style="40" bestFit="1" customWidth="1"/>
    <col min="11" max="11" width="8.85546875" style="40"/>
    <col min="12" max="12" width="19.5703125" style="40" bestFit="1" customWidth="1"/>
    <col min="13" max="15" width="5.7109375" style="40" bestFit="1" customWidth="1"/>
    <col min="16" max="17" width="5" style="40" bestFit="1" customWidth="1"/>
    <col min="18" max="19" width="5.7109375" style="40" bestFit="1" customWidth="1"/>
    <col min="20" max="20" width="6.7109375" style="40" bestFit="1" customWidth="1"/>
    <col min="21" max="21" width="8.85546875" style="40"/>
    <col min="22" max="22" width="19.5703125" style="40" bestFit="1" customWidth="1"/>
    <col min="23" max="24" width="5.7109375" style="40" bestFit="1" customWidth="1"/>
    <col min="25" max="25" width="6.7109375" style="40" bestFit="1" customWidth="1"/>
    <col min="26" max="26" width="5" style="40" bestFit="1" customWidth="1"/>
    <col min="27" max="27" width="5.7109375" style="40" bestFit="1" customWidth="1"/>
    <col min="28" max="29" width="5" style="40" bestFit="1" customWidth="1"/>
    <col min="30" max="30" width="6.7109375" style="40" bestFit="1" customWidth="1"/>
    <col min="31" max="31" width="8.85546875" style="40"/>
    <col min="32" max="32" width="19.5703125" style="40" bestFit="1" customWidth="1"/>
    <col min="33" max="36" width="5.7109375" style="40" bestFit="1" customWidth="1"/>
    <col min="37" max="37" width="5" style="40" bestFit="1" customWidth="1"/>
    <col min="38" max="40" width="5.7109375" style="40" bestFit="1" customWidth="1"/>
    <col min="41" max="41" width="8.85546875" style="40"/>
    <col min="42" max="42" width="19.5703125" style="40" bestFit="1" customWidth="1"/>
    <col min="43" max="43" width="6.140625" style="40" bestFit="1" customWidth="1"/>
    <col min="44" max="45" width="7.28515625" style="40" bestFit="1" customWidth="1"/>
    <col min="46" max="46" width="6.140625" style="40" bestFit="1" customWidth="1"/>
    <col min="47" max="48" width="7.28515625" style="40" bestFit="1" customWidth="1"/>
    <col min="49" max="49" width="6.140625" style="40" bestFit="1" customWidth="1"/>
    <col min="50" max="50" width="6.7109375" style="40" bestFit="1" customWidth="1"/>
    <col min="51" max="51" width="8.85546875" style="40"/>
    <col min="52" max="52" width="19.5703125" style="40" bestFit="1" customWidth="1"/>
    <col min="53" max="53" width="7.28515625" style="40" bestFit="1" customWidth="1"/>
    <col min="54" max="54" width="6.140625" style="40" bestFit="1" customWidth="1"/>
    <col min="55" max="55" width="8.7109375" style="40" bestFit="1" customWidth="1"/>
    <col min="56" max="60" width="7.28515625" style="40" bestFit="1" customWidth="1"/>
    <col min="61" max="61" width="8.85546875" style="40"/>
    <col min="62" max="62" width="19.5703125" style="40" bestFit="1" customWidth="1"/>
    <col min="63" max="63" width="6.7109375" style="40" bestFit="1" customWidth="1"/>
    <col min="64" max="65" width="7.28515625" style="40" bestFit="1" customWidth="1"/>
    <col min="66" max="66" width="6.140625" style="40" bestFit="1" customWidth="1"/>
    <col min="67" max="67" width="7.28515625" style="40" bestFit="1" customWidth="1"/>
    <col min="68" max="68" width="6.140625" style="40" bestFit="1" customWidth="1"/>
    <col min="69" max="70" width="7.28515625" style="40" bestFit="1" customWidth="1"/>
    <col min="71" max="71" width="8.85546875" style="40"/>
    <col min="72" max="72" width="19.5703125" style="40" bestFit="1" customWidth="1"/>
    <col min="73" max="73" width="7.28515625" style="40" bestFit="1" customWidth="1"/>
    <col min="74" max="75" width="8.7109375" style="40" bestFit="1" customWidth="1"/>
    <col min="76" max="78" width="7.28515625" style="40" bestFit="1" customWidth="1"/>
    <col min="79" max="79" width="8.7109375" style="40" bestFit="1" customWidth="1"/>
    <col min="80" max="80" width="6.140625" style="40" bestFit="1" customWidth="1"/>
    <col min="81" max="16384" width="8.85546875" style="40"/>
  </cols>
  <sheetData>
    <row r="1" spans="2:80" ht="15.75" thickBot="1"/>
    <row r="2" spans="2:80" s="1" customFormat="1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7"/>
      <c r="L2" s="85" t="s">
        <v>2</v>
      </c>
      <c r="M2" s="86"/>
      <c r="N2" s="86"/>
      <c r="O2" s="86"/>
      <c r="P2" s="86"/>
      <c r="Q2" s="86"/>
      <c r="R2" s="86"/>
      <c r="S2" s="86"/>
      <c r="T2" s="87"/>
      <c r="V2" s="85" t="s">
        <v>3</v>
      </c>
      <c r="W2" s="86"/>
      <c r="X2" s="86"/>
      <c r="Y2" s="86"/>
      <c r="Z2" s="86"/>
      <c r="AA2" s="86"/>
      <c r="AB2" s="86"/>
      <c r="AC2" s="86"/>
      <c r="AD2" s="87"/>
      <c r="AF2" s="85" t="s">
        <v>4</v>
      </c>
      <c r="AG2" s="86"/>
      <c r="AH2" s="86"/>
      <c r="AI2" s="86"/>
      <c r="AJ2" s="86"/>
      <c r="AK2" s="86"/>
      <c r="AL2" s="86"/>
      <c r="AM2" s="86"/>
      <c r="AN2" s="87"/>
      <c r="AP2" s="85" t="s">
        <v>5</v>
      </c>
      <c r="AQ2" s="86"/>
      <c r="AR2" s="86"/>
      <c r="AS2" s="86"/>
      <c r="AT2" s="86"/>
      <c r="AU2" s="86"/>
      <c r="AV2" s="86"/>
      <c r="AW2" s="86"/>
      <c r="AX2" s="87"/>
      <c r="AZ2" s="85" t="s">
        <v>6</v>
      </c>
      <c r="BA2" s="86"/>
      <c r="BB2" s="86"/>
      <c r="BC2" s="86"/>
      <c r="BD2" s="86"/>
      <c r="BE2" s="86"/>
      <c r="BF2" s="86"/>
      <c r="BG2" s="86"/>
      <c r="BH2" s="87"/>
      <c r="BJ2" s="85" t="s">
        <v>7</v>
      </c>
      <c r="BK2" s="86"/>
      <c r="BL2" s="86"/>
      <c r="BM2" s="86"/>
      <c r="BN2" s="86"/>
      <c r="BO2" s="86"/>
      <c r="BP2" s="86"/>
      <c r="BQ2" s="86"/>
      <c r="BR2" s="87"/>
      <c r="BT2" s="85" t="s">
        <v>8</v>
      </c>
      <c r="BU2" s="86"/>
      <c r="BV2" s="86"/>
      <c r="BW2" s="86"/>
      <c r="BX2" s="86"/>
      <c r="BY2" s="86"/>
      <c r="BZ2" s="86"/>
      <c r="CA2" s="86"/>
      <c r="CB2" s="87"/>
    </row>
    <row r="3" spans="2:80" s="1" customFormat="1" ht="15.75" thickBot="1">
      <c r="B3" s="59" t="s">
        <v>9</v>
      </c>
      <c r="C3" s="2" t="s">
        <v>10</v>
      </c>
      <c r="D3" s="2" t="s">
        <v>13</v>
      </c>
      <c r="E3" s="2" t="s">
        <v>16</v>
      </c>
      <c r="F3" s="2" t="s">
        <v>19</v>
      </c>
      <c r="G3" s="2" t="s">
        <v>22</v>
      </c>
      <c r="H3" s="2" t="s">
        <v>25</v>
      </c>
      <c r="I3" s="2" t="s">
        <v>28</v>
      </c>
      <c r="J3" s="39" t="s">
        <v>31</v>
      </c>
      <c r="L3" s="59" t="s">
        <v>9</v>
      </c>
      <c r="M3" s="2" t="s">
        <v>10</v>
      </c>
      <c r="N3" s="2" t="s">
        <v>13</v>
      </c>
      <c r="O3" s="2" t="s">
        <v>16</v>
      </c>
      <c r="P3" s="2" t="s">
        <v>19</v>
      </c>
      <c r="Q3" s="2" t="s">
        <v>22</v>
      </c>
      <c r="R3" s="2" t="s">
        <v>25</v>
      </c>
      <c r="S3" s="2" t="s">
        <v>28</v>
      </c>
      <c r="T3" s="39" t="s">
        <v>31</v>
      </c>
      <c r="V3" s="59" t="s">
        <v>9</v>
      </c>
      <c r="W3" s="2" t="s">
        <v>10</v>
      </c>
      <c r="X3" s="2" t="s">
        <v>13</v>
      </c>
      <c r="Y3" s="2" t="s">
        <v>16</v>
      </c>
      <c r="Z3" s="2" t="s">
        <v>19</v>
      </c>
      <c r="AA3" s="2" t="s">
        <v>22</v>
      </c>
      <c r="AB3" s="2" t="s">
        <v>25</v>
      </c>
      <c r="AC3" s="2" t="s">
        <v>28</v>
      </c>
      <c r="AD3" s="39" t="s">
        <v>31</v>
      </c>
      <c r="AF3" s="59" t="s">
        <v>9</v>
      </c>
      <c r="AG3" s="2" t="s">
        <v>10</v>
      </c>
      <c r="AH3" s="2" t="s">
        <v>13</v>
      </c>
      <c r="AI3" s="2" t="s">
        <v>16</v>
      </c>
      <c r="AJ3" s="2" t="s">
        <v>19</v>
      </c>
      <c r="AK3" s="2" t="s">
        <v>22</v>
      </c>
      <c r="AL3" s="2" t="s">
        <v>25</v>
      </c>
      <c r="AM3" s="2" t="s">
        <v>28</v>
      </c>
      <c r="AN3" s="39" t="s">
        <v>31</v>
      </c>
      <c r="AP3" s="59" t="s">
        <v>9</v>
      </c>
      <c r="AQ3" s="2" t="s">
        <v>10</v>
      </c>
      <c r="AR3" s="2" t="s">
        <v>13</v>
      </c>
      <c r="AS3" s="2" t="s">
        <v>16</v>
      </c>
      <c r="AT3" s="2" t="s">
        <v>19</v>
      </c>
      <c r="AU3" s="2" t="s">
        <v>22</v>
      </c>
      <c r="AV3" s="2" t="s">
        <v>25</v>
      </c>
      <c r="AW3" s="2" t="s">
        <v>28</v>
      </c>
      <c r="AX3" s="39" t="s">
        <v>31</v>
      </c>
      <c r="AZ3" s="59" t="s">
        <v>9</v>
      </c>
      <c r="BA3" s="2" t="s">
        <v>10</v>
      </c>
      <c r="BB3" s="2" t="s">
        <v>13</v>
      </c>
      <c r="BC3" s="2" t="s">
        <v>16</v>
      </c>
      <c r="BD3" s="2" t="s">
        <v>19</v>
      </c>
      <c r="BE3" s="2" t="s">
        <v>22</v>
      </c>
      <c r="BF3" s="2" t="s">
        <v>25</v>
      </c>
      <c r="BG3" s="2" t="s">
        <v>28</v>
      </c>
      <c r="BH3" s="39" t="s">
        <v>31</v>
      </c>
      <c r="BJ3" s="59" t="s">
        <v>9</v>
      </c>
      <c r="BK3" s="2" t="s">
        <v>10</v>
      </c>
      <c r="BL3" s="2" t="s">
        <v>13</v>
      </c>
      <c r="BM3" s="2" t="s">
        <v>16</v>
      </c>
      <c r="BN3" s="2" t="s">
        <v>19</v>
      </c>
      <c r="BO3" s="2" t="s">
        <v>22</v>
      </c>
      <c r="BP3" s="2" t="s">
        <v>25</v>
      </c>
      <c r="BQ3" s="2" t="s">
        <v>28</v>
      </c>
      <c r="BR3" s="39" t="s">
        <v>31</v>
      </c>
      <c r="BT3" s="59" t="s">
        <v>9</v>
      </c>
      <c r="BU3" s="2" t="s">
        <v>10</v>
      </c>
      <c r="BV3" s="2" t="s">
        <v>13</v>
      </c>
      <c r="BW3" s="2" t="s">
        <v>16</v>
      </c>
      <c r="BX3" s="2" t="s">
        <v>19</v>
      </c>
      <c r="BY3" s="2" t="s">
        <v>22</v>
      </c>
      <c r="BZ3" s="2" t="s">
        <v>25</v>
      </c>
      <c r="CA3" s="2" t="s">
        <v>28</v>
      </c>
      <c r="CB3" s="39" t="s">
        <v>31</v>
      </c>
    </row>
    <row r="4" spans="2:80">
      <c r="B4" s="43" t="s">
        <v>1756</v>
      </c>
      <c r="C4" s="57">
        <v>3.02</v>
      </c>
      <c r="D4" s="57">
        <v>4.37</v>
      </c>
      <c r="E4" s="57">
        <v>5.33</v>
      </c>
      <c r="F4" s="57">
        <v>5.65</v>
      </c>
      <c r="G4" s="57">
        <v>3.62</v>
      </c>
      <c r="H4" s="57">
        <v>4.79</v>
      </c>
      <c r="I4" s="57">
        <v>1.73</v>
      </c>
      <c r="J4" s="58">
        <v>2.2599999999999998</v>
      </c>
      <c r="L4" s="43" t="s">
        <v>1756</v>
      </c>
      <c r="M4" s="57">
        <v>2.83</v>
      </c>
      <c r="N4" s="57">
        <v>5.45</v>
      </c>
      <c r="O4" s="57">
        <v>5.17</v>
      </c>
      <c r="P4" s="57">
        <v>6.04</v>
      </c>
      <c r="Q4" s="57">
        <v>0</v>
      </c>
      <c r="R4" s="57">
        <v>3.72</v>
      </c>
      <c r="S4" s="57">
        <v>3.05</v>
      </c>
      <c r="T4" s="58">
        <v>3.43</v>
      </c>
      <c r="V4" s="43" t="s">
        <v>1756</v>
      </c>
      <c r="W4" s="57">
        <v>3.93</v>
      </c>
      <c r="X4" s="57">
        <v>4.25</v>
      </c>
      <c r="Y4" s="57">
        <v>4.13</v>
      </c>
      <c r="Z4" s="57">
        <v>4.25</v>
      </c>
      <c r="AA4" s="57">
        <v>3.62</v>
      </c>
      <c r="AB4" s="57">
        <v>3.14</v>
      </c>
      <c r="AC4" s="57">
        <v>1.63</v>
      </c>
      <c r="AD4" s="58">
        <v>1.23</v>
      </c>
      <c r="AF4" s="43" t="s">
        <v>1757</v>
      </c>
      <c r="AG4" s="57">
        <v>4.1399999999999997</v>
      </c>
      <c r="AH4" s="57">
        <v>3</v>
      </c>
      <c r="AI4" s="57">
        <v>3.76</v>
      </c>
      <c r="AJ4" s="57">
        <v>5.13</v>
      </c>
      <c r="AK4" s="57">
        <v>5.01</v>
      </c>
      <c r="AL4" s="57">
        <v>1.89</v>
      </c>
      <c r="AM4" s="57">
        <v>3.77</v>
      </c>
      <c r="AN4" s="58">
        <v>3.09</v>
      </c>
      <c r="AP4" s="43" t="s">
        <v>1756</v>
      </c>
      <c r="AQ4" s="57">
        <v>2.21</v>
      </c>
      <c r="AR4" s="57">
        <v>0</v>
      </c>
      <c r="AS4" s="57">
        <v>2.59</v>
      </c>
      <c r="AT4" s="57">
        <v>3.56</v>
      </c>
      <c r="AU4" s="57">
        <v>1.37</v>
      </c>
      <c r="AV4" s="57">
        <v>99.99</v>
      </c>
      <c r="AW4" s="57">
        <v>1.17</v>
      </c>
      <c r="AX4" s="58">
        <v>0</v>
      </c>
      <c r="AZ4" s="43" t="s">
        <v>1758</v>
      </c>
      <c r="BA4" s="57">
        <v>0.53</v>
      </c>
      <c r="BB4" s="57">
        <v>5.74</v>
      </c>
      <c r="BC4" s="57">
        <v>0.39</v>
      </c>
      <c r="BD4" s="57">
        <v>1.61</v>
      </c>
      <c r="BE4" s="57">
        <v>2.21</v>
      </c>
      <c r="BF4" s="57">
        <v>1.89</v>
      </c>
      <c r="BG4" s="57">
        <v>0.73</v>
      </c>
      <c r="BH4" s="58">
        <v>1.17</v>
      </c>
      <c r="BJ4" s="43" t="s">
        <v>1756</v>
      </c>
      <c r="BK4" s="57">
        <v>9.24</v>
      </c>
      <c r="BL4" s="57">
        <v>1.37</v>
      </c>
      <c r="BM4" s="57">
        <v>0.2</v>
      </c>
      <c r="BN4" s="57">
        <v>0</v>
      </c>
      <c r="BO4" s="57">
        <v>1.61</v>
      </c>
      <c r="BP4" s="57">
        <v>3.56</v>
      </c>
      <c r="BQ4" s="57">
        <v>0.17</v>
      </c>
      <c r="BR4" s="58">
        <v>0.53</v>
      </c>
      <c r="BT4" s="43" t="s">
        <v>1756</v>
      </c>
      <c r="BU4" s="57">
        <v>0.85</v>
      </c>
      <c r="BV4" s="57">
        <v>0.39</v>
      </c>
      <c r="BW4" s="57">
        <v>0.15</v>
      </c>
      <c r="BX4" s="57">
        <v>0</v>
      </c>
      <c r="BY4" s="57">
        <v>2.21</v>
      </c>
      <c r="BZ4" s="57">
        <v>0.73</v>
      </c>
      <c r="CA4" s="57">
        <v>0.24</v>
      </c>
      <c r="CB4" s="58">
        <v>3.04</v>
      </c>
    </row>
    <row r="5" spans="2:80">
      <c r="B5" s="44" t="s">
        <v>1756</v>
      </c>
      <c r="C5" s="42">
        <v>3.01</v>
      </c>
      <c r="D5" s="42">
        <v>4.41</v>
      </c>
      <c r="E5" s="42">
        <v>5.31</v>
      </c>
      <c r="F5" s="42">
        <v>1.03</v>
      </c>
      <c r="G5" s="42">
        <v>4.32</v>
      </c>
      <c r="H5" s="42">
        <v>4.8600000000000003</v>
      </c>
      <c r="I5" s="42">
        <v>1.74</v>
      </c>
      <c r="J5" s="46">
        <v>2.27</v>
      </c>
      <c r="L5" s="44" t="s">
        <v>1756</v>
      </c>
      <c r="M5" s="42">
        <v>2.82</v>
      </c>
      <c r="N5" s="42">
        <v>5.45</v>
      </c>
      <c r="O5" s="42">
        <v>5.17</v>
      </c>
      <c r="P5" s="42">
        <v>5.68</v>
      </c>
      <c r="Q5" s="42">
        <v>0</v>
      </c>
      <c r="R5" s="42">
        <v>0.84</v>
      </c>
      <c r="S5" s="42">
        <v>3.04</v>
      </c>
      <c r="T5" s="46">
        <v>0</v>
      </c>
      <c r="V5" s="44" t="s">
        <v>1756</v>
      </c>
      <c r="W5" s="42">
        <v>3.92</v>
      </c>
      <c r="X5" s="42">
        <v>4.29</v>
      </c>
      <c r="Y5" s="42">
        <v>4.22</v>
      </c>
      <c r="Z5" s="42">
        <v>4.28</v>
      </c>
      <c r="AA5" s="42">
        <v>3.61</v>
      </c>
      <c r="AB5" s="42">
        <v>3.13</v>
      </c>
      <c r="AC5" s="42">
        <v>1.62</v>
      </c>
      <c r="AD5" s="46">
        <v>1.32</v>
      </c>
      <c r="AF5" s="44" t="s">
        <v>1757</v>
      </c>
      <c r="AG5" s="42">
        <v>4.12</v>
      </c>
      <c r="AH5" s="42">
        <v>6.03</v>
      </c>
      <c r="AI5" s="42">
        <v>3.74</v>
      </c>
      <c r="AJ5" s="42">
        <v>5.19</v>
      </c>
      <c r="AK5" s="42">
        <v>5.44</v>
      </c>
      <c r="AL5" s="42">
        <v>1.83</v>
      </c>
      <c r="AM5" s="42">
        <v>3.78</v>
      </c>
      <c r="AN5" s="46">
        <v>3.19</v>
      </c>
      <c r="AP5" s="44" t="s">
        <v>1756</v>
      </c>
      <c r="AQ5" s="42">
        <v>0.85</v>
      </c>
      <c r="AR5" s="42">
        <v>1.17</v>
      </c>
      <c r="AS5" s="42">
        <v>0</v>
      </c>
      <c r="AT5" s="42">
        <v>3.56</v>
      </c>
      <c r="AU5" s="42">
        <v>1.37</v>
      </c>
      <c r="AV5" s="42">
        <v>1.37</v>
      </c>
      <c r="AW5" s="42">
        <v>1.17</v>
      </c>
      <c r="AX5" s="46">
        <v>0</v>
      </c>
      <c r="AZ5" s="44" t="s">
        <v>1758</v>
      </c>
      <c r="BA5" s="42">
        <v>0.53</v>
      </c>
      <c r="BB5" s="42">
        <v>0.45</v>
      </c>
      <c r="BC5" s="42">
        <v>0.33</v>
      </c>
      <c r="BD5" s="42">
        <v>1.61</v>
      </c>
      <c r="BE5" s="42">
        <v>2.59</v>
      </c>
      <c r="BF5" s="42">
        <v>1.89</v>
      </c>
      <c r="BG5" s="42">
        <v>0.73</v>
      </c>
      <c r="BH5" s="46">
        <v>1.17</v>
      </c>
      <c r="BJ5" s="44" t="s">
        <v>1756</v>
      </c>
      <c r="BK5" s="42">
        <v>12.69</v>
      </c>
      <c r="BL5" s="42">
        <v>1.37</v>
      </c>
      <c r="BM5" s="42">
        <v>1.61</v>
      </c>
      <c r="BN5" s="42">
        <v>1.89</v>
      </c>
      <c r="BO5" s="42">
        <v>1.89</v>
      </c>
      <c r="BP5" s="42">
        <v>2.21</v>
      </c>
      <c r="BQ5" s="42">
        <v>0.15</v>
      </c>
      <c r="BR5" s="46">
        <v>0.62</v>
      </c>
      <c r="BT5" s="44" t="s">
        <v>1756</v>
      </c>
      <c r="BU5" s="42">
        <v>0.85</v>
      </c>
      <c r="BV5" s="42">
        <v>0.45</v>
      </c>
      <c r="BW5" s="42">
        <v>0.15</v>
      </c>
      <c r="BX5" s="42">
        <v>6.72</v>
      </c>
      <c r="BY5" s="42">
        <v>2.21</v>
      </c>
      <c r="BZ5" s="42">
        <v>0.33</v>
      </c>
      <c r="CA5" s="42">
        <v>0.28000000000000003</v>
      </c>
      <c r="CB5" s="46">
        <v>1.89</v>
      </c>
    </row>
    <row r="6" spans="2:80">
      <c r="B6" s="44" t="s">
        <v>1756</v>
      </c>
      <c r="C6" s="42">
        <v>2.96</v>
      </c>
      <c r="D6" s="42">
        <v>4.3899999999999997</v>
      </c>
      <c r="E6" s="42">
        <v>5.28</v>
      </c>
      <c r="F6" s="42">
        <v>5.63</v>
      </c>
      <c r="G6" s="42">
        <v>4.32</v>
      </c>
      <c r="H6" s="42">
        <v>4.84</v>
      </c>
      <c r="I6" s="42">
        <v>1.78</v>
      </c>
      <c r="J6" s="46">
        <v>2.2400000000000002</v>
      </c>
      <c r="L6" s="44" t="s">
        <v>1756</v>
      </c>
      <c r="M6" s="42">
        <v>2.81</v>
      </c>
      <c r="N6" s="42">
        <v>5.46</v>
      </c>
      <c r="O6" s="42">
        <v>5.17</v>
      </c>
      <c r="P6" s="42">
        <v>4.04</v>
      </c>
      <c r="Q6" s="42">
        <v>0</v>
      </c>
      <c r="R6" s="42">
        <v>3.74</v>
      </c>
      <c r="S6" s="42">
        <v>3.06</v>
      </c>
      <c r="T6" s="46">
        <v>3.44</v>
      </c>
      <c r="V6" s="44" t="s">
        <v>1756</v>
      </c>
      <c r="W6" s="42">
        <v>3.93</v>
      </c>
      <c r="X6" s="42">
        <v>4.26</v>
      </c>
      <c r="Y6" s="42">
        <v>4.1500000000000004</v>
      </c>
      <c r="Z6" s="42">
        <v>4.34</v>
      </c>
      <c r="AA6" s="42">
        <v>3.57</v>
      </c>
      <c r="AB6" s="42">
        <v>3.11</v>
      </c>
      <c r="AC6" s="42">
        <v>1.61</v>
      </c>
      <c r="AD6" s="46">
        <v>1.24</v>
      </c>
      <c r="AF6" s="44" t="s">
        <v>1757</v>
      </c>
      <c r="AG6" s="42">
        <v>4.17</v>
      </c>
      <c r="AH6" s="42">
        <v>6.07</v>
      </c>
      <c r="AI6" s="42">
        <v>3.76</v>
      </c>
      <c r="AJ6" s="42">
        <v>5.16</v>
      </c>
      <c r="AK6" s="42">
        <v>2.5499999999999998</v>
      </c>
      <c r="AL6" s="42">
        <v>1.85</v>
      </c>
      <c r="AM6" s="42">
        <v>3.77</v>
      </c>
      <c r="AN6" s="46">
        <v>3.17</v>
      </c>
      <c r="AP6" s="44" t="s">
        <v>1756</v>
      </c>
      <c r="AQ6" s="42">
        <v>2.59</v>
      </c>
      <c r="AR6" s="42">
        <v>0</v>
      </c>
      <c r="AS6" s="42">
        <v>2.59</v>
      </c>
      <c r="AT6" s="42">
        <v>3.56</v>
      </c>
      <c r="AU6" s="42">
        <v>1.61</v>
      </c>
      <c r="AV6" s="42">
        <v>6.72</v>
      </c>
      <c r="AW6" s="42">
        <v>1.17</v>
      </c>
      <c r="AX6" s="46">
        <v>6.72</v>
      </c>
      <c r="AZ6" s="44" t="s">
        <v>1758</v>
      </c>
      <c r="BA6" s="42">
        <v>0.53</v>
      </c>
      <c r="BB6" s="42">
        <v>4.18</v>
      </c>
      <c r="BC6" s="42">
        <v>0.39</v>
      </c>
      <c r="BD6" s="42">
        <v>1.61</v>
      </c>
      <c r="BE6" s="42">
        <v>2.59</v>
      </c>
      <c r="BF6" s="42">
        <v>7.88</v>
      </c>
      <c r="BG6" s="42">
        <v>0.73</v>
      </c>
      <c r="BH6" s="46">
        <v>1.17</v>
      </c>
      <c r="BJ6" s="44" t="s">
        <v>1756</v>
      </c>
      <c r="BK6" s="42">
        <v>14.87</v>
      </c>
      <c r="BL6" s="42">
        <v>1.37</v>
      </c>
      <c r="BM6" s="42">
        <v>0.24</v>
      </c>
      <c r="BN6" s="42">
        <v>4.18</v>
      </c>
      <c r="BO6" s="42">
        <v>1.89</v>
      </c>
      <c r="BP6" s="42">
        <v>2.59</v>
      </c>
      <c r="BQ6" s="42">
        <v>0.17</v>
      </c>
      <c r="BR6" s="46">
        <v>0.2</v>
      </c>
      <c r="BT6" s="44" t="s">
        <v>1756</v>
      </c>
      <c r="BU6" s="42">
        <v>0.73</v>
      </c>
      <c r="BV6" s="42">
        <v>0.45</v>
      </c>
      <c r="BW6" s="42">
        <v>0.15</v>
      </c>
      <c r="BX6" s="42">
        <v>1.17</v>
      </c>
      <c r="BY6" s="42">
        <v>1.89</v>
      </c>
      <c r="BZ6" s="42">
        <v>0.73</v>
      </c>
      <c r="CA6" s="42">
        <v>0.33</v>
      </c>
      <c r="CB6" s="46">
        <v>2.21</v>
      </c>
    </row>
    <row r="7" spans="2:80">
      <c r="B7" s="44" t="s">
        <v>1756</v>
      </c>
      <c r="C7" s="42">
        <v>2.96</v>
      </c>
      <c r="D7" s="42">
        <v>4.37</v>
      </c>
      <c r="E7" s="42">
        <v>1.97</v>
      </c>
      <c r="F7" s="42">
        <v>5.64</v>
      </c>
      <c r="G7" s="42">
        <v>4.33</v>
      </c>
      <c r="H7" s="42">
        <v>4.82</v>
      </c>
      <c r="I7" s="42">
        <v>1.75</v>
      </c>
      <c r="J7" s="46">
        <v>2.27</v>
      </c>
      <c r="L7" s="44" t="s">
        <v>1756</v>
      </c>
      <c r="M7" s="42">
        <v>2.76</v>
      </c>
      <c r="N7" s="42">
        <v>5.52</v>
      </c>
      <c r="O7" s="42">
        <v>5.15</v>
      </c>
      <c r="P7" s="42">
        <v>6.06</v>
      </c>
      <c r="Q7" s="42">
        <v>0</v>
      </c>
      <c r="R7" s="42">
        <v>3.7</v>
      </c>
      <c r="S7" s="42">
        <v>3.06</v>
      </c>
      <c r="T7" s="46">
        <v>3.11</v>
      </c>
      <c r="V7" s="44" t="s">
        <v>1756</v>
      </c>
      <c r="W7" s="42">
        <v>3.93</v>
      </c>
      <c r="X7" s="42">
        <v>4.2699999999999996</v>
      </c>
      <c r="Y7" s="42">
        <v>4.12</v>
      </c>
      <c r="Z7" s="42">
        <v>4.3099999999999996</v>
      </c>
      <c r="AA7" s="42">
        <v>3.59</v>
      </c>
      <c r="AB7" s="42">
        <v>3.13</v>
      </c>
      <c r="AC7" s="42">
        <v>1.63</v>
      </c>
      <c r="AD7" s="46">
        <v>1.24</v>
      </c>
      <c r="AF7" s="44" t="s">
        <v>1757</v>
      </c>
      <c r="AG7" s="42">
        <v>4.1399999999999997</v>
      </c>
      <c r="AH7" s="42">
        <v>6.1</v>
      </c>
      <c r="AI7" s="42">
        <v>3.39</v>
      </c>
      <c r="AJ7" s="42">
        <v>5.13</v>
      </c>
      <c r="AK7" s="42">
        <v>4.53</v>
      </c>
      <c r="AL7" s="42">
        <v>1.85</v>
      </c>
      <c r="AM7" s="42">
        <v>3.77</v>
      </c>
      <c r="AN7" s="46">
        <v>3.13</v>
      </c>
      <c r="AP7" s="44" t="s">
        <v>1756</v>
      </c>
      <c r="AQ7" s="42">
        <v>2.21</v>
      </c>
      <c r="AR7" s="42">
        <v>1.17</v>
      </c>
      <c r="AS7" s="42">
        <v>2.59</v>
      </c>
      <c r="AT7" s="42">
        <v>3.56</v>
      </c>
      <c r="AU7" s="42">
        <v>1.37</v>
      </c>
      <c r="AV7" s="42">
        <v>0</v>
      </c>
      <c r="AW7" s="42">
        <v>1.17</v>
      </c>
      <c r="AX7" s="46">
        <v>2.59</v>
      </c>
      <c r="AZ7" s="44" t="s">
        <v>1758</v>
      </c>
      <c r="BA7" s="42">
        <v>0.53</v>
      </c>
      <c r="BB7" s="42">
        <v>4.18</v>
      </c>
      <c r="BC7" s="42">
        <v>0.39</v>
      </c>
      <c r="BD7" s="42">
        <v>1.61</v>
      </c>
      <c r="BE7" s="42">
        <v>2.59</v>
      </c>
      <c r="BF7" s="42">
        <v>1.61</v>
      </c>
      <c r="BG7" s="42">
        <v>0.62</v>
      </c>
      <c r="BH7" s="46">
        <v>1.17</v>
      </c>
      <c r="BJ7" s="44" t="s">
        <v>1756</v>
      </c>
      <c r="BK7" s="42">
        <v>9.24</v>
      </c>
      <c r="BL7" s="42">
        <v>1.61</v>
      </c>
      <c r="BM7" s="42">
        <v>1.61</v>
      </c>
      <c r="BN7" s="42">
        <v>3.56</v>
      </c>
      <c r="BO7" s="42">
        <v>1.89</v>
      </c>
      <c r="BP7" s="42">
        <v>2.59</v>
      </c>
      <c r="BQ7" s="42">
        <v>0.24</v>
      </c>
      <c r="BR7" s="46">
        <v>0.2</v>
      </c>
      <c r="BT7" s="44" t="s">
        <v>1756</v>
      </c>
      <c r="BU7" s="42">
        <v>0.85</v>
      </c>
      <c r="BV7" s="42">
        <v>0.45</v>
      </c>
      <c r="BW7" s="42">
        <v>0.15</v>
      </c>
      <c r="BX7" s="42">
        <v>2.21</v>
      </c>
      <c r="BY7" s="42">
        <v>2.21</v>
      </c>
      <c r="BZ7" s="42">
        <v>0.73</v>
      </c>
      <c r="CA7" s="42">
        <v>0.45</v>
      </c>
      <c r="CB7" s="46">
        <v>3.56</v>
      </c>
    </row>
    <row r="8" spans="2:80">
      <c r="B8" s="44" t="s">
        <v>1756</v>
      </c>
      <c r="C8" s="42">
        <v>3.02</v>
      </c>
      <c r="D8" s="42">
        <v>4.3899999999999997</v>
      </c>
      <c r="E8" s="42">
        <v>5.29</v>
      </c>
      <c r="F8" s="42">
        <v>5.65</v>
      </c>
      <c r="G8" s="42">
        <v>4.29</v>
      </c>
      <c r="H8" s="42">
        <v>3.33</v>
      </c>
      <c r="I8" s="42">
        <v>1.74</v>
      </c>
      <c r="J8" s="46">
        <v>2.27</v>
      </c>
      <c r="L8" s="44" t="s">
        <v>1756</v>
      </c>
      <c r="M8" s="42">
        <v>2.84</v>
      </c>
      <c r="N8" s="42">
        <v>5.43</v>
      </c>
      <c r="O8" s="42">
        <v>5.16</v>
      </c>
      <c r="P8" s="42">
        <v>6.07</v>
      </c>
      <c r="Q8" s="42">
        <v>0</v>
      </c>
      <c r="R8" s="42">
        <v>3.73</v>
      </c>
      <c r="S8" s="42">
        <v>1.19</v>
      </c>
      <c r="T8" s="46">
        <v>3.49</v>
      </c>
      <c r="V8" s="44" t="s">
        <v>1756</v>
      </c>
      <c r="W8" s="42">
        <v>3.91</v>
      </c>
      <c r="X8" s="42">
        <v>4.2699999999999996</v>
      </c>
      <c r="Y8" s="42">
        <v>4.16</v>
      </c>
      <c r="Z8" s="42">
        <v>4.32</v>
      </c>
      <c r="AA8" s="42">
        <v>3.6</v>
      </c>
      <c r="AB8" s="42">
        <v>3.11</v>
      </c>
      <c r="AC8" s="42">
        <v>1.66</v>
      </c>
      <c r="AD8" s="46">
        <v>0.62</v>
      </c>
      <c r="AF8" s="44" t="s">
        <v>1757</v>
      </c>
      <c r="AG8" s="42">
        <v>4.17</v>
      </c>
      <c r="AH8" s="42">
        <v>6.1</v>
      </c>
      <c r="AI8" s="42">
        <v>3.77</v>
      </c>
      <c r="AJ8" s="42">
        <v>5.19</v>
      </c>
      <c r="AK8" s="42">
        <v>5.44</v>
      </c>
      <c r="AL8" s="42">
        <v>1.85</v>
      </c>
      <c r="AM8" s="42">
        <v>3.75</v>
      </c>
      <c r="AN8" s="46">
        <v>0.54</v>
      </c>
      <c r="AP8" s="44" t="s">
        <v>1756</v>
      </c>
      <c r="AQ8" s="42">
        <v>2.59</v>
      </c>
      <c r="AR8" s="42">
        <v>3.04</v>
      </c>
      <c r="AS8" s="42">
        <v>2.59</v>
      </c>
      <c r="AT8" s="42">
        <v>3.04</v>
      </c>
      <c r="AU8" s="42">
        <v>1.37</v>
      </c>
      <c r="AV8" s="42">
        <v>1.17</v>
      </c>
      <c r="AW8" s="42">
        <v>1.17</v>
      </c>
      <c r="AX8" s="46">
        <v>0</v>
      </c>
      <c r="AZ8" s="44" t="s">
        <v>1758</v>
      </c>
      <c r="BA8" s="42">
        <v>0.53</v>
      </c>
      <c r="BB8" s="42">
        <v>4.18</v>
      </c>
      <c r="BC8" s="42">
        <v>0.39</v>
      </c>
      <c r="BD8" s="42">
        <v>1.61</v>
      </c>
      <c r="BE8" s="42">
        <v>2.59</v>
      </c>
      <c r="BF8" s="42">
        <v>1.89</v>
      </c>
      <c r="BG8" s="42">
        <v>0.73</v>
      </c>
      <c r="BH8" s="46">
        <v>1.17</v>
      </c>
      <c r="BJ8" s="44" t="s">
        <v>1756</v>
      </c>
      <c r="BK8" s="42">
        <v>12.69</v>
      </c>
      <c r="BL8" s="42">
        <v>0</v>
      </c>
      <c r="BM8" s="42">
        <v>1.61</v>
      </c>
      <c r="BN8" s="42">
        <v>1.89</v>
      </c>
      <c r="BO8" s="42">
        <v>1.89</v>
      </c>
      <c r="BP8" s="42">
        <v>2.21</v>
      </c>
      <c r="BQ8" s="42">
        <v>0.24</v>
      </c>
      <c r="BR8" s="46">
        <v>0.53</v>
      </c>
      <c r="BT8" s="44" t="s">
        <v>1756</v>
      </c>
      <c r="BU8" s="42">
        <v>0.73</v>
      </c>
      <c r="BV8" s="42">
        <v>0.45</v>
      </c>
      <c r="BW8" s="42">
        <v>0.15</v>
      </c>
      <c r="BX8" s="42">
        <v>1.17</v>
      </c>
      <c r="BY8" s="42">
        <v>2.21</v>
      </c>
      <c r="BZ8" s="42">
        <v>0.73</v>
      </c>
      <c r="CA8" s="42">
        <v>0.24</v>
      </c>
      <c r="CB8" s="46">
        <v>3.56</v>
      </c>
    </row>
    <row r="9" spans="2:80">
      <c r="B9" s="44" t="s">
        <v>1757</v>
      </c>
      <c r="C9" s="42">
        <v>3</v>
      </c>
      <c r="D9" s="42">
        <v>4.4000000000000004</v>
      </c>
      <c r="E9" s="42">
        <v>99.99</v>
      </c>
      <c r="F9" s="42">
        <v>0.91</v>
      </c>
      <c r="G9" s="42">
        <v>4.32</v>
      </c>
      <c r="H9" s="42">
        <v>4.2699999999999996</v>
      </c>
      <c r="I9" s="42">
        <v>1.8</v>
      </c>
      <c r="J9" s="46">
        <v>2.2400000000000002</v>
      </c>
      <c r="L9" s="44" t="s">
        <v>1757</v>
      </c>
      <c r="M9" s="42">
        <v>2.87</v>
      </c>
      <c r="N9" s="42">
        <v>5.48</v>
      </c>
      <c r="O9" s="42">
        <v>5.15</v>
      </c>
      <c r="P9" s="42">
        <v>6.08</v>
      </c>
      <c r="Q9" s="42">
        <v>0</v>
      </c>
      <c r="R9" s="42">
        <v>3.72</v>
      </c>
      <c r="S9" s="42">
        <v>3.03</v>
      </c>
      <c r="T9" s="46">
        <v>3.39</v>
      </c>
      <c r="V9" s="44" t="s">
        <v>1757</v>
      </c>
      <c r="W9" s="42">
        <v>3.91</v>
      </c>
      <c r="X9" s="42">
        <v>4.3099999999999996</v>
      </c>
      <c r="Y9" s="42">
        <v>2.97</v>
      </c>
      <c r="Z9" s="42">
        <v>4.28</v>
      </c>
      <c r="AA9" s="42">
        <v>3.63</v>
      </c>
      <c r="AB9" s="42">
        <v>3.09</v>
      </c>
      <c r="AC9" s="42">
        <v>1.64</v>
      </c>
      <c r="AD9" s="46">
        <v>1.21</v>
      </c>
      <c r="AF9" s="44" t="s">
        <v>1758</v>
      </c>
      <c r="AG9" s="42">
        <v>4.1399999999999997</v>
      </c>
      <c r="AH9" s="42">
        <v>6.1</v>
      </c>
      <c r="AI9" s="42">
        <v>3.82</v>
      </c>
      <c r="AJ9" s="42">
        <v>4.04</v>
      </c>
      <c r="AK9" s="42">
        <v>0.22</v>
      </c>
      <c r="AL9" s="42">
        <v>1.84</v>
      </c>
      <c r="AM9" s="42">
        <v>3.73</v>
      </c>
      <c r="AN9" s="46">
        <v>3.11</v>
      </c>
      <c r="AP9" s="44" t="s">
        <v>1757</v>
      </c>
      <c r="AQ9" s="42">
        <v>2.59</v>
      </c>
      <c r="AR9" s="42">
        <v>1.17</v>
      </c>
      <c r="AS9" s="42">
        <v>2.59</v>
      </c>
      <c r="AT9" s="42">
        <v>3.04</v>
      </c>
      <c r="AU9" s="42">
        <v>1.37</v>
      </c>
      <c r="AV9" s="42">
        <v>1.37</v>
      </c>
      <c r="AW9" s="42">
        <v>1.17</v>
      </c>
      <c r="AX9" s="46">
        <v>0</v>
      </c>
      <c r="AZ9" s="44" t="s">
        <v>1759</v>
      </c>
      <c r="BA9" s="42">
        <v>0.53</v>
      </c>
      <c r="BB9" s="42">
        <v>5.74</v>
      </c>
      <c r="BC9" s="42">
        <v>0.39</v>
      </c>
      <c r="BD9" s="42">
        <v>3.04</v>
      </c>
      <c r="BE9" s="42">
        <v>2.59</v>
      </c>
      <c r="BF9" s="42">
        <v>1.89</v>
      </c>
      <c r="BG9" s="42">
        <v>0.62</v>
      </c>
      <c r="BH9" s="46">
        <v>1.17</v>
      </c>
      <c r="BJ9" s="44" t="s">
        <v>1758</v>
      </c>
      <c r="BK9" s="42">
        <v>12.69</v>
      </c>
      <c r="BL9" s="42">
        <v>1.17</v>
      </c>
      <c r="BM9" s="42">
        <v>1.61</v>
      </c>
      <c r="BN9" s="42">
        <v>3.56</v>
      </c>
      <c r="BO9" s="42">
        <v>1.89</v>
      </c>
      <c r="BP9" s="42">
        <v>2.59</v>
      </c>
      <c r="BQ9" s="42">
        <v>0.24</v>
      </c>
      <c r="BR9" s="46">
        <v>0.2</v>
      </c>
      <c r="BT9" s="44" t="s">
        <v>1757</v>
      </c>
      <c r="BU9" s="42">
        <v>0.85</v>
      </c>
      <c r="BV9" s="42">
        <v>0.53</v>
      </c>
      <c r="BW9" s="42">
        <v>0.13</v>
      </c>
      <c r="BX9" s="42">
        <v>0</v>
      </c>
      <c r="BY9" s="42">
        <v>1.89</v>
      </c>
      <c r="BZ9" s="42">
        <v>0.73</v>
      </c>
      <c r="CA9" s="42">
        <v>0.28000000000000003</v>
      </c>
      <c r="CB9" s="46">
        <v>2.21</v>
      </c>
    </row>
    <row r="10" spans="2:80">
      <c r="B10" s="44" t="s">
        <v>1757</v>
      </c>
      <c r="C10" s="42">
        <v>2.97</v>
      </c>
      <c r="D10" s="42">
        <v>4.38</v>
      </c>
      <c r="E10" s="42">
        <v>2.68</v>
      </c>
      <c r="F10" s="42">
        <v>5.63</v>
      </c>
      <c r="G10" s="42">
        <v>4.32</v>
      </c>
      <c r="H10" s="42">
        <v>4.84</v>
      </c>
      <c r="I10" s="42">
        <v>1.76</v>
      </c>
      <c r="J10" s="46">
        <v>2.27</v>
      </c>
      <c r="L10" s="44" t="s">
        <v>1757</v>
      </c>
      <c r="M10" s="42">
        <v>2.86</v>
      </c>
      <c r="N10" s="42">
        <v>5.53</v>
      </c>
      <c r="O10" s="42">
        <v>5.16</v>
      </c>
      <c r="P10" s="42">
        <v>6.07</v>
      </c>
      <c r="Q10" s="42">
        <v>0</v>
      </c>
      <c r="R10" s="42">
        <v>3.77</v>
      </c>
      <c r="S10" s="42">
        <v>3.01</v>
      </c>
      <c r="T10" s="46">
        <v>0.1</v>
      </c>
      <c r="V10" s="44" t="s">
        <v>1757</v>
      </c>
      <c r="W10" s="42">
        <v>3.94</v>
      </c>
      <c r="X10" s="42">
        <v>4.26</v>
      </c>
      <c r="Y10" s="42">
        <v>4.12</v>
      </c>
      <c r="Z10" s="42">
        <v>4.32</v>
      </c>
      <c r="AA10" s="42">
        <v>3.6</v>
      </c>
      <c r="AB10" s="42">
        <v>3.15</v>
      </c>
      <c r="AC10" s="42">
        <v>1.62</v>
      </c>
      <c r="AD10" s="46">
        <v>1.23</v>
      </c>
      <c r="AF10" s="44" t="s">
        <v>1758</v>
      </c>
      <c r="AG10" s="42">
        <v>4.2</v>
      </c>
      <c r="AH10" s="42">
        <v>6.08</v>
      </c>
      <c r="AI10" s="42">
        <v>3.77</v>
      </c>
      <c r="AJ10" s="42">
        <v>5.14</v>
      </c>
      <c r="AK10" s="42">
        <v>4.32</v>
      </c>
      <c r="AL10" s="42">
        <v>1.84</v>
      </c>
      <c r="AM10" s="42">
        <v>3.76</v>
      </c>
      <c r="AN10" s="46">
        <v>0.17</v>
      </c>
      <c r="AP10" s="44" t="s">
        <v>1757</v>
      </c>
      <c r="AQ10" s="42">
        <v>2.59</v>
      </c>
      <c r="AR10" s="42">
        <v>0</v>
      </c>
      <c r="AS10" s="42">
        <v>2.59</v>
      </c>
      <c r="AT10" s="42">
        <v>3.56</v>
      </c>
      <c r="AU10" s="42">
        <v>1.37</v>
      </c>
      <c r="AV10" s="42">
        <v>1.37</v>
      </c>
      <c r="AW10" s="42">
        <v>0</v>
      </c>
      <c r="AX10" s="46">
        <v>0</v>
      </c>
      <c r="AZ10" s="44" t="s">
        <v>1759</v>
      </c>
      <c r="BA10" s="42">
        <v>0.53</v>
      </c>
      <c r="BB10" s="42">
        <v>4.18</v>
      </c>
      <c r="BC10" s="42">
        <v>0.33</v>
      </c>
      <c r="BD10" s="42">
        <v>1.61</v>
      </c>
      <c r="BE10" s="42">
        <v>17.43</v>
      </c>
      <c r="BF10" s="42">
        <v>1.89</v>
      </c>
      <c r="BG10" s="42">
        <v>0.73</v>
      </c>
      <c r="BH10" s="46">
        <v>1.37</v>
      </c>
      <c r="BJ10" s="44" t="s">
        <v>1758</v>
      </c>
      <c r="BK10" s="42">
        <v>9.24</v>
      </c>
      <c r="BL10" s="42">
        <v>0</v>
      </c>
      <c r="BM10" s="42">
        <v>9.24</v>
      </c>
      <c r="BN10" s="42">
        <v>0</v>
      </c>
      <c r="BO10" s="42">
        <v>1.17</v>
      </c>
      <c r="BP10" s="42">
        <v>3.56</v>
      </c>
      <c r="BQ10" s="42">
        <v>0.17</v>
      </c>
      <c r="BR10" s="46">
        <v>0.62</v>
      </c>
      <c r="BT10" s="44" t="s">
        <v>1757</v>
      </c>
      <c r="BU10" s="42">
        <v>0.73</v>
      </c>
      <c r="BV10" s="42">
        <v>0.45</v>
      </c>
      <c r="BW10" s="42">
        <v>0.15</v>
      </c>
      <c r="BX10" s="42">
        <v>0</v>
      </c>
      <c r="BY10" s="42">
        <v>2.21</v>
      </c>
      <c r="BZ10" s="42">
        <v>0.73</v>
      </c>
      <c r="CA10" s="42">
        <v>0.24</v>
      </c>
      <c r="CB10" s="46">
        <v>1.89</v>
      </c>
    </row>
    <row r="11" spans="2:80">
      <c r="B11" s="44" t="s">
        <v>1757</v>
      </c>
      <c r="C11" s="42">
        <v>0.12</v>
      </c>
      <c r="D11" s="42">
        <v>4.3600000000000003</v>
      </c>
      <c r="E11" s="42">
        <v>4.22</v>
      </c>
      <c r="F11" s="42">
        <v>4.29</v>
      </c>
      <c r="G11" s="42">
        <v>4.3099999999999996</v>
      </c>
      <c r="H11" s="42">
        <v>4.8499999999999996</v>
      </c>
      <c r="I11" s="42">
        <v>1.78</v>
      </c>
      <c r="J11" s="46">
        <v>2.25</v>
      </c>
      <c r="L11" s="44" t="s">
        <v>1757</v>
      </c>
      <c r="M11" s="42">
        <v>2.86</v>
      </c>
      <c r="N11" s="42">
        <v>5.37</v>
      </c>
      <c r="O11" s="42">
        <v>5.12</v>
      </c>
      <c r="P11" s="42">
        <v>0.86</v>
      </c>
      <c r="Q11" s="42">
        <v>0</v>
      </c>
      <c r="R11" s="42">
        <v>3.72</v>
      </c>
      <c r="S11" s="42">
        <v>3.03</v>
      </c>
      <c r="T11" s="46">
        <v>3.54</v>
      </c>
      <c r="V11" s="44" t="s">
        <v>1757</v>
      </c>
      <c r="W11" s="42">
        <v>3.93</v>
      </c>
      <c r="X11" s="42">
        <v>4.26</v>
      </c>
      <c r="Y11" s="42">
        <v>4.1500000000000004</v>
      </c>
      <c r="Z11" s="42">
        <v>4.29</v>
      </c>
      <c r="AA11" s="42">
        <v>3.62</v>
      </c>
      <c r="AB11" s="42">
        <v>3.15</v>
      </c>
      <c r="AC11" s="42">
        <v>1.62</v>
      </c>
      <c r="AD11" s="46">
        <v>1.29</v>
      </c>
      <c r="AF11" s="44" t="s">
        <v>1758</v>
      </c>
      <c r="AG11" s="42">
        <v>4.17</v>
      </c>
      <c r="AH11" s="42">
        <v>6.11</v>
      </c>
      <c r="AI11" s="42">
        <v>3.8</v>
      </c>
      <c r="AJ11" s="42">
        <v>5.18</v>
      </c>
      <c r="AK11" s="42">
        <v>5.45</v>
      </c>
      <c r="AL11" s="42">
        <v>1.86</v>
      </c>
      <c r="AM11" s="42">
        <v>3.75</v>
      </c>
      <c r="AN11" s="46">
        <v>3.22</v>
      </c>
      <c r="AP11" s="44" t="s">
        <v>1757</v>
      </c>
      <c r="AQ11" s="42">
        <v>2.21</v>
      </c>
      <c r="AR11" s="42">
        <v>1.17</v>
      </c>
      <c r="AS11" s="42">
        <v>2.59</v>
      </c>
      <c r="AT11" s="42">
        <v>3.56</v>
      </c>
      <c r="AU11" s="42">
        <v>1.37</v>
      </c>
      <c r="AV11" s="42">
        <v>1.37</v>
      </c>
      <c r="AW11" s="42">
        <v>1.17</v>
      </c>
      <c r="AX11" s="46">
        <v>0</v>
      </c>
      <c r="AZ11" s="44" t="s">
        <v>1759</v>
      </c>
      <c r="BA11" s="42">
        <v>0.45</v>
      </c>
      <c r="BB11" s="42">
        <v>0.53</v>
      </c>
      <c r="BC11" s="42">
        <v>0.15</v>
      </c>
      <c r="BD11" s="42">
        <v>1.61</v>
      </c>
      <c r="BE11" s="42">
        <v>17.43</v>
      </c>
      <c r="BF11" s="42">
        <v>1.61</v>
      </c>
      <c r="BG11" s="42">
        <v>0.62</v>
      </c>
      <c r="BH11" s="46">
        <v>1.17</v>
      </c>
      <c r="BJ11" s="44" t="s">
        <v>1758</v>
      </c>
      <c r="BK11" s="42">
        <v>14.87</v>
      </c>
      <c r="BL11" s="42">
        <v>1.37</v>
      </c>
      <c r="BM11" s="42">
        <v>1.89</v>
      </c>
      <c r="BN11" s="42">
        <v>3.56</v>
      </c>
      <c r="BO11" s="42">
        <v>1.61</v>
      </c>
      <c r="BP11" s="42">
        <v>2.59</v>
      </c>
      <c r="BQ11" s="42">
        <v>0.24</v>
      </c>
      <c r="BR11" s="46">
        <v>0.2</v>
      </c>
      <c r="BT11" s="44" t="s">
        <v>1757</v>
      </c>
      <c r="BU11" s="42">
        <v>0.85</v>
      </c>
      <c r="BV11" s="42">
        <v>1.37</v>
      </c>
      <c r="BW11" s="42">
        <v>0.11</v>
      </c>
      <c r="BX11" s="42">
        <v>2.21</v>
      </c>
      <c r="BY11" s="42">
        <v>0</v>
      </c>
      <c r="BZ11" s="42">
        <v>0.62</v>
      </c>
      <c r="CA11" s="42">
        <v>0.33</v>
      </c>
      <c r="CB11" s="46">
        <v>3.56</v>
      </c>
    </row>
    <row r="12" spans="2:80">
      <c r="B12" s="44" t="s">
        <v>1757</v>
      </c>
      <c r="C12" s="42">
        <v>2.98</v>
      </c>
      <c r="D12" s="42">
        <v>4.3899999999999997</v>
      </c>
      <c r="E12" s="42">
        <v>5.3</v>
      </c>
      <c r="F12" s="42">
        <v>5.62</v>
      </c>
      <c r="G12" s="42">
        <v>4.33</v>
      </c>
      <c r="H12" s="42">
        <v>3.95</v>
      </c>
      <c r="I12" s="42">
        <v>1.74</v>
      </c>
      <c r="J12" s="46">
        <v>2.2000000000000002</v>
      </c>
      <c r="L12" s="44" t="s">
        <v>1757</v>
      </c>
      <c r="M12" s="42">
        <v>1.96</v>
      </c>
      <c r="N12" s="42">
        <v>5.43</v>
      </c>
      <c r="O12" s="42">
        <v>5.25</v>
      </c>
      <c r="P12" s="42">
        <v>6.06</v>
      </c>
      <c r="Q12" s="42">
        <v>0</v>
      </c>
      <c r="R12" s="42">
        <v>3.53</v>
      </c>
      <c r="S12" s="42">
        <v>3.07</v>
      </c>
      <c r="T12" s="46">
        <v>3.44</v>
      </c>
      <c r="V12" s="44" t="s">
        <v>1757</v>
      </c>
      <c r="W12" s="42">
        <v>3.9</v>
      </c>
      <c r="X12" s="42">
        <v>4.26</v>
      </c>
      <c r="Y12" s="42">
        <v>4.16</v>
      </c>
      <c r="Z12" s="42">
        <v>4.3099999999999996</v>
      </c>
      <c r="AA12" s="42">
        <v>3.6</v>
      </c>
      <c r="AB12" s="42">
        <v>3.13</v>
      </c>
      <c r="AC12" s="42">
        <v>1.64</v>
      </c>
      <c r="AD12" s="46">
        <v>1.23</v>
      </c>
      <c r="AF12" s="44" t="s">
        <v>1758</v>
      </c>
      <c r="AG12" s="42">
        <v>1.1000000000000001</v>
      </c>
      <c r="AH12" s="42">
        <v>6.11</v>
      </c>
      <c r="AI12" s="42">
        <v>3.78</v>
      </c>
      <c r="AJ12" s="42">
        <v>5.22</v>
      </c>
      <c r="AK12" s="42">
        <v>5.47</v>
      </c>
      <c r="AL12" s="42">
        <v>1.86</v>
      </c>
      <c r="AM12" s="42">
        <v>3.75</v>
      </c>
      <c r="AN12" s="46">
        <v>3.18</v>
      </c>
      <c r="AP12" s="44" t="s">
        <v>1757</v>
      </c>
      <c r="AQ12" s="42">
        <v>0</v>
      </c>
      <c r="AR12" s="42">
        <v>0</v>
      </c>
      <c r="AS12" s="42">
        <v>0.85</v>
      </c>
      <c r="AT12" s="42">
        <v>3.04</v>
      </c>
      <c r="AU12" s="42">
        <v>6.72</v>
      </c>
      <c r="AV12" s="42">
        <v>85.32</v>
      </c>
      <c r="AW12" s="42">
        <v>0.39</v>
      </c>
      <c r="AX12" s="46">
        <v>3.04</v>
      </c>
      <c r="AZ12" s="44" t="s">
        <v>1759</v>
      </c>
      <c r="BA12" s="42">
        <v>0.53</v>
      </c>
      <c r="BB12" s="42">
        <v>0.73</v>
      </c>
      <c r="BC12" s="42">
        <v>0.15</v>
      </c>
      <c r="BD12" s="42">
        <v>1.37</v>
      </c>
      <c r="BE12" s="42">
        <v>17.43</v>
      </c>
      <c r="BF12" s="42">
        <v>1.89</v>
      </c>
      <c r="BG12" s="42">
        <v>0.62</v>
      </c>
      <c r="BH12" s="46">
        <v>1.17</v>
      </c>
      <c r="BJ12" s="44" t="s">
        <v>1758</v>
      </c>
      <c r="BK12" s="42">
        <v>12.69</v>
      </c>
      <c r="BL12" s="42">
        <v>1.37</v>
      </c>
      <c r="BM12" s="42">
        <v>1.89</v>
      </c>
      <c r="BN12" s="42">
        <v>1.89</v>
      </c>
      <c r="BO12" s="42">
        <v>1.61</v>
      </c>
      <c r="BP12" s="42">
        <v>2.21</v>
      </c>
      <c r="BQ12" s="42">
        <v>0.24</v>
      </c>
      <c r="BR12" s="46">
        <v>0.24</v>
      </c>
      <c r="BT12" s="44" t="s">
        <v>1757</v>
      </c>
      <c r="BU12" s="42">
        <v>0</v>
      </c>
      <c r="BV12" s="42">
        <v>1.37</v>
      </c>
      <c r="BW12" s="42">
        <v>0.13</v>
      </c>
      <c r="BX12" s="42">
        <v>9.24</v>
      </c>
      <c r="BY12" s="42">
        <v>0.85</v>
      </c>
      <c r="BZ12" s="42">
        <v>0.33</v>
      </c>
      <c r="CA12" s="42">
        <v>0.33</v>
      </c>
      <c r="CB12" s="46">
        <v>4.18</v>
      </c>
    </row>
    <row r="13" spans="2:80">
      <c r="B13" s="44" t="s">
        <v>1757</v>
      </c>
      <c r="C13" s="42">
        <v>2.98</v>
      </c>
      <c r="D13" s="42">
        <v>4.4000000000000004</v>
      </c>
      <c r="E13" s="42">
        <v>5.3</v>
      </c>
      <c r="F13" s="42">
        <v>3.89</v>
      </c>
      <c r="G13" s="42">
        <v>4.32</v>
      </c>
      <c r="H13" s="42">
        <v>4.8899999999999997</v>
      </c>
      <c r="I13" s="42">
        <v>1.77</v>
      </c>
      <c r="J13" s="46">
        <v>2.2200000000000002</v>
      </c>
      <c r="L13" s="44" t="s">
        <v>1757</v>
      </c>
      <c r="M13" s="42">
        <v>2.13</v>
      </c>
      <c r="N13" s="42">
        <v>5.44</v>
      </c>
      <c r="O13" s="42">
        <v>5.16</v>
      </c>
      <c r="P13" s="42">
        <v>4.54</v>
      </c>
      <c r="Q13" s="42">
        <v>0</v>
      </c>
      <c r="R13" s="42">
        <v>3.74</v>
      </c>
      <c r="S13" s="42">
        <v>3.08</v>
      </c>
      <c r="T13" s="46">
        <v>3.43</v>
      </c>
      <c r="V13" s="44" t="s">
        <v>1757</v>
      </c>
      <c r="W13" s="42">
        <v>3.9</v>
      </c>
      <c r="X13" s="42">
        <v>4.25</v>
      </c>
      <c r="Y13" s="42">
        <v>4.18</v>
      </c>
      <c r="Z13" s="42">
        <v>4.33</v>
      </c>
      <c r="AA13" s="42">
        <v>3.56</v>
      </c>
      <c r="AB13" s="42">
        <v>1.3</v>
      </c>
      <c r="AC13" s="42">
        <v>1.63</v>
      </c>
      <c r="AD13" s="46">
        <v>1.23</v>
      </c>
      <c r="AF13" s="44" t="s">
        <v>1758</v>
      </c>
      <c r="AG13" s="42">
        <v>4.1500000000000004</v>
      </c>
      <c r="AH13" s="42">
        <v>6.1</v>
      </c>
      <c r="AI13" s="42">
        <v>3.76</v>
      </c>
      <c r="AJ13" s="42">
        <v>5.24</v>
      </c>
      <c r="AK13" s="42">
        <v>5.45</v>
      </c>
      <c r="AL13" s="42">
        <v>1.88</v>
      </c>
      <c r="AM13" s="42">
        <v>3.72</v>
      </c>
      <c r="AN13" s="46">
        <v>3.18</v>
      </c>
      <c r="AP13" s="44" t="s">
        <v>1757</v>
      </c>
      <c r="AQ13" s="42">
        <v>2.21</v>
      </c>
      <c r="AR13" s="42">
        <v>0</v>
      </c>
      <c r="AS13" s="42">
        <v>2.59</v>
      </c>
      <c r="AT13" s="42">
        <v>3.56</v>
      </c>
      <c r="AU13" s="42">
        <v>1.37</v>
      </c>
      <c r="AV13" s="42">
        <v>1.17</v>
      </c>
      <c r="AW13" s="42">
        <v>1.17</v>
      </c>
      <c r="AX13" s="46">
        <v>0</v>
      </c>
      <c r="AZ13" s="44" t="s">
        <v>1759</v>
      </c>
      <c r="BA13" s="42">
        <v>0.53</v>
      </c>
      <c r="BB13" s="42">
        <v>4.18</v>
      </c>
      <c r="BC13" s="42">
        <v>0.39</v>
      </c>
      <c r="BD13" s="42">
        <v>1.61</v>
      </c>
      <c r="BE13" s="42">
        <v>2.21</v>
      </c>
      <c r="BF13" s="42">
        <v>1.61</v>
      </c>
      <c r="BG13" s="42">
        <v>0.73</v>
      </c>
      <c r="BH13" s="46">
        <v>1.17</v>
      </c>
      <c r="BJ13" s="44" t="s">
        <v>1758</v>
      </c>
      <c r="BK13" s="42">
        <v>14.87</v>
      </c>
      <c r="BL13" s="42">
        <v>1.61</v>
      </c>
      <c r="BM13" s="42">
        <v>1.61</v>
      </c>
      <c r="BN13" s="42">
        <v>3.56</v>
      </c>
      <c r="BO13" s="42">
        <v>1.89</v>
      </c>
      <c r="BP13" s="42">
        <v>3.56</v>
      </c>
      <c r="BQ13" s="42">
        <v>0.2</v>
      </c>
      <c r="BR13" s="46">
        <v>0.2</v>
      </c>
      <c r="BT13" s="44" t="s">
        <v>1757</v>
      </c>
      <c r="BU13" s="42">
        <v>0.73</v>
      </c>
      <c r="BV13" s="42">
        <v>0.45</v>
      </c>
      <c r="BW13" s="42">
        <v>0.17</v>
      </c>
      <c r="BX13" s="42">
        <v>2.21</v>
      </c>
      <c r="BY13" s="42">
        <v>1.89</v>
      </c>
      <c r="BZ13" s="42">
        <v>0.73</v>
      </c>
      <c r="CA13" s="42">
        <v>0.39</v>
      </c>
      <c r="CB13" s="46">
        <v>4.18</v>
      </c>
    </row>
    <row r="14" spans="2:80">
      <c r="B14" s="44" t="s">
        <v>1758</v>
      </c>
      <c r="C14" s="42">
        <v>2.96</v>
      </c>
      <c r="D14" s="42">
        <v>4.32</v>
      </c>
      <c r="E14" s="42">
        <v>5.31</v>
      </c>
      <c r="F14" s="42">
        <v>4.53</v>
      </c>
      <c r="G14" s="42">
        <v>4.34</v>
      </c>
      <c r="H14" s="42">
        <v>4.8099999999999996</v>
      </c>
      <c r="I14" s="42">
        <v>1.75</v>
      </c>
      <c r="J14" s="46">
        <v>2.25</v>
      </c>
      <c r="L14" s="44" t="s">
        <v>1758</v>
      </c>
      <c r="M14" s="42">
        <v>1.89</v>
      </c>
      <c r="N14" s="42">
        <v>5.51</v>
      </c>
      <c r="O14" s="42">
        <v>5.14</v>
      </c>
      <c r="P14" s="42">
        <v>6.1</v>
      </c>
      <c r="Q14" s="42">
        <v>0</v>
      </c>
      <c r="R14" s="42">
        <v>3.72</v>
      </c>
      <c r="S14" s="42">
        <v>3.08</v>
      </c>
      <c r="T14" s="46">
        <v>3.4</v>
      </c>
      <c r="V14" s="44" t="s">
        <v>1758</v>
      </c>
      <c r="W14" s="42">
        <v>3.92</v>
      </c>
      <c r="X14" s="42">
        <v>4.28</v>
      </c>
      <c r="Y14" s="42">
        <v>4.1500000000000004</v>
      </c>
      <c r="Z14" s="42">
        <v>4.29</v>
      </c>
      <c r="AA14" s="42">
        <v>3.66</v>
      </c>
      <c r="AB14" s="42">
        <v>3.13</v>
      </c>
      <c r="AC14" s="42">
        <v>1.64</v>
      </c>
      <c r="AD14" s="46">
        <v>1.26</v>
      </c>
      <c r="AF14" s="44" t="s">
        <v>1759</v>
      </c>
      <c r="AG14" s="42">
        <v>4.18</v>
      </c>
      <c r="AH14" s="42">
        <v>6.13</v>
      </c>
      <c r="AI14" s="42">
        <v>3.54</v>
      </c>
      <c r="AJ14" s="42">
        <v>5.16</v>
      </c>
      <c r="AK14" s="42">
        <v>5.45</v>
      </c>
      <c r="AL14" s="42">
        <v>1.83</v>
      </c>
      <c r="AM14" s="42">
        <v>3.72</v>
      </c>
      <c r="AN14" s="46">
        <v>0</v>
      </c>
      <c r="AP14" s="44" t="s">
        <v>1758</v>
      </c>
      <c r="AQ14" s="42">
        <v>2.59</v>
      </c>
      <c r="AR14" s="42">
        <v>0</v>
      </c>
      <c r="AS14" s="42">
        <v>2.59</v>
      </c>
      <c r="AT14" s="42">
        <v>3.56</v>
      </c>
      <c r="AU14" s="42">
        <v>1.61</v>
      </c>
      <c r="AV14" s="42">
        <v>5.74</v>
      </c>
      <c r="AW14" s="42">
        <v>1.17</v>
      </c>
      <c r="AX14" s="46">
        <v>3.04</v>
      </c>
      <c r="AZ14" s="44" t="s">
        <v>1760</v>
      </c>
      <c r="BA14" s="42">
        <v>0.53</v>
      </c>
      <c r="BB14" s="42">
        <v>4.8899999999999997</v>
      </c>
      <c r="BC14" s="42">
        <v>0.33</v>
      </c>
      <c r="BD14" s="42">
        <v>1.37</v>
      </c>
      <c r="BE14" s="42">
        <v>20.43</v>
      </c>
      <c r="BF14" s="42">
        <v>1.89</v>
      </c>
      <c r="BG14" s="42">
        <v>0.73</v>
      </c>
      <c r="BH14" s="46">
        <v>1.17</v>
      </c>
      <c r="BJ14" s="44" t="s">
        <v>1760</v>
      </c>
      <c r="BK14" s="42">
        <v>14.87</v>
      </c>
      <c r="BL14" s="42">
        <v>1.37</v>
      </c>
      <c r="BM14" s="42">
        <v>1.61</v>
      </c>
      <c r="BN14" s="42">
        <v>3.56</v>
      </c>
      <c r="BO14" s="42">
        <v>1.89</v>
      </c>
      <c r="BP14" s="42">
        <v>2.59</v>
      </c>
      <c r="BQ14" s="42">
        <v>0.24</v>
      </c>
      <c r="BR14" s="46">
        <v>0.24</v>
      </c>
      <c r="BT14" s="44" t="s">
        <v>1758</v>
      </c>
      <c r="BU14" s="42">
        <v>0.73</v>
      </c>
      <c r="BV14" s="42">
        <v>0.45</v>
      </c>
      <c r="BW14" s="42">
        <v>0.15</v>
      </c>
      <c r="BX14" s="42">
        <v>1.17</v>
      </c>
      <c r="BY14" s="42">
        <v>1.89</v>
      </c>
      <c r="BZ14" s="42">
        <v>0.73</v>
      </c>
      <c r="CA14" s="42">
        <v>0.28000000000000003</v>
      </c>
      <c r="CB14" s="46">
        <v>1.89</v>
      </c>
    </row>
    <row r="15" spans="2:80">
      <c r="B15" s="44" t="s">
        <v>1758</v>
      </c>
      <c r="C15" s="42">
        <v>3.02</v>
      </c>
      <c r="D15" s="42">
        <v>0</v>
      </c>
      <c r="E15" s="42">
        <v>4.6399999999999997</v>
      </c>
      <c r="F15" s="42">
        <v>5.64</v>
      </c>
      <c r="G15" s="42">
        <v>4.34</v>
      </c>
      <c r="H15" s="42">
        <v>3.32</v>
      </c>
      <c r="I15" s="42">
        <v>1.76</v>
      </c>
      <c r="J15" s="46">
        <v>2.2400000000000002</v>
      </c>
      <c r="L15" s="44" t="s">
        <v>1758</v>
      </c>
      <c r="M15" s="42">
        <v>2.86</v>
      </c>
      <c r="N15" s="42">
        <v>5.46</v>
      </c>
      <c r="O15" s="42">
        <v>5.19</v>
      </c>
      <c r="P15" s="42">
        <v>2.67</v>
      </c>
      <c r="Q15" s="42">
        <v>0</v>
      </c>
      <c r="R15" s="42">
        <v>3.34</v>
      </c>
      <c r="S15" s="42">
        <v>3.04</v>
      </c>
      <c r="T15" s="46">
        <v>3.44</v>
      </c>
      <c r="V15" s="44" t="s">
        <v>1758</v>
      </c>
      <c r="W15" s="42">
        <v>3.94</v>
      </c>
      <c r="X15" s="42">
        <v>4.2699999999999996</v>
      </c>
      <c r="Y15" s="42">
        <v>4.17</v>
      </c>
      <c r="Z15" s="42">
        <v>4.28</v>
      </c>
      <c r="AA15" s="42">
        <v>3.55</v>
      </c>
      <c r="AB15" s="42">
        <v>3.16</v>
      </c>
      <c r="AC15" s="42">
        <v>1.66</v>
      </c>
      <c r="AD15" s="46">
        <v>1.28</v>
      </c>
      <c r="AF15" s="44" t="s">
        <v>1759</v>
      </c>
      <c r="AG15" s="42">
        <v>4.17</v>
      </c>
      <c r="AH15" s="42">
        <v>4.1399999999999997</v>
      </c>
      <c r="AI15" s="42">
        <v>3.8</v>
      </c>
      <c r="AJ15" s="42">
        <v>5.15</v>
      </c>
      <c r="AK15" s="42">
        <v>4.62</v>
      </c>
      <c r="AL15" s="42">
        <v>1.83</v>
      </c>
      <c r="AM15" s="42">
        <v>3.74</v>
      </c>
      <c r="AN15" s="46">
        <v>3.15</v>
      </c>
      <c r="AP15" s="44" t="s">
        <v>1758</v>
      </c>
      <c r="AQ15" s="42">
        <v>2.59</v>
      </c>
      <c r="AR15" s="42">
        <v>1.17</v>
      </c>
      <c r="AS15" s="42">
        <v>2.59</v>
      </c>
      <c r="AT15" s="42">
        <v>3.56</v>
      </c>
      <c r="AU15" s="42">
        <v>0</v>
      </c>
      <c r="AV15" s="42">
        <v>1.37</v>
      </c>
      <c r="AW15" s="42">
        <v>0.39</v>
      </c>
      <c r="AX15" s="46">
        <v>0</v>
      </c>
      <c r="AZ15" s="44" t="s">
        <v>1760</v>
      </c>
      <c r="BA15" s="42">
        <v>0.62</v>
      </c>
      <c r="BB15" s="42">
        <v>4.18</v>
      </c>
      <c r="BC15" s="42">
        <v>0.39</v>
      </c>
      <c r="BD15" s="42">
        <v>1.61</v>
      </c>
      <c r="BE15" s="42">
        <v>2.21</v>
      </c>
      <c r="BF15" s="42">
        <v>1.89</v>
      </c>
      <c r="BG15" s="42">
        <v>0.62</v>
      </c>
      <c r="BH15" s="46">
        <v>1.17</v>
      </c>
      <c r="BJ15" s="44" t="s">
        <v>1760</v>
      </c>
      <c r="BK15" s="42">
        <v>10.83</v>
      </c>
      <c r="BL15" s="42">
        <v>0.85</v>
      </c>
      <c r="BM15" s="42">
        <v>0.2</v>
      </c>
      <c r="BN15" s="42">
        <v>1.89</v>
      </c>
      <c r="BO15" s="42">
        <v>1.61</v>
      </c>
      <c r="BP15" s="42">
        <v>4.18</v>
      </c>
      <c r="BQ15" s="42">
        <v>0.17</v>
      </c>
      <c r="BR15" s="46">
        <v>0.53</v>
      </c>
      <c r="BT15" s="44" t="s">
        <v>1758</v>
      </c>
      <c r="BU15" s="42">
        <v>0</v>
      </c>
      <c r="BV15" s="42">
        <v>0.45</v>
      </c>
      <c r="BW15" s="42">
        <v>0.15</v>
      </c>
      <c r="BX15" s="42">
        <v>0</v>
      </c>
      <c r="BY15" s="42">
        <v>1.89</v>
      </c>
      <c r="BZ15" s="42">
        <v>0.73</v>
      </c>
      <c r="CA15" s="42">
        <v>0.28000000000000003</v>
      </c>
      <c r="CB15" s="46">
        <v>2.59</v>
      </c>
    </row>
    <row r="16" spans="2:80">
      <c r="B16" s="44" t="s">
        <v>1758</v>
      </c>
      <c r="C16" s="42">
        <v>3.05</v>
      </c>
      <c r="D16" s="42">
        <v>4.42</v>
      </c>
      <c r="E16" s="42">
        <v>5.3</v>
      </c>
      <c r="F16" s="42">
        <v>5.62</v>
      </c>
      <c r="G16" s="42">
        <v>4.34</v>
      </c>
      <c r="H16" s="42">
        <v>2.2999999999999998</v>
      </c>
      <c r="I16" s="42">
        <v>1.75</v>
      </c>
      <c r="J16" s="46">
        <v>2.2599999999999998</v>
      </c>
      <c r="L16" s="44" t="s">
        <v>1758</v>
      </c>
      <c r="M16" s="42">
        <v>2.85</v>
      </c>
      <c r="N16" s="42">
        <v>5.48</v>
      </c>
      <c r="O16" s="42">
        <v>5.21</v>
      </c>
      <c r="P16" s="42">
        <v>4.08</v>
      </c>
      <c r="Q16" s="42">
        <v>0</v>
      </c>
      <c r="R16" s="42">
        <v>3.71</v>
      </c>
      <c r="S16" s="42">
        <v>3.08</v>
      </c>
      <c r="T16" s="46">
        <v>3.41</v>
      </c>
      <c r="V16" s="44" t="s">
        <v>1758</v>
      </c>
      <c r="W16" s="42">
        <v>3.92</v>
      </c>
      <c r="X16" s="42">
        <v>4.2699999999999996</v>
      </c>
      <c r="Y16" s="42">
        <v>4.13</v>
      </c>
      <c r="Z16" s="42">
        <v>4.3099999999999996</v>
      </c>
      <c r="AA16" s="42">
        <v>1.3</v>
      </c>
      <c r="AB16" s="42">
        <v>3.1</v>
      </c>
      <c r="AC16" s="42">
        <v>1.64</v>
      </c>
      <c r="AD16" s="46">
        <v>1.22</v>
      </c>
      <c r="AF16" s="44" t="s">
        <v>1759</v>
      </c>
      <c r="AG16" s="42">
        <v>4.16</v>
      </c>
      <c r="AH16" s="42">
        <v>6.08</v>
      </c>
      <c r="AI16" s="42">
        <v>3.77</v>
      </c>
      <c r="AJ16" s="42">
        <v>0.98</v>
      </c>
      <c r="AK16" s="42">
        <v>5.48</v>
      </c>
      <c r="AL16" s="42">
        <v>1.85</v>
      </c>
      <c r="AM16" s="42">
        <v>2.56</v>
      </c>
      <c r="AN16" s="46">
        <v>0</v>
      </c>
      <c r="AP16" s="44" t="s">
        <v>1758</v>
      </c>
      <c r="AQ16" s="42">
        <v>2.59</v>
      </c>
      <c r="AR16" s="42">
        <v>1.17</v>
      </c>
      <c r="AS16" s="42">
        <v>2.59</v>
      </c>
      <c r="AT16" s="42">
        <v>2.59</v>
      </c>
      <c r="AU16" s="42">
        <v>1.37</v>
      </c>
      <c r="AV16" s="42">
        <v>99.99</v>
      </c>
      <c r="AW16" s="42">
        <v>1.89</v>
      </c>
      <c r="AX16" s="46">
        <v>0</v>
      </c>
      <c r="AZ16" s="44" t="s">
        <v>1760</v>
      </c>
      <c r="BA16" s="42">
        <v>0.53</v>
      </c>
      <c r="BB16" s="42">
        <v>3.56</v>
      </c>
      <c r="BC16" s="42">
        <v>0.33</v>
      </c>
      <c r="BD16" s="42">
        <v>1.61</v>
      </c>
      <c r="BE16" s="42">
        <v>2.59</v>
      </c>
      <c r="BF16" s="42">
        <v>1.89</v>
      </c>
      <c r="BG16" s="42">
        <v>0.62</v>
      </c>
      <c r="BH16" s="46">
        <v>1.37</v>
      </c>
      <c r="BJ16" s="44" t="s">
        <v>1760</v>
      </c>
      <c r="BK16" s="42">
        <v>9.24</v>
      </c>
      <c r="BL16" s="42">
        <v>0</v>
      </c>
      <c r="BM16" s="42">
        <v>0.2</v>
      </c>
      <c r="BN16" s="42">
        <v>3.56</v>
      </c>
      <c r="BO16" s="42">
        <v>1.89</v>
      </c>
      <c r="BP16" s="42">
        <v>3.56</v>
      </c>
      <c r="BQ16" s="42">
        <v>0.17</v>
      </c>
      <c r="BR16" s="46">
        <v>0.53</v>
      </c>
      <c r="BT16" s="44" t="s">
        <v>1758</v>
      </c>
      <c r="BU16" s="42">
        <v>0.73</v>
      </c>
      <c r="BV16" s="42">
        <v>0.45</v>
      </c>
      <c r="BW16" s="42">
        <v>0.15</v>
      </c>
      <c r="BX16" s="42">
        <v>1.17</v>
      </c>
      <c r="BY16" s="42">
        <v>2.21</v>
      </c>
      <c r="BZ16" s="42">
        <v>0.39</v>
      </c>
      <c r="CA16" s="42">
        <v>0.28000000000000003</v>
      </c>
      <c r="CB16" s="46">
        <v>1.89</v>
      </c>
    </row>
    <row r="17" spans="2:80">
      <c r="B17" s="44" t="s">
        <v>1758</v>
      </c>
      <c r="C17" s="42">
        <v>3</v>
      </c>
      <c r="D17" s="42">
        <v>4.42</v>
      </c>
      <c r="E17" s="42">
        <v>5.28</v>
      </c>
      <c r="F17" s="42">
        <v>5.65</v>
      </c>
      <c r="G17" s="42">
        <v>4.3099999999999996</v>
      </c>
      <c r="H17" s="42">
        <v>4.88</v>
      </c>
      <c r="I17" s="42">
        <v>1.78</v>
      </c>
      <c r="J17" s="46">
        <v>2.21</v>
      </c>
      <c r="L17" s="44" t="s">
        <v>1758</v>
      </c>
      <c r="M17" s="42">
        <v>2.79</v>
      </c>
      <c r="N17" s="42">
        <v>5.47</v>
      </c>
      <c r="O17" s="42">
        <v>2.0699999999999998</v>
      </c>
      <c r="P17" s="42">
        <v>6.05</v>
      </c>
      <c r="Q17" s="42">
        <v>0</v>
      </c>
      <c r="R17" s="42">
        <v>3.74</v>
      </c>
      <c r="S17" s="42">
        <v>3.03</v>
      </c>
      <c r="T17" s="46">
        <v>3.5</v>
      </c>
      <c r="V17" s="44" t="s">
        <v>1758</v>
      </c>
      <c r="W17" s="42">
        <v>1.1299999999999999</v>
      </c>
      <c r="X17" s="42">
        <v>4.25</v>
      </c>
      <c r="Y17" s="42">
        <v>4.17</v>
      </c>
      <c r="Z17" s="42">
        <v>4.2699999999999996</v>
      </c>
      <c r="AA17" s="42">
        <v>3.62</v>
      </c>
      <c r="AB17" s="42">
        <v>3.11</v>
      </c>
      <c r="AC17" s="42">
        <v>1.61</v>
      </c>
      <c r="AD17" s="46">
        <v>1.23</v>
      </c>
      <c r="AF17" s="44" t="s">
        <v>1759</v>
      </c>
      <c r="AG17" s="42">
        <v>4.1500000000000004</v>
      </c>
      <c r="AH17" s="42">
        <v>6.11</v>
      </c>
      <c r="AI17" s="42">
        <v>3.79</v>
      </c>
      <c r="AJ17" s="42">
        <v>5.13</v>
      </c>
      <c r="AK17" s="42">
        <v>5.44</v>
      </c>
      <c r="AL17" s="42">
        <v>1.86</v>
      </c>
      <c r="AM17" s="42">
        <v>3.75</v>
      </c>
      <c r="AN17" s="46">
        <v>3.09</v>
      </c>
      <c r="AP17" s="44" t="s">
        <v>1758</v>
      </c>
      <c r="AQ17" s="42">
        <v>2.21</v>
      </c>
      <c r="AR17" s="42">
        <v>1.17</v>
      </c>
      <c r="AS17" s="42">
        <v>2.59</v>
      </c>
      <c r="AT17" s="42">
        <v>14.87</v>
      </c>
      <c r="AU17" s="42">
        <v>1.37</v>
      </c>
      <c r="AV17" s="42">
        <v>1.17</v>
      </c>
      <c r="AW17" s="42">
        <v>1.17</v>
      </c>
      <c r="AX17" s="46">
        <v>0</v>
      </c>
      <c r="AZ17" s="44" t="s">
        <v>1760</v>
      </c>
      <c r="BA17" s="42">
        <v>0.45</v>
      </c>
      <c r="BB17" s="42">
        <v>4.18</v>
      </c>
      <c r="BC17" s="42">
        <v>0.33</v>
      </c>
      <c r="BD17" s="42">
        <v>1.61</v>
      </c>
      <c r="BE17" s="42">
        <v>2.21</v>
      </c>
      <c r="BF17" s="42">
        <v>1.89</v>
      </c>
      <c r="BG17" s="42">
        <v>0.73</v>
      </c>
      <c r="BH17" s="46">
        <v>1.17</v>
      </c>
      <c r="BJ17" s="44" t="s">
        <v>1760</v>
      </c>
      <c r="BK17" s="42">
        <v>14.87</v>
      </c>
      <c r="BL17" s="42">
        <v>1.61</v>
      </c>
      <c r="BM17" s="42">
        <v>1.61</v>
      </c>
      <c r="BN17" s="42">
        <v>3.56</v>
      </c>
      <c r="BO17" s="42">
        <v>1.37</v>
      </c>
      <c r="BP17" s="42">
        <v>2.59</v>
      </c>
      <c r="BQ17" s="42">
        <v>0.24</v>
      </c>
      <c r="BR17" s="46">
        <v>0.45</v>
      </c>
      <c r="BT17" s="44" t="s">
        <v>1758</v>
      </c>
      <c r="BU17" s="42">
        <v>0.85</v>
      </c>
      <c r="BV17" s="42">
        <v>0.45</v>
      </c>
      <c r="BW17" s="42">
        <v>0.15</v>
      </c>
      <c r="BX17" s="42">
        <v>1.17</v>
      </c>
      <c r="BY17" s="42">
        <v>2.21</v>
      </c>
      <c r="BZ17" s="42">
        <v>0.33</v>
      </c>
      <c r="CA17" s="42">
        <v>0.17</v>
      </c>
      <c r="CB17" s="46">
        <v>2.21</v>
      </c>
    </row>
    <row r="18" spans="2:80">
      <c r="B18" s="44" t="s">
        <v>1758</v>
      </c>
      <c r="C18" s="42">
        <v>3.01</v>
      </c>
      <c r="D18" s="42">
        <v>4.3899999999999997</v>
      </c>
      <c r="E18" s="42">
        <v>5.29</v>
      </c>
      <c r="F18" s="42">
        <v>5.61</v>
      </c>
      <c r="G18" s="42">
        <v>4.3</v>
      </c>
      <c r="H18" s="42">
        <v>4.91</v>
      </c>
      <c r="I18" s="42">
        <v>0</v>
      </c>
      <c r="J18" s="46">
        <v>3.27</v>
      </c>
      <c r="L18" s="44" t="s">
        <v>1758</v>
      </c>
      <c r="M18" s="42">
        <v>2.83</v>
      </c>
      <c r="N18" s="42">
        <v>5.39</v>
      </c>
      <c r="O18" s="42">
        <v>5.18</v>
      </c>
      <c r="P18" s="42">
        <v>6.06</v>
      </c>
      <c r="Q18" s="42">
        <v>0</v>
      </c>
      <c r="R18" s="42">
        <v>3.72</v>
      </c>
      <c r="S18" s="42">
        <v>3.02</v>
      </c>
      <c r="T18" s="46">
        <v>4.45</v>
      </c>
      <c r="V18" s="44" t="s">
        <v>1758</v>
      </c>
      <c r="W18" s="42">
        <v>1.06</v>
      </c>
      <c r="X18" s="42">
        <v>4.28</v>
      </c>
      <c r="Y18" s="42">
        <v>4.12</v>
      </c>
      <c r="Z18" s="42">
        <v>4.29</v>
      </c>
      <c r="AA18" s="42">
        <v>3.59</v>
      </c>
      <c r="AB18" s="42">
        <v>3.15</v>
      </c>
      <c r="AC18" s="42">
        <v>1.66</v>
      </c>
      <c r="AD18" s="46">
        <v>1.27</v>
      </c>
      <c r="AF18" s="44" t="s">
        <v>1759</v>
      </c>
      <c r="AG18" s="42">
        <v>4.17</v>
      </c>
      <c r="AH18" s="42">
        <v>6.08</v>
      </c>
      <c r="AI18" s="42">
        <v>3.78</v>
      </c>
      <c r="AJ18" s="42">
        <v>0.02</v>
      </c>
      <c r="AK18" s="42">
        <v>5.45</v>
      </c>
      <c r="AL18" s="42">
        <v>1.85</v>
      </c>
      <c r="AM18" s="42">
        <v>3.72</v>
      </c>
      <c r="AN18" s="46">
        <v>3.14</v>
      </c>
      <c r="AP18" s="44" t="s">
        <v>1758</v>
      </c>
      <c r="AQ18" s="42">
        <v>2.21</v>
      </c>
      <c r="AR18" s="42">
        <v>0</v>
      </c>
      <c r="AS18" s="42">
        <v>2.59</v>
      </c>
      <c r="AT18" s="42">
        <v>3.56</v>
      </c>
      <c r="AU18" s="42">
        <v>1.37</v>
      </c>
      <c r="AV18" s="42">
        <v>1.37</v>
      </c>
      <c r="AW18" s="42">
        <v>1.17</v>
      </c>
      <c r="AX18" s="46">
        <v>0</v>
      </c>
      <c r="AZ18" s="44" t="s">
        <v>1760</v>
      </c>
      <c r="BA18" s="42">
        <v>0.53</v>
      </c>
      <c r="BB18" s="42">
        <v>4.8899999999999997</v>
      </c>
      <c r="BC18" s="42">
        <v>0.39</v>
      </c>
      <c r="BD18" s="42">
        <v>1.61</v>
      </c>
      <c r="BE18" s="42">
        <v>2.21</v>
      </c>
      <c r="BF18" s="42">
        <v>1.89</v>
      </c>
      <c r="BG18" s="42">
        <v>0.73</v>
      </c>
      <c r="BH18" s="46">
        <v>4.8899999999999997</v>
      </c>
      <c r="BJ18" s="44" t="s">
        <v>1760</v>
      </c>
      <c r="BK18" s="42">
        <v>12.69</v>
      </c>
      <c r="BL18" s="42">
        <v>1.37</v>
      </c>
      <c r="BM18" s="42">
        <v>0.2</v>
      </c>
      <c r="BN18" s="42">
        <v>1.89</v>
      </c>
      <c r="BO18" s="42">
        <v>1.37</v>
      </c>
      <c r="BP18" s="42">
        <v>2.21</v>
      </c>
      <c r="BQ18" s="42">
        <v>0.24</v>
      </c>
      <c r="BR18" s="46">
        <v>0.24</v>
      </c>
      <c r="BT18" s="44" t="s">
        <v>1758</v>
      </c>
      <c r="BU18" s="42">
        <v>0.73</v>
      </c>
      <c r="BV18" s="42">
        <v>0.45</v>
      </c>
      <c r="BW18" s="42">
        <v>0.15</v>
      </c>
      <c r="BX18" s="42">
        <v>1.17</v>
      </c>
      <c r="BY18" s="42">
        <v>1.89</v>
      </c>
      <c r="BZ18" s="42">
        <v>0.73</v>
      </c>
      <c r="CA18" s="42">
        <v>0.28000000000000003</v>
      </c>
      <c r="CB18" s="46">
        <v>2.21</v>
      </c>
    </row>
    <row r="19" spans="2:80">
      <c r="B19" s="44" t="s">
        <v>1759</v>
      </c>
      <c r="C19" s="42">
        <v>3</v>
      </c>
      <c r="D19" s="42">
        <v>4.3899999999999997</v>
      </c>
      <c r="E19" s="42">
        <v>5.34</v>
      </c>
      <c r="F19" s="42">
        <v>4.18</v>
      </c>
      <c r="G19" s="42">
        <v>4.34</v>
      </c>
      <c r="H19" s="42">
        <v>4.83</v>
      </c>
      <c r="I19" s="42">
        <v>1.78</v>
      </c>
      <c r="J19" s="46">
        <v>3.22</v>
      </c>
      <c r="L19" s="44" t="s">
        <v>1759</v>
      </c>
      <c r="M19" s="42">
        <v>2.88</v>
      </c>
      <c r="N19" s="42">
        <v>5.45</v>
      </c>
      <c r="O19" s="42">
        <v>5.19</v>
      </c>
      <c r="P19" s="42">
        <v>6.08</v>
      </c>
      <c r="Q19" s="42">
        <v>0</v>
      </c>
      <c r="R19" s="42">
        <v>3.73</v>
      </c>
      <c r="S19" s="42">
        <v>3.08</v>
      </c>
      <c r="T19" s="46">
        <v>3.4</v>
      </c>
      <c r="V19" s="44" t="s">
        <v>1761</v>
      </c>
      <c r="W19" s="42">
        <v>3.92</v>
      </c>
      <c r="X19" s="42">
        <v>4.26</v>
      </c>
      <c r="Y19" s="42">
        <v>4.22</v>
      </c>
      <c r="Z19" s="42">
        <v>4.32</v>
      </c>
      <c r="AA19" s="42">
        <v>0.45</v>
      </c>
      <c r="AB19" s="42">
        <v>3.13</v>
      </c>
      <c r="AC19" s="42">
        <v>1.62</v>
      </c>
      <c r="AD19" s="46">
        <v>1.3</v>
      </c>
      <c r="AF19" s="44" t="s">
        <v>1761</v>
      </c>
      <c r="AG19" s="42">
        <v>3.93</v>
      </c>
      <c r="AH19" s="42">
        <v>0</v>
      </c>
      <c r="AI19" s="42">
        <v>3.14</v>
      </c>
      <c r="AJ19" s="42">
        <v>2.76</v>
      </c>
      <c r="AK19" s="42">
        <v>5.4</v>
      </c>
      <c r="AL19" s="42">
        <v>1.84</v>
      </c>
      <c r="AM19" s="42">
        <v>3.75</v>
      </c>
      <c r="AN19" s="46">
        <v>0</v>
      </c>
      <c r="AP19" s="44" t="s">
        <v>1759</v>
      </c>
      <c r="AQ19" s="42">
        <v>2.59</v>
      </c>
      <c r="AR19" s="42">
        <v>1.17</v>
      </c>
      <c r="AS19" s="42">
        <v>2.59</v>
      </c>
      <c r="AT19" s="42">
        <v>3.56</v>
      </c>
      <c r="AU19" s="42">
        <v>1.37</v>
      </c>
      <c r="AV19" s="42">
        <v>1.17</v>
      </c>
      <c r="AW19" s="42">
        <v>1.17</v>
      </c>
      <c r="AX19" s="46">
        <v>0</v>
      </c>
      <c r="AZ19" s="44" t="s">
        <v>1761</v>
      </c>
      <c r="BA19" s="42">
        <v>0.53</v>
      </c>
      <c r="BB19" s="42">
        <v>4.18</v>
      </c>
      <c r="BC19" s="42">
        <v>0.39</v>
      </c>
      <c r="BD19" s="42">
        <v>1.61</v>
      </c>
      <c r="BE19" s="42">
        <v>2.21</v>
      </c>
      <c r="BF19" s="42">
        <v>1.89</v>
      </c>
      <c r="BG19" s="42">
        <v>0.73</v>
      </c>
      <c r="BH19" s="46">
        <v>1.17</v>
      </c>
      <c r="BJ19" s="44" t="s">
        <v>1761</v>
      </c>
      <c r="BK19" s="42">
        <v>14.87</v>
      </c>
      <c r="BL19" s="42">
        <v>1.37</v>
      </c>
      <c r="BM19" s="42">
        <v>0.2</v>
      </c>
      <c r="BN19" s="42">
        <v>3.56</v>
      </c>
      <c r="BO19" s="42">
        <v>1.89</v>
      </c>
      <c r="BP19" s="42">
        <v>2.59</v>
      </c>
      <c r="BQ19" s="42">
        <v>0.2</v>
      </c>
      <c r="BR19" s="46">
        <v>0.2</v>
      </c>
      <c r="BT19" s="44" t="s">
        <v>1759</v>
      </c>
      <c r="BU19" s="42">
        <v>0.85</v>
      </c>
      <c r="BV19" s="42">
        <v>6.72</v>
      </c>
      <c r="BW19" s="42">
        <v>0.11</v>
      </c>
      <c r="BX19" s="42">
        <v>2.21</v>
      </c>
      <c r="BY19" s="42">
        <v>0</v>
      </c>
      <c r="BZ19" s="42">
        <v>0.33</v>
      </c>
      <c r="CA19" s="42">
        <v>0.33</v>
      </c>
      <c r="CB19" s="46">
        <v>3.04</v>
      </c>
    </row>
    <row r="20" spans="2:80">
      <c r="B20" s="44" t="s">
        <v>1759</v>
      </c>
      <c r="C20" s="42">
        <v>3.02</v>
      </c>
      <c r="D20" s="42">
        <v>4.3899999999999997</v>
      </c>
      <c r="E20" s="42">
        <v>5.32</v>
      </c>
      <c r="F20" s="42">
        <v>5.65</v>
      </c>
      <c r="G20" s="42">
        <v>4.33</v>
      </c>
      <c r="H20" s="42">
        <v>2.6</v>
      </c>
      <c r="I20" s="42">
        <v>1.75</v>
      </c>
      <c r="J20" s="46">
        <v>2.2799999999999998</v>
      </c>
      <c r="L20" s="44" t="s">
        <v>1759</v>
      </c>
      <c r="M20" s="42">
        <v>2.84</v>
      </c>
      <c r="N20" s="42">
        <v>2.77</v>
      </c>
      <c r="O20" s="42">
        <v>2.0099999999999998</v>
      </c>
      <c r="P20" s="42">
        <v>6.09</v>
      </c>
      <c r="Q20" s="42">
        <v>0</v>
      </c>
      <c r="R20" s="42">
        <v>3.75</v>
      </c>
      <c r="S20" s="42">
        <v>3.05</v>
      </c>
      <c r="T20" s="46">
        <v>4.08</v>
      </c>
      <c r="V20" s="44" t="s">
        <v>1761</v>
      </c>
      <c r="W20" s="42">
        <v>3.92</v>
      </c>
      <c r="X20" s="42">
        <v>4.26</v>
      </c>
      <c r="Y20" s="42">
        <v>4.18</v>
      </c>
      <c r="Z20" s="42">
        <v>4.32</v>
      </c>
      <c r="AA20" s="42">
        <v>3.62</v>
      </c>
      <c r="AB20" s="42">
        <v>3.09</v>
      </c>
      <c r="AC20" s="42">
        <v>1.63</v>
      </c>
      <c r="AD20" s="46">
        <v>1.24</v>
      </c>
      <c r="AF20" s="44" t="s">
        <v>1761</v>
      </c>
      <c r="AG20" s="42">
        <v>4.16</v>
      </c>
      <c r="AH20" s="42">
        <v>6.12</v>
      </c>
      <c r="AI20" s="42">
        <v>3.78</v>
      </c>
      <c r="AJ20" s="42">
        <v>5.16</v>
      </c>
      <c r="AK20" s="42">
        <v>5.45</v>
      </c>
      <c r="AL20" s="42">
        <v>1.83</v>
      </c>
      <c r="AM20" s="42">
        <v>3.74</v>
      </c>
      <c r="AN20" s="46">
        <v>3.04</v>
      </c>
      <c r="AP20" s="44" t="s">
        <v>1759</v>
      </c>
      <c r="AQ20" s="42">
        <v>2.59</v>
      </c>
      <c r="AR20" s="42">
        <v>1.17</v>
      </c>
      <c r="AS20" s="42">
        <v>2.59</v>
      </c>
      <c r="AT20" s="42">
        <v>2.59</v>
      </c>
      <c r="AU20" s="42">
        <v>1.37</v>
      </c>
      <c r="AV20" s="42">
        <v>1.37</v>
      </c>
      <c r="AW20" s="42">
        <v>1.37</v>
      </c>
      <c r="AX20" s="46">
        <v>0</v>
      </c>
      <c r="AZ20" s="44" t="s">
        <v>1761</v>
      </c>
      <c r="BA20" s="42">
        <v>0.53</v>
      </c>
      <c r="BB20" s="42">
        <v>4.18</v>
      </c>
      <c r="BC20" s="42">
        <v>0.15</v>
      </c>
      <c r="BD20" s="42">
        <v>1.61</v>
      </c>
      <c r="BE20" s="42">
        <v>2.59</v>
      </c>
      <c r="BF20" s="42">
        <v>1.89</v>
      </c>
      <c r="BG20" s="42">
        <v>0.73</v>
      </c>
      <c r="BH20" s="46">
        <v>1.17</v>
      </c>
      <c r="BJ20" s="44" t="s">
        <v>1761</v>
      </c>
      <c r="BK20" s="42">
        <v>12.69</v>
      </c>
      <c r="BL20" s="42">
        <v>1.37</v>
      </c>
      <c r="BM20" s="42">
        <v>1.89</v>
      </c>
      <c r="BN20" s="42">
        <v>3.56</v>
      </c>
      <c r="BO20" s="42">
        <v>1.89</v>
      </c>
      <c r="BP20" s="42">
        <v>2.21</v>
      </c>
      <c r="BQ20" s="42">
        <v>0.24</v>
      </c>
      <c r="BR20" s="46">
        <v>0.2</v>
      </c>
      <c r="BT20" s="44" t="s">
        <v>1759</v>
      </c>
      <c r="BU20" s="42">
        <v>0.73</v>
      </c>
      <c r="BV20" s="42">
        <v>0.45</v>
      </c>
      <c r="BW20" s="42">
        <v>0.13</v>
      </c>
      <c r="BX20" s="42">
        <v>1.17</v>
      </c>
      <c r="BY20" s="42">
        <v>2.21</v>
      </c>
      <c r="BZ20" s="42">
        <v>0.62</v>
      </c>
      <c r="CA20" s="42">
        <v>0.28000000000000003</v>
      </c>
      <c r="CB20" s="46">
        <v>1.89</v>
      </c>
    </row>
    <row r="21" spans="2:80">
      <c r="B21" s="44" t="s">
        <v>1759</v>
      </c>
      <c r="C21" s="42">
        <v>2.98</v>
      </c>
      <c r="D21" s="42">
        <v>4.3899999999999997</v>
      </c>
      <c r="E21" s="42">
        <v>5.29</v>
      </c>
      <c r="F21" s="42">
        <v>5.63</v>
      </c>
      <c r="G21" s="42">
        <v>4.34</v>
      </c>
      <c r="H21" s="42">
        <v>4.84</v>
      </c>
      <c r="I21" s="42">
        <v>1.75</v>
      </c>
      <c r="J21" s="46">
        <v>2.2200000000000002</v>
      </c>
      <c r="L21" s="44" t="s">
        <v>1759</v>
      </c>
      <c r="M21" s="42">
        <v>2.87</v>
      </c>
      <c r="N21" s="42">
        <v>5.48</v>
      </c>
      <c r="O21" s="42">
        <v>5.15</v>
      </c>
      <c r="P21" s="42">
        <v>6.09</v>
      </c>
      <c r="Q21" s="42">
        <v>0</v>
      </c>
      <c r="R21" s="42">
        <v>3.71</v>
      </c>
      <c r="S21" s="42">
        <v>0.01</v>
      </c>
      <c r="T21" s="46">
        <v>3.48</v>
      </c>
      <c r="V21" s="44" t="s">
        <v>1761</v>
      </c>
      <c r="W21" s="42">
        <v>3.91</v>
      </c>
      <c r="X21" s="42">
        <v>4.26</v>
      </c>
      <c r="Y21" s="42">
        <v>1.29</v>
      </c>
      <c r="Z21" s="42">
        <v>0</v>
      </c>
      <c r="AA21" s="42">
        <v>3.61</v>
      </c>
      <c r="AB21" s="42">
        <v>3.15</v>
      </c>
      <c r="AC21" s="42">
        <v>1.62</v>
      </c>
      <c r="AD21" s="46">
        <v>1.29</v>
      </c>
      <c r="AF21" s="44" t="s">
        <v>1761</v>
      </c>
      <c r="AG21" s="42">
        <v>4.16</v>
      </c>
      <c r="AH21" s="42">
        <v>6.12</v>
      </c>
      <c r="AI21" s="42">
        <v>3.76</v>
      </c>
      <c r="AJ21" s="42">
        <v>5.14</v>
      </c>
      <c r="AK21" s="42">
        <v>5.42</v>
      </c>
      <c r="AL21" s="42">
        <v>1.86</v>
      </c>
      <c r="AM21" s="42">
        <v>3.79</v>
      </c>
      <c r="AN21" s="46">
        <v>3.14</v>
      </c>
      <c r="AP21" s="44" t="s">
        <v>1759</v>
      </c>
      <c r="AQ21" s="42">
        <v>2.21</v>
      </c>
      <c r="AR21" s="42">
        <v>1.17</v>
      </c>
      <c r="AS21" s="42">
        <v>2.59</v>
      </c>
      <c r="AT21" s="42">
        <v>3.04</v>
      </c>
      <c r="AU21" s="42">
        <v>1.37</v>
      </c>
      <c r="AV21" s="42">
        <v>1.17</v>
      </c>
      <c r="AW21" s="42">
        <v>0.33</v>
      </c>
      <c r="AX21" s="46">
        <v>0</v>
      </c>
      <c r="AZ21" s="44" t="s">
        <v>1761</v>
      </c>
      <c r="BA21" s="42">
        <v>0.62</v>
      </c>
      <c r="BB21" s="42">
        <v>4.18</v>
      </c>
      <c r="BC21" s="42">
        <v>0.33</v>
      </c>
      <c r="BD21" s="42">
        <v>1.61</v>
      </c>
      <c r="BE21" s="42">
        <v>2.59</v>
      </c>
      <c r="BF21" s="42">
        <v>1.89</v>
      </c>
      <c r="BG21" s="42">
        <v>0.62</v>
      </c>
      <c r="BH21" s="46">
        <v>1.37</v>
      </c>
      <c r="BJ21" s="44" t="s">
        <v>1761</v>
      </c>
      <c r="BK21" s="42">
        <v>12.69</v>
      </c>
      <c r="BL21" s="42">
        <v>1.61</v>
      </c>
      <c r="BM21" s="42">
        <v>1.89</v>
      </c>
      <c r="BN21" s="42">
        <v>3.56</v>
      </c>
      <c r="BO21" s="42">
        <v>1.61</v>
      </c>
      <c r="BP21" s="42">
        <v>3.56</v>
      </c>
      <c r="BQ21" s="42">
        <v>0.2</v>
      </c>
      <c r="BR21" s="46">
        <v>0.2</v>
      </c>
      <c r="BT21" s="44" t="s">
        <v>1759</v>
      </c>
      <c r="BU21" s="42">
        <v>0.73</v>
      </c>
      <c r="BV21" s="42">
        <v>0.39</v>
      </c>
      <c r="BW21" s="42">
        <v>0.15</v>
      </c>
      <c r="BX21" s="42">
        <v>1.17</v>
      </c>
      <c r="BY21" s="42">
        <v>2.21</v>
      </c>
      <c r="BZ21" s="42">
        <v>0.33</v>
      </c>
      <c r="CA21" s="42">
        <v>0.33</v>
      </c>
      <c r="CB21" s="46">
        <v>2.21</v>
      </c>
    </row>
    <row r="22" spans="2:80">
      <c r="B22" s="44" t="s">
        <v>1759</v>
      </c>
      <c r="C22" s="42">
        <v>3.01</v>
      </c>
      <c r="D22" s="42">
        <v>4.3499999999999996</v>
      </c>
      <c r="E22" s="42">
        <v>5.32</v>
      </c>
      <c r="F22" s="42">
        <v>5.63</v>
      </c>
      <c r="G22" s="42">
        <v>4.3600000000000003</v>
      </c>
      <c r="H22" s="42">
        <v>4.8499999999999996</v>
      </c>
      <c r="I22" s="42">
        <v>1.75</v>
      </c>
      <c r="J22" s="46">
        <v>2.69</v>
      </c>
      <c r="L22" s="44" t="s">
        <v>1759</v>
      </c>
      <c r="M22" s="42">
        <v>2.86</v>
      </c>
      <c r="N22" s="42">
        <v>5.46</v>
      </c>
      <c r="O22" s="42">
        <v>5.18</v>
      </c>
      <c r="P22" s="42">
        <v>6.08</v>
      </c>
      <c r="Q22" s="42">
        <v>5.16</v>
      </c>
      <c r="R22" s="42">
        <v>3.72</v>
      </c>
      <c r="S22" s="42">
        <v>3.09</v>
      </c>
      <c r="T22" s="46">
        <v>3.39</v>
      </c>
      <c r="V22" s="44" t="s">
        <v>1761</v>
      </c>
      <c r="W22" s="42">
        <v>3.94</v>
      </c>
      <c r="X22" s="42">
        <v>4.25</v>
      </c>
      <c r="Y22" s="42">
        <v>4.22</v>
      </c>
      <c r="Z22" s="42">
        <v>0</v>
      </c>
      <c r="AA22" s="42">
        <v>3.6</v>
      </c>
      <c r="AB22" s="42">
        <v>3.11</v>
      </c>
      <c r="AC22" s="42">
        <v>1.63</v>
      </c>
      <c r="AD22" s="46">
        <v>1.29</v>
      </c>
      <c r="AF22" s="44" t="s">
        <v>1761</v>
      </c>
      <c r="AG22" s="42">
        <v>4.1500000000000004</v>
      </c>
      <c r="AH22" s="42">
        <v>6.08</v>
      </c>
      <c r="AI22" s="42">
        <v>3.76</v>
      </c>
      <c r="AJ22" s="42">
        <v>5.22</v>
      </c>
      <c r="AK22" s="42">
        <v>5.05</v>
      </c>
      <c r="AL22" s="42">
        <v>1.89</v>
      </c>
      <c r="AM22" s="42">
        <v>3.74</v>
      </c>
      <c r="AN22" s="46">
        <v>3.02</v>
      </c>
      <c r="AP22" s="44" t="s">
        <v>1759</v>
      </c>
      <c r="AQ22" s="42">
        <v>2.21</v>
      </c>
      <c r="AR22" s="42">
        <v>0</v>
      </c>
      <c r="AS22" s="42">
        <v>2.59</v>
      </c>
      <c r="AT22" s="42">
        <v>3.56</v>
      </c>
      <c r="AU22" s="42">
        <v>1.37</v>
      </c>
      <c r="AV22" s="42">
        <v>1.37</v>
      </c>
      <c r="AW22" s="42">
        <v>1.17</v>
      </c>
      <c r="AX22" s="46">
        <v>0</v>
      </c>
      <c r="AZ22" s="44" t="s">
        <v>1761</v>
      </c>
      <c r="BA22" s="42">
        <v>0.45</v>
      </c>
      <c r="BB22" s="42">
        <v>0.45</v>
      </c>
      <c r="BC22" s="42">
        <v>0.17</v>
      </c>
      <c r="BD22" s="42">
        <v>4.18</v>
      </c>
      <c r="BE22" s="42">
        <v>17.43</v>
      </c>
      <c r="BF22" s="42">
        <v>1.89</v>
      </c>
      <c r="BG22" s="42">
        <v>0.62</v>
      </c>
      <c r="BH22" s="46">
        <v>4.18</v>
      </c>
      <c r="BJ22" s="44" t="s">
        <v>1761</v>
      </c>
      <c r="BK22" s="42">
        <v>12.69</v>
      </c>
      <c r="BL22" s="42">
        <v>1.37</v>
      </c>
      <c r="BM22" s="42">
        <v>1.61</v>
      </c>
      <c r="BN22" s="42">
        <v>4.18</v>
      </c>
      <c r="BO22" s="42">
        <v>1.89</v>
      </c>
      <c r="BP22" s="42">
        <v>2.21</v>
      </c>
      <c r="BQ22" s="42">
        <v>0.17</v>
      </c>
      <c r="BR22" s="46">
        <v>0.2</v>
      </c>
      <c r="BT22" s="44" t="s">
        <v>1759</v>
      </c>
      <c r="BU22" s="42">
        <v>0</v>
      </c>
      <c r="BV22" s="42">
        <v>0.45</v>
      </c>
      <c r="BW22" s="42">
        <v>0.15</v>
      </c>
      <c r="BX22" s="42">
        <v>2.59</v>
      </c>
      <c r="BY22" s="42">
        <v>2.21</v>
      </c>
      <c r="BZ22" s="42">
        <v>0.62</v>
      </c>
      <c r="CA22" s="42">
        <v>0.28000000000000003</v>
      </c>
      <c r="CB22" s="46">
        <v>1.89</v>
      </c>
    </row>
    <row r="23" spans="2:80">
      <c r="B23" s="44" t="s">
        <v>1759</v>
      </c>
      <c r="C23" s="42">
        <v>3</v>
      </c>
      <c r="D23" s="42">
        <v>4.3600000000000003</v>
      </c>
      <c r="E23" s="42">
        <v>5.32</v>
      </c>
      <c r="F23" s="42">
        <v>0.1</v>
      </c>
      <c r="G23" s="42">
        <v>4.3499999999999996</v>
      </c>
      <c r="H23" s="42">
        <v>4.8899999999999997</v>
      </c>
      <c r="I23" s="42">
        <v>1.78</v>
      </c>
      <c r="J23" s="46">
        <v>2.2799999999999998</v>
      </c>
      <c r="L23" s="44" t="s">
        <v>1759</v>
      </c>
      <c r="M23" s="42">
        <v>2.85</v>
      </c>
      <c r="N23" s="42">
        <v>5.45</v>
      </c>
      <c r="O23" s="42">
        <v>5.15</v>
      </c>
      <c r="P23" s="42">
        <v>6.06</v>
      </c>
      <c r="Q23" s="42">
        <v>5.16</v>
      </c>
      <c r="R23" s="42">
        <v>3.72</v>
      </c>
      <c r="S23" s="42">
        <v>3.06</v>
      </c>
      <c r="T23" s="46">
        <v>3.48</v>
      </c>
      <c r="V23" s="44" t="s">
        <v>1761</v>
      </c>
      <c r="W23" s="42">
        <v>3.92</v>
      </c>
      <c r="X23" s="42">
        <v>4.28</v>
      </c>
      <c r="Y23" s="42">
        <v>4.13</v>
      </c>
      <c r="Z23" s="42">
        <v>0.99</v>
      </c>
      <c r="AA23" s="42">
        <v>1.8</v>
      </c>
      <c r="AB23" s="42">
        <v>3.08</v>
      </c>
      <c r="AC23" s="42">
        <v>1.62</v>
      </c>
      <c r="AD23" s="46">
        <v>1.25</v>
      </c>
      <c r="AF23" s="44" t="s">
        <v>1761</v>
      </c>
      <c r="AG23" s="42">
        <v>4.1399999999999997</v>
      </c>
      <c r="AH23" s="42">
        <v>6.06</v>
      </c>
      <c r="AI23" s="42">
        <v>3.76</v>
      </c>
      <c r="AJ23" s="42">
        <v>6.26</v>
      </c>
      <c r="AK23" s="42">
        <v>5.45</v>
      </c>
      <c r="AL23" s="42">
        <v>1.85</v>
      </c>
      <c r="AM23" s="42">
        <v>3.75</v>
      </c>
      <c r="AN23" s="46">
        <v>3.04</v>
      </c>
      <c r="AP23" s="44" t="s">
        <v>1759</v>
      </c>
      <c r="AQ23" s="42">
        <v>2.21</v>
      </c>
      <c r="AR23" s="42">
        <v>1.17</v>
      </c>
      <c r="AS23" s="42">
        <v>2.59</v>
      </c>
      <c r="AT23" s="42">
        <v>3.56</v>
      </c>
      <c r="AU23" s="42">
        <v>1.61</v>
      </c>
      <c r="AV23" s="42">
        <v>1.37</v>
      </c>
      <c r="AW23" s="42">
        <v>1.17</v>
      </c>
      <c r="AX23" s="46">
        <v>0</v>
      </c>
      <c r="AZ23" s="44" t="s">
        <v>1761</v>
      </c>
      <c r="BA23" s="42">
        <v>0.45</v>
      </c>
      <c r="BB23" s="42">
        <v>4.8899999999999997</v>
      </c>
      <c r="BC23" s="42">
        <v>0.39</v>
      </c>
      <c r="BD23" s="42">
        <v>1.61</v>
      </c>
      <c r="BE23" s="42">
        <v>2.59</v>
      </c>
      <c r="BF23" s="42">
        <v>1.89</v>
      </c>
      <c r="BG23" s="42">
        <v>0.62</v>
      </c>
      <c r="BH23" s="46">
        <v>1.17</v>
      </c>
      <c r="BJ23" s="44" t="s">
        <v>1761</v>
      </c>
      <c r="BK23" s="42">
        <v>12.69</v>
      </c>
      <c r="BL23" s="42">
        <v>1.61</v>
      </c>
      <c r="BM23" s="42">
        <v>1.61</v>
      </c>
      <c r="BN23" s="42">
        <v>3.56</v>
      </c>
      <c r="BO23" s="42">
        <v>1.89</v>
      </c>
      <c r="BP23" s="42">
        <v>2.21</v>
      </c>
      <c r="BQ23" s="42">
        <v>0.28000000000000003</v>
      </c>
      <c r="BR23" s="46">
        <v>0.24</v>
      </c>
      <c r="BT23" s="44" t="s">
        <v>1759</v>
      </c>
      <c r="BU23" s="42">
        <v>0.85</v>
      </c>
      <c r="BV23" s="42">
        <v>1.17</v>
      </c>
      <c r="BW23" s="42">
        <v>0.11</v>
      </c>
      <c r="BX23" s="42">
        <v>2.21</v>
      </c>
      <c r="BY23" s="42">
        <v>1.89</v>
      </c>
      <c r="BZ23" s="42">
        <v>0.85</v>
      </c>
      <c r="CA23" s="42">
        <v>0.33</v>
      </c>
      <c r="CB23" s="46">
        <v>2.21</v>
      </c>
    </row>
    <row r="24" spans="2:80">
      <c r="B24" s="44" t="s">
        <v>1760</v>
      </c>
      <c r="C24" s="42">
        <v>2.98</v>
      </c>
      <c r="D24" s="42">
        <v>4.3600000000000003</v>
      </c>
      <c r="E24" s="42">
        <v>5.31</v>
      </c>
      <c r="F24" s="42">
        <v>5.64</v>
      </c>
      <c r="G24" s="42">
        <v>4.3499999999999996</v>
      </c>
      <c r="H24" s="42">
        <v>4.8499999999999996</v>
      </c>
      <c r="I24" s="42">
        <v>1.78</v>
      </c>
      <c r="J24" s="46">
        <v>2.2799999999999998</v>
      </c>
      <c r="L24" s="44" t="s">
        <v>1762</v>
      </c>
      <c r="M24" s="42">
        <v>2.1</v>
      </c>
      <c r="N24" s="42">
        <v>5.49</v>
      </c>
      <c r="O24" s="42">
        <v>5.15</v>
      </c>
      <c r="P24" s="42">
        <v>6.05</v>
      </c>
      <c r="Q24" s="42">
        <v>0</v>
      </c>
      <c r="R24" s="42">
        <v>0.68</v>
      </c>
      <c r="S24" s="42">
        <v>3.05</v>
      </c>
      <c r="T24" s="46">
        <v>3.44</v>
      </c>
      <c r="V24" s="44" t="s">
        <v>1762</v>
      </c>
      <c r="W24" s="42">
        <v>3.93</v>
      </c>
      <c r="X24" s="42">
        <v>0.96</v>
      </c>
      <c r="Y24" s="42">
        <v>4.1399999999999997</v>
      </c>
      <c r="Z24" s="42">
        <v>4.28</v>
      </c>
      <c r="AA24" s="42">
        <v>3.6</v>
      </c>
      <c r="AB24" s="42">
        <v>3.11</v>
      </c>
      <c r="AC24" s="42">
        <v>1.65</v>
      </c>
      <c r="AD24" s="46">
        <v>1.29</v>
      </c>
      <c r="AF24" s="44" t="s">
        <v>1762</v>
      </c>
      <c r="AG24" s="42">
        <v>4.1399999999999997</v>
      </c>
      <c r="AH24" s="42">
        <v>6.12</v>
      </c>
      <c r="AI24" s="42">
        <v>3.77</v>
      </c>
      <c r="AJ24" s="42">
        <v>5.14</v>
      </c>
      <c r="AK24" s="42">
        <v>5.47</v>
      </c>
      <c r="AL24" s="42">
        <v>1.87</v>
      </c>
      <c r="AM24" s="42">
        <v>3.79</v>
      </c>
      <c r="AN24" s="46">
        <v>0</v>
      </c>
      <c r="AP24" s="44" t="s">
        <v>1760</v>
      </c>
      <c r="AQ24" s="42">
        <v>2.59</v>
      </c>
      <c r="AR24" s="42">
        <v>1.17</v>
      </c>
      <c r="AS24" s="42">
        <v>2.59</v>
      </c>
      <c r="AT24" s="42">
        <v>3.04</v>
      </c>
      <c r="AU24" s="42">
        <v>1.37</v>
      </c>
      <c r="AV24" s="42">
        <v>1.37</v>
      </c>
      <c r="AW24" s="42">
        <v>1.17</v>
      </c>
      <c r="AX24" s="46">
        <v>0</v>
      </c>
      <c r="AZ24" s="44" t="s">
        <v>1762</v>
      </c>
      <c r="BA24" s="42">
        <v>0.53</v>
      </c>
      <c r="BB24" s="42">
        <v>4.18</v>
      </c>
      <c r="BC24" s="42">
        <v>0.33</v>
      </c>
      <c r="BD24" s="42">
        <v>1.61</v>
      </c>
      <c r="BE24" s="42">
        <v>2.59</v>
      </c>
      <c r="BF24" s="42">
        <v>7.88</v>
      </c>
      <c r="BG24" s="42">
        <v>0.73</v>
      </c>
      <c r="BH24" s="46">
        <v>1.17</v>
      </c>
      <c r="BJ24" s="44" t="s">
        <v>1762</v>
      </c>
      <c r="BK24" s="42">
        <v>10.83</v>
      </c>
      <c r="BL24" s="42">
        <v>1.37</v>
      </c>
      <c r="BM24" s="42">
        <v>1.61</v>
      </c>
      <c r="BN24" s="42">
        <v>3.56</v>
      </c>
      <c r="BO24" s="42">
        <v>1.61</v>
      </c>
      <c r="BP24" s="42">
        <v>3.56</v>
      </c>
      <c r="BQ24" s="42">
        <v>0.24</v>
      </c>
      <c r="BR24" s="46">
        <v>0.85</v>
      </c>
      <c r="BT24" s="44" t="s">
        <v>1760</v>
      </c>
      <c r="BU24" s="42">
        <v>0.73</v>
      </c>
      <c r="BV24" s="42">
        <v>0.45</v>
      </c>
      <c r="BW24" s="42">
        <v>0.15</v>
      </c>
      <c r="BX24" s="42">
        <v>1.17</v>
      </c>
      <c r="BY24" s="42">
        <v>0</v>
      </c>
      <c r="BZ24" s="42">
        <v>0.73</v>
      </c>
      <c r="CA24" s="42">
        <v>0.28000000000000003</v>
      </c>
      <c r="CB24" s="46">
        <v>1.89</v>
      </c>
    </row>
    <row r="25" spans="2:80">
      <c r="B25" s="44" t="s">
        <v>1760</v>
      </c>
      <c r="C25" s="42">
        <v>2.95</v>
      </c>
      <c r="D25" s="42">
        <v>4.41</v>
      </c>
      <c r="E25" s="42">
        <v>5.32</v>
      </c>
      <c r="F25" s="42">
        <v>5.62</v>
      </c>
      <c r="G25" s="42">
        <v>4.33</v>
      </c>
      <c r="H25" s="42">
        <v>4.88</v>
      </c>
      <c r="I25" s="42">
        <v>1.75</v>
      </c>
      <c r="J25" s="46">
        <v>2.68</v>
      </c>
      <c r="L25" s="44" t="s">
        <v>1762</v>
      </c>
      <c r="M25" s="42">
        <v>2.85</v>
      </c>
      <c r="N25" s="42">
        <v>5.5</v>
      </c>
      <c r="O25" s="42">
        <v>5.21</v>
      </c>
      <c r="P25" s="42">
        <v>6.11</v>
      </c>
      <c r="Q25" s="42">
        <v>0</v>
      </c>
      <c r="R25" s="42">
        <v>3.74</v>
      </c>
      <c r="S25" s="42">
        <v>3.05</v>
      </c>
      <c r="T25" s="46">
        <v>3.47</v>
      </c>
      <c r="V25" s="44" t="s">
        <v>1762</v>
      </c>
      <c r="W25" s="42">
        <v>3.9</v>
      </c>
      <c r="X25" s="42">
        <v>4.29</v>
      </c>
      <c r="Y25" s="42">
        <v>4.1500000000000004</v>
      </c>
      <c r="Z25" s="42">
        <v>4.3</v>
      </c>
      <c r="AA25" s="42">
        <v>3.66</v>
      </c>
      <c r="AB25" s="42">
        <v>3.14</v>
      </c>
      <c r="AC25" s="42">
        <v>1.64</v>
      </c>
      <c r="AD25" s="46">
        <v>1.22</v>
      </c>
      <c r="AF25" s="44" t="s">
        <v>1762</v>
      </c>
      <c r="AG25" s="42">
        <v>4.1500000000000004</v>
      </c>
      <c r="AH25" s="42">
        <v>6.13</v>
      </c>
      <c r="AI25" s="42">
        <v>3.8</v>
      </c>
      <c r="AJ25" s="42">
        <v>5.18</v>
      </c>
      <c r="AK25" s="42">
        <v>4.78</v>
      </c>
      <c r="AL25" s="42">
        <v>1.83</v>
      </c>
      <c r="AM25" s="42">
        <v>3.81</v>
      </c>
      <c r="AN25" s="46">
        <v>3.17</v>
      </c>
      <c r="AP25" s="44" t="s">
        <v>1760</v>
      </c>
      <c r="AQ25" s="42">
        <v>2.21</v>
      </c>
      <c r="AR25" s="42">
        <v>1.17</v>
      </c>
      <c r="AS25" s="42">
        <v>2.21</v>
      </c>
      <c r="AT25" s="42">
        <v>3.56</v>
      </c>
      <c r="AU25" s="42">
        <v>1.37</v>
      </c>
      <c r="AV25" s="42">
        <v>1.17</v>
      </c>
      <c r="AW25" s="42">
        <v>1.17</v>
      </c>
      <c r="AX25" s="46">
        <v>3.04</v>
      </c>
      <c r="AZ25" s="44" t="s">
        <v>1762</v>
      </c>
      <c r="BA25" s="42">
        <v>0.62</v>
      </c>
      <c r="BB25" s="42">
        <v>3.56</v>
      </c>
      <c r="BC25" s="42">
        <v>0.33</v>
      </c>
      <c r="BD25" s="42">
        <v>3.56</v>
      </c>
      <c r="BE25" s="42">
        <v>2.59</v>
      </c>
      <c r="BF25" s="42">
        <v>1.89</v>
      </c>
      <c r="BG25" s="42">
        <v>0.62</v>
      </c>
      <c r="BH25" s="46">
        <v>4.18</v>
      </c>
      <c r="BJ25" s="44" t="s">
        <v>1762</v>
      </c>
      <c r="BK25" s="42">
        <v>12.69</v>
      </c>
      <c r="BL25" s="42">
        <v>1.37</v>
      </c>
      <c r="BM25" s="42">
        <v>1.61</v>
      </c>
      <c r="BN25" s="42">
        <v>3.56</v>
      </c>
      <c r="BO25" s="42">
        <v>1.89</v>
      </c>
      <c r="BP25" s="42">
        <v>0.85</v>
      </c>
      <c r="BQ25" s="42">
        <v>0.2</v>
      </c>
      <c r="BR25" s="46">
        <v>0.45</v>
      </c>
      <c r="BT25" s="44" t="s">
        <v>1760</v>
      </c>
      <c r="BU25" s="42">
        <v>0.85</v>
      </c>
      <c r="BV25" s="42">
        <v>0.45</v>
      </c>
      <c r="BW25" s="42">
        <v>0.15</v>
      </c>
      <c r="BX25" s="42">
        <v>1.17</v>
      </c>
      <c r="BY25" s="42">
        <v>1.89</v>
      </c>
      <c r="BZ25" s="42">
        <v>0.73</v>
      </c>
      <c r="CA25" s="42">
        <v>0.28000000000000003</v>
      </c>
      <c r="CB25" s="46">
        <v>1.89</v>
      </c>
    </row>
    <row r="26" spans="2:80">
      <c r="B26" s="44" t="s">
        <v>1760</v>
      </c>
      <c r="C26" s="42">
        <v>3.02</v>
      </c>
      <c r="D26" s="42">
        <v>4.3600000000000003</v>
      </c>
      <c r="E26" s="42">
        <v>5.29</v>
      </c>
      <c r="F26" s="42">
        <v>5.64</v>
      </c>
      <c r="G26" s="42">
        <v>4.32</v>
      </c>
      <c r="H26" s="42">
        <v>4.8499999999999996</v>
      </c>
      <c r="I26" s="42">
        <v>1.75</v>
      </c>
      <c r="J26" s="46">
        <v>2.58</v>
      </c>
      <c r="L26" s="44" t="s">
        <v>1762</v>
      </c>
      <c r="M26" s="42">
        <v>2.85</v>
      </c>
      <c r="N26" s="42">
        <v>5.45</v>
      </c>
      <c r="O26" s="42">
        <v>1.69</v>
      </c>
      <c r="P26" s="42">
        <v>6.08</v>
      </c>
      <c r="Q26" s="42">
        <v>0</v>
      </c>
      <c r="R26" s="42">
        <v>3.76</v>
      </c>
      <c r="S26" s="42">
        <v>3.06</v>
      </c>
      <c r="T26" s="46">
        <v>0</v>
      </c>
      <c r="V26" s="44" t="s">
        <v>1762</v>
      </c>
      <c r="W26" s="42">
        <v>3.89</v>
      </c>
      <c r="X26" s="42">
        <v>4.26</v>
      </c>
      <c r="Y26" s="42">
        <v>4.17</v>
      </c>
      <c r="Z26" s="42">
        <v>4.29</v>
      </c>
      <c r="AA26" s="42">
        <v>3.57</v>
      </c>
      <c r="AB26" s="42">
        <v>3.12</v>
      </c>
      <c r="AC26" s="42">
        <v>1.6</v>
      </c>
      <c r="AD26" s="46">
        <v>1.22</v>
      </c>
      <c r="AF26" s="44" t="s">
        <v>1762</v>
      </c>
      <c r="AG26" s="42">
        <v>4.17</v>
      </c>
      <c r="AH26" s="42">
        <v>6.08</v>
      </c>
      <c r="AI26" s="42">
        <v>3.77</v>
      </c>
      <c r="AJ26" s="42">
        <v>5.15</v>
      </c>
      <c r="AK26" s="42">
        <v>4.8499999999999996</v>
      </c>
      <c r="AL26" s="42">
        <v>1.86</v>
      </c>
      <c r="AM26" s="42">
        <v>3.76</v>
      </c>
      <c r="AN26" s="46">
        <v>0</v>
      </c>
      <c r="AP26" s="44" t="s">
        <v>1760</v>
      </c>
      <c r="AQ26" s="42">
        <v>2.59</v>
      </c>
      <c r="AR26" s="42">
        <v>0.85</v>
      </c>
      <c r="AS26" s="42">
        <v>2.59</v>
      </c>
      <c r="AT26" s="42">
        <v>3.04</v>
      </c>
      <c r="AU26" s="42">
        <v>1.61</v>
      </c>
      <c r="AV26" s="42">
        <v>1.17</v>
      </c>
      <c r="AW26" s="42">
        <v>1.17</v>
      </c>
      <c r="AX26" s="46">
        <v>0</v>
      </c>
      <c r="AZ26" s="44" t="s">
        <v>1762</v>
      </c>
      <c r="BA26" s="42">
        <v>0.53</v>
      </c>
      <c r="BB26" s="42">
        <v>4.18</v>
      </c>
      <c r="BC26" s="42">
        <v>0.39</v>
      </c>
      <c r="BD26" s="42">
        <v>3.56</v>
      </c>
      <c r="BE26" s="42">
        <v>2.21</v>
      </c>
      <c r="BF26" s="42">
        <v>1.61</v>
      </c>
      <c r="BG26" s="42">
        <v>0.62</v>
      </c>
      <c r="BH26" s="46">
        <v>1.37</v>
      </c>
      <c r="BJ26" s="44" t="s">
        <v>1762</v>
      </c>
      <c r="BK26" s="42">
        <v>12.69</v>
      </c>
      <c r="BL26" s="42">
        <v>0.85</v>
      </c>
      <c r="BM26" s="42">
        <v>0.2</v>
      </c>
      <c r="BN26" s="42">
        <v>1.89</v>
      </c>
      <c r="BO26" s="42">
        <v>1.37</v>
      </c>
      <c r="BP26" s="42">
        <v>4.18</v>
      </c>
      <c r="BQ26" s="42">
        <v>0.2</v>
      </c>
      <c r="BR26" s="46">
        <v>0.85</v>
      </c>
      <c r="BT26" s="44" t="s">
        <v>1760</v>
      </c>
      <c r="BU26" s="42">
        <v>0.85</v>
      </c>
      <c r="BV26" s="42">
        <v>0.45</v>
      </c>
      <c r="BW26" s="42">
        <v>0.15</v>
      </c>
      <c r="BX26" s="42">
        <v>0</v>
      </c>
      <c r="BY26" s="42">
        <v>1.89</v>
      </c>
      <c r="BZ26" s="42">
        <v>0.73</v>
      </c>
      <c r="CA26" s="42">
        <v>0.33</v>
      </c>
      <c r="CB26" s="46">
        <v>2.21</v>
      </c>
    </row>
    <row r="27" spans="2:80">
      <c r="B27" s="44" t="s">
        <v>1760</v>
      </c>
      <c r="C27" s="42">
        <v>3</v>
      </c>
      <c r="D27" s="42">
        <v>4.38</v>
      </c>
      <c r="E27" s="42">
        <v>5.28</v>
      </c>
      <c r="F27" s="42">
        <v>5.63</v>
      </c>
      <c r="G27" s="42">
        <v>4.3099999999999996</v>
      </c>
      <c r="H27" s="42">
        <v>4.82</v>
      </c>
      <c r="I27" s="42">
        <v>1.75</v>
      </c>
      <c r="J27" s="46">
        <v>2.27</v>
      </c>
      <c r="L27" s="44" t="s">
        <v>1762</v>
      </c>
      <c r="M27" s="42">
        <v>2.86</v>
      </c>
      <c r="N27" s="42">
        <v>5.42</v>
      </c>
      <c r="O27" s="42">
        <v>5.15</v>
      </c>
      <c r="P27" s="42">
        <v>6.08</v>
      </c>
      <c r="Q27" s="42">
        <v>0</v>
      </c>
      <c r="R27" s="42">
        <v>1.0900000000000001</v>
      </c>
      <c r="S27" s="42">
        <v>3.1</v>
      </c>
      <c r="T27" s="46">
        <v>3.43</v>
      </c>
      <c r="V27" s="44" t="s">
        <v>1762</v>
      </c>
      <c r="W27" s="42">
        <v>3.9</v>
      </c>
      <c r="X27" s="42">
        <v>4.28</v>
      </c>
      <c r="Y27" s="42">
        <v>4.1500000000000004</v>
      </c>
      <c r="Z27" s="42">
        <v>4.3099999999999996</v>
      </c>
      <c r="AA27" s="42">
        <v>1.3</v>
      </c>
      <c r="AB27" s="42">
        <v>3.09</v>
      </c>
      <c r="AC27" s="42">
        <v>1.61</v>
      </c>
      <c r="AD27" s="46">
        <v>1.27</v>
      </c>
      <c r="AF27" s="44" t="s">
        <v>1762</v>
      </c>
      <c r="AG27" s="42">
        <v>4.1399999999999997</v>
      </c>
      <c r="AH27" s="42">
        <v>0</v>
      </c>
      <c r="AI27" s="42">
        <v>2.02</v>
      </c>
      <c r="AJ27" s="42">
        <v>5.18</v>
      </c>
      <c r="AK27" s="42">
        <v>4.67</v>
      </c>
      <c r="AL27" s="42">
        <v>1.84</v>
      </c>
      <c r="AM27" s="42">
        <v>3.74</v>
      </c>
      <c r="AN27" s="46">
        <v>3.18</v>
      </c>
      <c r="AP27" s="44" t="s">
        <v>1760</v>
      </c>
      <c r="AQ27" s="42">
        <v>2.21</v>
      </c>
      <c r="AR27" s="42">
        <v>1.17</v>
      </c>
      <c r="AS27" s="42">
        <v>2.59</v>
      </c>
      <c r="AT27" s="42">
        <v>3.56</v>
      </c>
      <c r="AU27" s="42">
        <v>1.37</v>
      </c>
      <c r="AV27" s="42">
        <v>1.37</v>
      </c>
      <c r="AW27" s="42">
        <v>1.17</v>
      </c>
      <c r="AX27" s="46">
        <v>0</v>
      </c>
      <c r="AZ27" s="44" t="s">
        <v>1762</v>
      </c>
      <c r="BA27" s="42">
        <v>0.53</v>
      </c>
      <c r="BB27" s="42">
        <v>4.18</v>
      </c>
      <c r="BC27" s="42">
        <v>0.15</v>
      </c>
      <c r="BD27" s="42">
        <v>1.61</v>
      </c>
      <c r="BE27" s="42">
        <v>2.21</v>
      </c>
      <c r="BF27" s="42">
        <v>1.61</v>
      </c>
      <c r="BG27" s="42">
        <v>0.45</v>
      </c>
      <c r="BH27" s="46">
        <v>1.17</v>
      </c>
      <c r="BJ27" s="44" t="s">
        <v>1762</v>
      </c>
      <c r="BK27" s="42">
        <v>12.69</v>
      </c>
      <c r="BL27" s="42">
        <v>1.61</v>
      </c>
      <c r="BM27" s="42">
        <v>1.61</v>
      </c>
      <c r="BN27" s="42">
        <v>3.56</v>
      </c>
      <c r="BO27" s="42">
        <v>1.89</v>
      </c>
      <c r="BP27" s="42">
        <v>2.59</v>
      </c>
      <c r="BQ27" s="42">
        <v>0.24</v>
      </c>
      <c r="BR27" s="46">
        <v>0.2</v>
      </c>
      <c r="BT27" s="44" t="s">
        <v>1760</v>
      </c>
      <c r="BU27" s="42">
        <v>0.85</v>
      </c>
      <c r="BV27" s="42">
        <v>0.45</v>
      </c>
      <c r="BW27" s="42">
        <v>0.15</v>
      </c>
      <c r="BX27" s="42">
        <v>1.17</v>
      </c>
      <c r="BY27" s="42">
        <v>2.21</v>
      </c>
      <c r="BZ27" s="42">
        <v>0.73</v>
      </c>
      <c r="CA27" s="42">
        <v>0.28000000000000003</v>
      </c>
      <c r="CB27" s="46">
        <v>2.21</v>
      </c>
    </row>
    <row r="28" spans="2:80">
      <c r="B28" s="44" t="s">
        <v>1760</v>
      </c>
      <c r="C28" s="42">
        <v>2.99</v>
      </c>
      <c r="D28" s="42">
        <v>4.37</v>
      </c>
      <c r="E28" s="42">
        <v>5.29</v>
      </c>
      <c r="F28" s="42">
        <v>5.62</v>
      </c>
      <c r="G28" s="42">
        <v>0.94</v>
      </c>
      <c r="H28" s="42">
        <v>3.46</v>
      </c>
      <c r="I28" s="42">
        <v>1.73</v>
      </c>
      <c r="J28" s="46">
        <v>2.27</v>
      </c>
      <c r="L28" s="44" t="s">
        <v>1762</v>
      </c>
      <c r="M28" s="42">
        <v>2.86</v>
      </c>
      <c r="N28" s="42">
        <v>5.45</v>
      </c>
      <c r="O28" s="42">
        <v>5.24</v>
      </c>
      <c r="P28" s="42">
        <v>6.06</v>
      </c>
      <c r="Q28" s="42">
        <v>0</v>
      </c>
      <c r="R28" s="42">
        <v>3.74</v>
      </c>
      <c r="S28" s="42">
        <v>3.02</v>
      </c>
      <c r="T28" s="46">
        <v>3.6</v>
      </c>
      <c r="V28" s="44" t="s">
        <v>1762</v>
      </c>
      <c r="W28" s="42">
        <v>3.91</v>
      </c>
      <c r="X28" s="42">
        <v>4.28</v>
      </c>
      <c r="Y28" s="42">
        <v>4.1399999999999997</v>
      </c>
      <c r="Z28" s="42">
        <v>4.26</v>
      </c>
      <c r="AA28" s="42">
        <v>2.02</v>
      </c>
      <c r="AB28" s="42">
        <v>3.14</v>
      </c>
      <c r="AC28" s="42">
        <v>1.63</v>
      </c>
      <c r="AD28" s="46">
        <v>1.23</v>
      </c>
      <c r="AF28" s="44" t="s">
        <v>1762</v>
      </c>
      <c r="AG28" s="42">
        <v>4.1399999999999997</v>
      </c>
      <c r="AH28" s="42">
        <v>6.09</v>
      </c>
      <c r="AI28" s="42">
        <v>3.78</v>
      </c>
      <c r="AJ28" s="42">
        <v>5.19</v>
      </c>
      <c r="AK28" s="42">
        <v>5.45</v>
      </c>
      <c r="AL28" s="42">
        <v>1.85</v>
      </c>
      <c r="AM28" s="42">
        <v>3.76</v>
      </c>
      <c r="AN28" s="46">
        <v>3.07</v>
      </c>
      <c r="AP28" s="44" t="s">
        <v>1760</v>
      </c>
      <c r="AQ28" s="42">
        <v>0</v>
      </c>
      <c r="AR28" s="42">
        <v>0</v>
      </c>
      <c r="AS28" s="42">
        <v>0.85</v>
      </c>
      <c r="AT28" s="42">
        <v>3.04</v>
      </c>
      <c r="AU28" s="42">
        <v>1.61</v>
      </c>
      <c r="AV28" s="42">
        <v>99.99</v>
      </c>
      <c r="AW28" s="42">
        <v>0.28000000000000003</v>
      </c>
      <c r="AX28" s="46">
        <v>6.72</v>
      </c>
      <c r="AZ28" s="44" t="s">
        <v>1762</v>
      </c>
      <c r="BA28" s="42">
        <v>1.17</v>
      </c>
      <c r="BB28" s="42">
        <v>0.45</v>
      </c>
      <c r="BC28" s="42">
        <v>4.8899999999999997</v>
      </c>
      <c r="BD28" s="42">
        <v>1.61</v>
      </c>
      <c r="BE28" s="42">
        <v>20.43</v>
      </c>
      <c r="BF28" s="42">
        <v>1.61</v>
      </c>
      <c r="BG28" s="42">
        <v>0.73</v>
      </c>
      <c r="BH28" s="46">
        <v>1.37</v>
      </c>
      <c r="BJ28" s="44" t="s">
        <v>1762</v>
      </c>
      <c r="BK28" s="42">
        <v>10.83</v>
      </c>
      <c r="BL28" s="42">
        <v>1.37</v>
      </c>
      <c r="BM28" s="42">
        <v>1.61</v>
      </c>
      <c r="BN28" s="42">
        <v>3.04</v>
      </c>
      <c r="BO28" s="42">
        <v>1.61</v>
      </c>
      <c r="BP28" s="42">
        <v>2.59</v>
      </c>
      <c r="BQ28" s="42">
        <v>0.24</v>
      </c>
      <c r="BR28" s="46">
        <v>0.53</v>
      </c>
      <c r="BT28" s="44" t="s">
        <v>1760</v>
      </c>
      <c r="BU28" s="42">
        <v>0.85</v>
      </c>
      <c r="BV28" s="42">
        <v>7.88</v>
      </c>
      <c r="BW28" s="42">
        <v>0.15</v>
      </c>
      <c r="BX28" s="42">
        <v>1.17</v>
      </c>
      <c r="BY28" s="42">
        <v>0</v>
      </c>
      <c r="BZ28" s="42">
        <v>0.62</v>
      </c>
      <c r="CA28" s="42">
        <v>0.33</v>
      </c>
      <c r="CB28" s="46">
        <v>3.04</v>
      </c>
    </row>
    <row r="29" spans="2:80">
      <c r="B29" s="44" t="s">
        <v>1762</v>
      </c>
      <c r="C29" s="42">
        <v>2.98</v>
      </c>
      <c r="D29" s="42">
        <v>4.37</v>
      </c>
      <c r="E29" s="42">
        <v>5.29</v>
      </c>
      <c r="F29" s="42">
        <v>3.39</v>
      </c>
      <c r="G29" s="42">
        <v>4.3499999999999996</v>
      </c>
      <c r="H29" s="42">
        <v>4.8499999999999996</v>
      </c>
      <c r="I29" s="42">
        <v>1.74</v>
      </c>
      <c r="J29" s="46">
        <v>2.2999999999999998</v>
      </c>
      <c r="L29" s="44" t="s">
        <v>1763</v>
      </c>
      <c r="M29" s="42">
        <v>2.84</v>
      </c>
      <c r="N29" s="42">
        <v>5.51</v>
      </c>
      <c r="O29" s="42">
        <v>2.0699999999999998</v>
      </c>
      <c r="P29" s="42">
        <v>3.54</v>
      </c>
      <c r="Q29" s="42">
        <v>0</v>
      </c>
      <c r="R29" s="42">
        <v>3.75</v>
      </c>
      <c r="S29" s="42">
        <v>0.62</v>
      </c>
      <c r="T29" s="46">
        <v>3.48</v>
      </c>
      <c r="V29" s="44" t="s">
        <v>1763</v>
      </c>
      <c r="W29" s="42">
        <v>3.94</v>
      </c>
      <c r="X29" s="42">
        <v>0.26</v>
      </c>
      <c r="Y29" s="42">
        <v>4.1399999999999997</v>
      </c>
      <c r="Z29" s="42">
        <v>4.3099999999999996</v>
      </c>
      <c r="AA29" s="42">
        <v>3.58</v>
      </c>
      <c r="AB29" s="42">
        <v>3.1</v>
      </c>
      <c r="AC29" s="42">
        <v>1.62</v>
      </c>
      <c r="AD29" s="46">
        <v>1.24</v>
      </c>
      <c r="AF29" s="44" t="s">
        <v>1763</v>
      </c>
      <c r="AG29" s="42">
        <v>4.16</v>
      </c>
      <c r="AH29" s="42">
        <v>6.1</v>
      </c>
      <c r="AI29" s="42">
        <v>3.74</v>
      </c>
      <c r="AJ29" s="42">
        <v>3.13</v>
      </c>
      <c r="AK29" s="42">
        <v>5.42</v>
      </c>
      <c r="AL29" s="42">
        <v>1.84</v>
      </c>
      <c r="AM29" s="42">
        <v>3.78</v>
      </c>
      <c r="AN29" s="46">
        <v>0</v>
      </c>
      <c r="AP29" s="44" t="s">
        <v>1761</v>
      </c>
      <c r="AQ29" s="42">
        <v>2.21</v>
      </c>
      <c r="AR29" s="42">
        <v>1.17</v>
      </c>
      <c r="AS29" s="42">
        <v>2.59</v>
      </c>
      <c r="AT29" s="42">
        <v>3.56</v>
      </c>
      <c r="AU29" s="42">
        <v>1.37</v>
      </c>
      <c r="AV29" s="42">
        <v>1.17</v>
      </c>
      <c r="AW29" s="42">
        <v>1.17</v>
      </c>
      <c r="AX29" s="46">
        <v>0</v>
      </c>
      <c r="AZ29" s="44" t="s">
        <v>1763</v>
      </c>
      <c r="BA29" s="42">
        <v>0.62</v>
      </c>
      <c r="BB29" s="42">
        <v>4.18</v>
      </c>
      <c r="BC29" s="42">
        <v>0.39</v>
      </c>
      <c r="BD29" s="42">
        <v>1.61</v>
      </c>
      <c r="BE29" s="42">
        <v>2.21</v>
      </c>
      <c r="BF29" s="42">
        <v>1.61</v>
      </c>
      <c r="BG29" s="42">
        <v>0.73</v>
      </c>
      <c r="BH29" s="46">
        <v>1.17</v>
      </c>
      <c r="BJ29" s="44" t="s">
        <v>1763</v>
      </c>
      <c r="BK29" s="42">
        <v>12.69</v>
      </c>
      <c r="BL29" s="42">
        <v>1.37</v>
      </c>
      <c r="BM29" s="42">
        <v>1.61</v>
      </c>
      <c r="BN29" s="42">
        <v>3.56</v>
      </c>
      <c r="BO29" s="42">
        <v>1.61</v>
      </c>
      <c r="BP29" s="42">
        <v>2.21</v>
      </c>
      <c r="BQ29" s="42">
        <v>0.24</v>
      </c>
      <c r="BR29" s="46">
        <v>0.2</v>
      </c>
      <c r="BT29" s="44" t="s">
        <v>1761</v>
      </c>
      <c r="BU29" s="42">
        <v>0.85</v>
      </c>
      <c r="BV29" s="42">
        <v>0.45</v>
      </c>
      <c r="BW29" s="42">
        <v>0.15</v>
      </c>
      <c r="BX29" s="42">
        <v>0</v>
      </c>
      <c r="BY29" s="42">
        <v>1.89</v>
      </c>
      <c r="BZ29" s="42">
        <v>0.73</v>
      </c>
      <c r="CA29" s="42">
        <v>0.33</v>
      </c>
      <c r="CB29" s="46">
        <v>1.89</v>
      </c>
    </row>
    <row r="30" spans="2:80">
      <c r="B30" s="44" t="s">
        <v>1762</v>
      </c>
      <c r="C30" s="42">
        <v>3.01</v>
      </c>
      <c r="D30" s="42">
        <v>4.38</v>
      </c>
      <c r="E30" s="42">
        <v>5.3</v>
      </c>
      <c r="F30" s="42">
        <v>5.65</v>
      </c>
      <c r="G30" s="42">
        <v>4.3499999999999996</v>
      </c>
      <c r="H30" s="42">
        <v>3.14</v>
      </c>
      <c r="I30" s="42">
        <v>1.73</v>
      </c>
      <c r="J30" s="46">
        <v>2.29</v>
      </c>
      <c r="L30" s="44" t="s">
        <v>1763</v>
      </c>
      <c r="M30" s="42">
        <v>2.81</v>
      </c>
      <c r="N30" s="42">
        <v>5.43</v>
      </c>
      <c r="O30" s="42">
        <v>5.23</v>
      </c>
      <c r="P30" s="42">
        <v>6.05</v>
      </c>
      <c r="Q30" s="42">
        <v>0</v>
      </c>
      <c r="R30" s="42">
        <v>3.42</v>
      </c>
      <c r="S30" s="42">
        <v>3.07</v>
      </c>
      <c r="T30" s="46">
        <v>3.45</v>
      </c>
      <c r="V30" s="44" t="s">
        <v>1763</v>
      </c>
      <c r="W30" s="42">
        <v>3.93</v>
      </c>
      <c r="X30" s="42">
        <v>4.29</v>
      </c>
      <c r="Y30" s="42">
        <v>4.1900000000000004</v>
      </c>
      <c r="Z30" s="42">
        <v>4.33</v>
      </c>
      <c r="AA30" s="42">
        <v>1.28</v>
      </c>
      <c r="AB30" s="42">
        <v>3.14</v>
      </c>
      <c r="AC30" s="42">
        <v>1.59</v>
      </c>
      <c r="AD30" s="46">
        <v>1.28</v>
      </c>
      <c r="AF30" s="44" t="s">
        <v>1763</v>
      </c>
      <c r="AG30" s="42">
        <v>2.02</v>
      </c>
      <c r="AH30" s="42">
        <v>6.06</v>
      </c>
      <c r="AI30" s="42">
        <v>3.79</v>
      </c>
      <c r="AJ30" s="42">
        <v>5.41</v>
      </c>
      <c r="AK30" s="42">
        <v>5.45</v>
      </c>
      <c r="AL30" s="42">
        <v>1.84</v>
      </c>
      <c r="AM30" s="42">
        <v>3.76</v>
      </c>
      <c r="AN30" s="46">
        <v>3.09</v>
      </c>
      <c r="AP30" s="44" t="s">
        <v>1761</v>
      </c>
      <c r="AQ30" s="42">
        <v>2.21</v>
      </c>
      <c r="AR30" s="42">
        <v>1.17</v>
      </c>
      <c r="AS30" s="42">
        <v>2.59</v>
      </c>
      <c r="AT30" s="42">
        <v>3.56</v>
      </c>
      <c r="AU30" s="42">
        <v>1.37</v>
      </c>
      <c r="AV30" s="42">
        <v>62.1</v>
      </c>
      <c r="AW30" s="42">
        <v>1.17</v>
      </c>
      <c r="AX30" s="46">
        <v>2.59</v>
      </c>
      <c r="AZ30" s="44" t="s">
        <v>1763</v>
      </c>
      <c r="BA30" s="42">
        <v>0.53</v>
      </c>
      <c r="BB30" s="42">
        <v>0.45</v>
      </c>
      <c r="BC30" s="42">
        <v>0.33</v>
      </c>
      <c r="BD30" s="42">
        <v>1.61</v>
      </c>
      <c r="BE30" s="42">
        <v>2.59</v>
      </c>
      <c r="BF30" s="42">
        <v>1.89</v>
      </c>
      <c r="BG30" s="42">
        <v>0.73</v>
      </c>
      <c r="BH30" s="46">
        <v>1.17</v>
      </c>
      <c r="BJ30" s="44" t="s">
        <v>1763</v>
      </c>
      <c r="BK30" s="42">
        <v>12.69</v>
      </c>
      <c r="BL30" s="42">
        <v>1.17</v>
      </c>
      <c r="BM30" s="42">
        <v>1.61</v>
      </c>
      <c r="BN30" s="42">
        <v>1.89</v>
      </c>
      <c r="BO30" s="42">
        <v>1.17</v>
      </c>
      <c r="BP30" s="42">
        <v>2.21</v>
      </c>
      <c r="BQ30" s="42">
        <v>0.24</v>
      </c>
      <c r="BR30" s="46">
        <v>0.45</v>
      </c>
      <c r="BT30" s="44" t="s">
        <v>1761</v>
      </c>
      <c r="BU30" s="42">
        <v>0</v>
      </c>
      <c r="BV30" s="42">
        <v>1.37</v>
      </c>
      <c r="BW30" s="42">
        <v>0.13</v>
      </c>
      <c r="BX30" s="42">
        <v>6.72</v>
      </c>
      <c r="BY30" s="42">
        <v>1.89</v>
      </c>
      <c r="BZ30" s="42">
        <v>0.33</v>
      </c>
      <c r="CA30" s="42">
        <v>0.33</v>
      </c>
      <c r="CB30" s="46">
        <v>3.56</v>
      </c>
    </row>
    <row r="31" spans="2:80">
      <c r="B31" s="44" t="s">
        <v>1762</v>
      </c>
      <c r="C31" s="42">
        <v>3</v>
      </c>
      <c r="D31" s="42">
        <v>99.99</v>
      </c>
      <c r="E31" s="42">
        <v>5.3</v>
      </c>
      <c r="F31" s="42">
        <v>5.63</v>
      </c>
      <c r="G31" s="42">
        <v>4.33</v>
      </c>
      <c r="H31" s="42">
        <v>4.8</v>
      </c>
      <c r="I31" s="42">
        <v>1.72</v>
      </c>
      <c r="J31" s="46">
        <v>3.26</v>
      </c>
      <c r="L31" s="44" t="s">
        <v>1763</v>
      </c>
      <c r="M31" s="42">
        <v>2.83</v>
      </c>
      <c r="N31" s="42">
        <v>5.45</v>
      </c>
      <c r="O31" s="42">
        <v>5.17</v>
      </c>
      <c r="P31" s="42">
        <v>4.18</v>
      </c>
      <c r="Q31" s="42">
        <v>0</v>
      </c>
      <c r="R31" s="42">
        <v>3.72</v>
      </c>
      <c r="S31" s="42">
        <v>3.05</v>
      </c>
      <c r="T31" s="46">
        <v>3.44</v>
      </c>
      <c r="V31" s="44" t="s">
        <v>1763</v>
      </c>
      <c r="W31" s="42">
        <v>3.92</v>
      </c>
      <c r="X31" s="42">
        <v>4.26</v>
      </c>
      <c r="Y31" s="42">
        <v>4.16</v>
      </c>
      <c r="Z31" s="42">
        <v>4.32</v>
      </c>
      <c r="AA31" s="42">
        <v>1.1200000000000001</v>
      </c>
      <c r="AB31" s="42">
        <v>3.11</v>
      </c>
      <c r="AC31" s="42">
        <v>1.6</v>
      </c>
      <c r="AD31" s="46">
        <v>1.24</v>
      </c>
      <c r="AF31" s="44" t="s">
        <v>1763</v>
      </c>
      <c r="AG31" s="42">
        <v>4.17</v>
      </c>
      <c r="AH31" s="42">
        <v>6.06</v>
      </c>
      <c r="AI31" s="42">
        <v>3.76</v>
      </c>
      <c r="AJ31" s="42">
        <v>5.12</v>
      </c>
      <c r="AK31" s="42">
        <v>5.42</v>
      </c>
      <c r="AL31" s="42">
        <v>1.84</v>
      </c>
      <c r="AM31" s="42">
        <v>3.77</v>
      </c>
      <c r="AN31" s="46">
        <v>3.17</v>
      </c>
      <c r="AP31" s="44" t="s">
        <v>1761</v>
      </c>
      <c r="AQ31" s="42">
        <v>2.21</v>
      </c>
      <c r="AR31" s="42">
        <v>1.17</v>
      </c>
      <c r="AS31" s="42">
        <v>2.59</v>
      </c>
      <c r="AT31" s="42">
        <v>3.56</v>
      </c>
      <c r="AU31" s="42">
        <v>6.72</v>
      </c>
      <c r="AV31" s="42">
        <v>1.17</v>
      </c>
      <c r="AW31" s="42">
        <v>1.37</v>
      </c>
      <c r="AX31" s="46">
        <v>0</v>
      </c>
      <c r="AZ31" s="44" t="s">
        <v>1763</v>
      </c>
      <c r="BA31" s="42">
        <v>0.53</v>
      </c>
      <c r="BB31" s="42">
        <v>4.18</v>
      </c>
      <c r="BC31" s="42">
        <v>0.33</v>
      </c>
      <c r="BD31" s="42">
        <v>1.61</v>
      </c>
      <c r="BE31" s="42">
        <v>2.21</v>
      </c>
      <c r="BF31" s="42">
        <v>1.89</v>
      </c>
      <c r="BG31" s="42">
        <v>0.73</v>
      </c>
      <c r="BH31" s="46">
        <v>1.17</v>
      </c>
      <c r="BJ31" s="44" t="s">
        <v>1763</v>
      </c>
      <c r="BK31" s="42">
        <v>12.69</v>
      </c>
      <c r="BL31" s="42">
        <v>1.37</v>
      </c>
      <c r="BM31" s="42">
        <v>1.61</v>
      </c>
      <c r="BN31" s="42">
        <v>3.56</v>
      </c>
      <c r="BO31" s="42">
        <v>1.37</v>
      </c>
      <c r="BP31" s="42">
        <v>2.59</v>
      </c>
      <c r="BQ31" s="42">
        <v>0.24</v>
      </c>
      <c r="BR31" s="46">
        <v>0.2</v>
      </c>
      <c r="BT31" s="44" t="s">
        <v>1761</v>
      </c>
      <c r="BU31" s="42">
        <v>0.73</v>
      </c>
      <c r="BV31" s="42">
        <v>0.45</v>
      </c>
      <c r="BW31" s="42">
        <v>0.15</v>
      </c>
      <c r="BX31" s="42">
        <v>1.17</v>
      </c>
      <c r="BY31" s="42">
        <v>1.89</v>
      </c>
      <c r="BZ31" s="42">
        <v>0.73</v>
      </c>
      <c r="CA31" s="42">
        <v>0.28000000000000003</v>
      </c>
      <c r="CB31" s="46">
        <v>1.89</v>
      </c>
    </row>
    <row r="32" spans="2:80">
      <c r="B32" s="44" t="s">
        <v>1762</v>
      </c>
      <c r="C32" s="42">
        <v>2.96</v>
      </c>
      <c r="D32" s="42">
        <v>4.38</v>
      </c>
      <c r="E32" s="42">
        <v>5.3</v>
      </c>
      <c r="F32" s="42">
        <v>5.65</v>
      </c>
      <c r="G32" s="42">
        <v>4.3099999999999996</v>
      </c>
      <c r="H32" s="42">
        <v>4.83</v>
      </c>
      <c r="I32" s="42">
        <v>1.77</v>
      </c>
      <c r="J32" s="46">
        <v>2.2400000000000002</v>
      </c>
      <c r="L32" s="44" t="s">
        <v>1763</v>
      </c>
      <c r="M32" s="42">
        <v>2.82</v>
      </c>
      <c r="N32" s="42">
        <v>5.47</v>
      </c>
      <c r="O32" s="42">
        <v>5.18</v>
      </c>
      <c r="P32" s="42">
        <v>4.55</v>
      </c>
      <c r="Q32" s="42">
        <v>0</v>
      </c>
      <c r="R32" s="42">
        <v>3.77</v>
      </c>
      <c r="S32" s="42">
        <v>3.08</v>
      </c>
      <c r="T32" s="46">
        <v>2.9</v>
      </c>
      <c r="V32" s="44" t="s">
        <v>1763</v>
      </c>
      <c r="W32" s="42">
        <v>3.94</v>
      </c>
      <c r="X32" s="42">
        <v>4.2699999999999996</v>
      </c>
      <c r="Y32" s="42">
        <v>4.16</v>
      </c>
      <c r="Z32" s="42">
        <v>4.32</v>
      </c>
      <c r="AA32" s="42">
        <v>3.6</v>
      </c>
      <c r="AB32" s="42">
        <v>3.11</v>
      </c>
      <c r="AC32" s="42">
        <v>1.63</v>
      </c>
      <c r="AD32" s="46">
        <v>1.26</v>
      </c>
      <c r="AF32" s="44" t="s">
        <v>1763</v>
      </c>
      <c r="AG32" s="42">
        <v>4.2300000000000004</v>
      </c>
      <c r="AH32" s="42">
        <v>6.05</v>
      </c>
      <c r="AI32" s="42">
        <v>3.77</v>
      </c>
      <c r="AJ32" s="42">
        <v>5.17</v>
      </c>
      <c r="AK32" s="42">
        <v>0.92</v>
      </c>
      <c r="AL32" s="42">
        <v>1.84</v>
      </c>
      <c r="AM32" s="42">
        <v>3.74</v>
      </c>
      <c r="AN32" s="46">
        <v>3.21</v>
      </c>
      <c r="AP32" s="44" t="s">
        <v>1761</v>
      </c>
      <c r="AQ32" s="42">
        <v>2.21</v>
      </c>
      <c r="AR32" s="42">
        <v>0</v>
      </c>
      <c r="AS32" s="42">
        <v>2.21</v>
      </c>
      <c r="AT32" s="42">
        <v>3.56</v>
      </c>
      <c r="AU32" s="42">
        <v>1.37</v>
      </c>
      <c r="AV32" s="42">
        <v>1.17</v>
      </c>
      <c r="AW32" s="42">
        <v>1.37</v>
      </c>
      <c r="AX32" s="46">
        <v>0</v>
      </c>
      <c r="AZ32" s="44" t="s">
        <v>1763</v>
      </c>
      <c r="BA32" s="42">
        <v>0.53</v>
      </c>
      <c r="BB32" s="42">
        <v>4.18</v>
      </c>
      <c r="BC32" s="42">
        <v>0.39</v>
      </c>
      <c r="BD32" s="42">
        <v>1.89</v>
      </c>
      <c r="BE32" s="42">
        <v>2.21</v>
      </c>
      <c r="BF32" s="42">
        <v>1.89</v>
      </c>
      <c r="BG32" s="42">
        <v>0.73</v>
      </c>
      <c r="BH32" s="46">
        <v>1.17</v>
      </c>
      <c r="BJ32" s="44" t="s">
        <v>1763</v>
      </c>
      <c r="BK32" s="42">
        <v>12.69</v>
      </c>
      <c r="BL32" s="42">
        <v>1.61</v>
      </c>
      <c r="BM32" s="42">
        <v>1.61</v>
      </c>
      <c r="BN32" s="42">
        <v>3.56</v>
      </c>
      <c r="BO32" s="42">
        <v>1.17</v>
      </c>
      <c r="BP32" s="42">
        <v>2.21</v>
      </c>
      <c r="BQ32" s="42">
        <v>0.2</v>
      </c>
      <c r="BR32" s="46">
        <v>0.2</v>
      </c>
      <c r="BT32" s="44" t="s">
        <v>1761</v>
      </c>
      <c r="BU32" s="42">
        <v>0.85</v>
      </c>
      <c r="BV32" s="42">
        <v>0.45</v>
      </c>
      <c r="BW32" s="42">
        <v>0.15</v>
      </c>
      <c r="BX32" s="42">
        <v>1.17</v>
      </c>
      <c r="BY32" s="42">
        <v>1.61</v>
      </c>
      <c r="BZ32" s="42">
        <v>0.73</v>
      </c>
      <c r="CA32" s="42">
        <v>0.28000000000000003</v>
      </c>
      <c r="CB32" s="46">
        <v>3.56</v>
      </c>
    </row>
    <row r="33" spans="2:80">
      <c r="B33" s="44" t="s">
        <v>1762</v>
      </c>
      <c r="C33" s="42">
        <v>2.99</v>
      </c>
      <c r="D33" s="42">
        <v>4.42</v>
      </c>
      <c r="E33" s="42">
        <v>5.27</v>
      </c>
      <c r="F33" s="42">
        <v>4.66</v>
      </c>
      <c r="G33" s="42">
        <v>4.32</v>
      </c>
      <c r="H33" s="42">
        <v>4.8499999999999996</v>
      </c>
      <c r="I33" s="42">
        <v>1.76</v>
      </c>
      <c r="J33" s="46">
        <v>2.2200000000000002</v>
      </c>
      <c r="L33" s="44" t="s">
        <v>1763</v>
      </c>
      <c r="M33" s="42">
        <v>2.85</v>
      </c>
      <c r="N33" s="42">
        <v>5.5</v>
      </c>
      <c r="O33" s="42">
        <v>5.19</v>
      </c>
      <c r="P33" s="42">
        <v>6.07</v>
      </c>
      <c r="Q33" s="42">
        <v>0</v>
      </c>
      <c r="R33" s="42">
        <v>3.74</v>
      </c>
      <c r="S33" s="42">
        <v>3.04</v>
      </c>
      <c r="T33" s="46">
        <v>3.4</v>
      </c>
      <c r="V33" s="44" t="s">
        <v>1763</v>
      </c>
      <c r="W33" s="42">
        <v>3.91</v>
      </c>
      <c r="X33" s="42">
        <v>2.3199999999999998</v>
      </c>
      <c r="Y33" s="42">
        <v>4.17</v>
      </c>
      <c r="Z33" s="42">
        <v>4.32</v>
      </c>
      <c r="AA33" s="42">
        <v>3.62</v>
      </c>
      <c r="AB33" s="42">
        <v>3.15</v>
      </c>
      <c r="AC33" s="42">
        <v>1.63</v>
      </c>
      <c r="AD33" s="46">
        <v>1.2</v>
      </c>
      <c r="AF33" s="44" t="s">
        <v>1763</v>
      </c>
      <c r="AG33" s="42">
        <v>4.1500000000000004</v>
      </c>
      <c r="AH33" s="42">
        <v>6.13</v>
      </c>
      <c r="AI33" s="42">
        <v>3.76</v>
      </c>
      <c r="AJ33" s="42">
        <v>5.19</v>
      </c>
      <c r="AK33" s="42">
        <v>5.45</v>
      </c>
      <c r="AL33" s="42">
        <v>1.84</v>
      </c>
      <c r="AM33" s="42">
        <v>3.76</v>
      </c>
      <c r="AN33" s="46">
        <v>3.21</v>
      </c>
      <c r="AP33" s="44" t="s">
        <v>1761</v>
      </c>
      <c r="AQ33" s="42">
        <v>2.21</v>
      </c>
      <c r="AR33" s="42">
        <v>1.17</v>
      </c>
      <c r="AS33" s="42">
        <v>2.59</v>
      </c>
      <c r="AT33" s="42">
        <v>3.56</v>
      </c>
      <c r="AU33" s="42">
        <v>1.17</v>
      </c>
      <c r="AV33" s="42">
        <v>1.37</v>
      </c>
      <c r="AW33" s="42">
        <v>1.17</v>
      </c>
      <c r="AX33" s="46">
        <v>0</v>
      </c>
      <c r="AZ33" s="44" t="s">
        <v>1763</v>
      </c>
      <c r="BA33" s="42">
        <v>0.53</v>
      </c>
      <c r="BB33" s="42">
        <v>4.18</v>
      </c>
      <c r="BC33" s="42">
        <v>0.39</v>
      </c>
      <c r="BD33" s="42">
        <v>1.61</v>
      </c>
      <c r="BE33" s="42">
        <v>2.21</v>
      </c>
      <c r="BF33" s="42">
        <v>1.89</v>
      </c>
      <c r="BG33" s="42">
        <v>0.62</v>
      </c>
      <c r="BH33" s="46">
        <v>1.17</v>
      </c>
      <c r="BJ33" s="44" t="s">
        <v>1763</v>
      </c>
      <c r="BK33" s="42">
        <v>10.83</v>
      </c>
      <c r="BL33" s="42">
        <v>1.37</v>
      </c>
      <c r="BM33" s="42">
        <v>1.61</v>
      </c>
      <c r="BN33" s="42">
        <v>3.56</v>
      </c>
      <c r="BO33" s="42">
        <v>1.89</v>
      </c>
      <c r="BP33" s="42">
        <v>2.59</v>
      </c>
      <c r="BQ33" s="42">
        <v>0.24</v>
      </c>
      <c r="BR33" s="46">
        <v>0.24</v>
      </c>
      <c r="BT33" s="44" t="s">
        <v>1761</v>
      </c>
      <c r="BU33" s="42">
        <v>0.85</v>
      </c>
      <c r="BV33" s="42">
        <v>0.39</v>
      </c>
      <c r="BW33" s="42">
        <v>0.15</v>
      </c>
      <c r="BX33" s="42">
        <v>1.17</v>
      </c>
      <c r="BY33" s="42">
        <v>2.21</v>
      </c>
      <c r="BZ33" s="42">
        <v>0.73</v>
      </c>
      <c r="CA33" s="42">
        <v>0.33</v>
      </c>
      <c r="CB33" s="46">
        <v>2.21</v>
      </c>
    </row>
    <row r="34" spans="2:80">
      <c r="B34" s="44" t="s">
        <v>1763</v>
      </c>
      <c r="C34" s="42">
        <v>3</v>
      </c>
      <c r="D34" s="42">
        <v>4.3899999999999997</v>
      </c>
      <c r="E34" s="42">
        <v>5.31</v>
      </c>
      <c r="F34" s="42">
        <v>5.63</v>
      </c>
      <c r="G34" s="42">
        <v>0.83</v>
      </c>
      <c r="H34" s="42">
        <v>4.84</v>
      </c>
      <c r="I34" s="42">
        <v>1.76</v>
      </c>
      <c r="J34" s="46">
        <v>2.2000000000000002</v>
      </c>
      <c r="L34" s="44" t="s">
        <v>1764</v>
      </c>
      <c r="M34" s="42">
        <v>2.85</v>
      </c>
      <c r="N34" s="42">
        <v>5.47</v>
      </c>
      <c r="O34" s="42">
        <v>5.21</v>
      </c>
      <c r="P34" s="42">
        <v>6.05</v>
      </c>
      <c r="Q34" s="42">
        <v>0</v>
      </c>
      <c r="R34" s="42">
        <v>3.73</v>
      </c>
      <c r="S34" s="42">
        <v>3.09</v>
      </c>
      <c r="T34" s="46">
        <v>0</v>
      </c>
      <c r="V34" s="44" t="s">
        <v>1764</v>
      </c>
      <c r="W34" s="42">
        <v>3.92</v>
      </c>
      <c r="X34" s="42">
        <v>2.13</v>
      </c>
      <c r="Y34" s="42">
        <v>2.95</v>
      </c>
      <c r="Z34" s="42">
        <v>4.3099999999999996</v>
      </c>
      <c r="AA34" s="42">
        <v>3.63</v>
      </c>
      <c r="AB34" s="42">
        <v>3.12</v>
      </c>
      <c r="AC34" s="42">
        <v>1.61</v>
      </c>
      <c r="AD34" s="46">
        <v>1.26</v>
      </c>
      <c r="AF34" s="44" t="s">
        <v>1764</v>
      </c>
      <c r="AG34" s="42">
        <v>4.13</v>
      </c>
      <c r="AH34" s="42">
        <v>6.17</v>
      </c>
      <c r="AI34" s="42">
        <v>3.75</v>
      </c>
      <c r="AJ34" s="42">
        <v>5.14</v>
      </c>
      <c r="AK34" s="42">
        <v>3.79</v>
      </c>
      <c r="AL34" s="42">
        <v>1.83</v>
      </c>
      <c r="AM34" s="42">
        <v>3.76</v>
      </c>
      <c r="AN34" s="46">
        <v>3.14</v>
      </c>
      <c r="AP34" s="44" t="s">
        <v>1762</v>
      </c>
      <c r="AQ34" s="42">
        <v>2.59</v>
      </c>
      <c r="AR34" s="42">
        <v>0</v>
      </c>
      <c r="AS34" s="42">
        <v>2.59</v>
      </c>
      <c r="AT34" s="42">
        <v>3.04</v>
      </c>
      <c r="AU34" s="42">
        <v>1.37</v>
      </c>
      <c r="AV34" s="42">
        <v>1.17</v>
      </c>
      <c r="AW34" s="42">
        <v>1.17</v>
      </c>
      <c r="AX34" s="46">
        <v>0</v>
      </c>
      <c r="AZ34" s="44" t="s">
        <v>1764</v>
      </c>
      <c r="BA34" s="42">
        <v>0.45</v>
      </c>
      <c r="BB34" s="42">
        <v>0.62</v>
      </c>
      <c r="BC34" s="42">
        <v>0.15</v>
      </c>
      <c r="BD34" s="42">
        <v>1.61</v>
      </c>
      <c r="BE34" s="42">
        <v>20.43</v>
      </c>
      <c r="BF34" s="42">
        <v>1.89</v>
      </c>
      <c r="BG34" s="42">
        <v>0.62</v>
      </c>
      <c r="BH34" s="46">
        <v>1.37</v>
      </c>
      <c r="BJ34" s="44" t="s">
        <v>1764</v>
      </c>
      <c r="BK34" s="42">
        <v>9.24</v>
      </c>
      <c r="BL34" s="42">
        <v>1.37</v>
      </c>
      <c r="BM34" s="42">
        <v>1.61</v>
      </c>
      <c r="BN34" s="42">
        <v>3.56</v>
      </c>
      <c r="BO34" s="42">
        <v>1.61</v>
      </c>
      <c r="BP34" s="42">
        <v>2.59</v>
      </c>
      <c r="BQ34" s="42">
        <v>0.2</v>
      </c>
      <c r="BR34" s="46">
        <v>0.53</v>
      </c>
      <c r="BT34" s="44" t="s">
        <v>1762</v>
      </c>
      <c r="BU34" s="42">
        <v>0.85</v>
      </c>
      <c r="BV34" s="42">
        <v>0.45</v>
      </c>
      <c r="BW34" s="42">
        <v>0.15</v>
      </c>
      <c r="BX34" s="42">
        <v>1.17</v>
      </c>
      <c r="BY34" s="42">
        <v>2.21</v>
      </c>
      <c r="BZ34" s="42">
        <v>0.73</v>
      </c>
      <c r="CA34" s="42">
        <v>0.28000000000000003</v>
      </c>
      <c r="CB34" s="46">
        <v>3.56</v>
      </c>
    </row>
    <row r="35" spans="2:80">
      <c r="B35" s="44" t="s">
        <v>1763</v>
      </c>
      <c r="C35" s="42">
        <v>3</v>
      </c>
      <c r="D35" s="42">
        <v>4.4000000000000004</v>
      </c>
      <c r="E35" s="42">
        <v>5.33</v>
      </c>
      <c r="F35" s="42">
        <v>5.64</v>
      </c>
      <c r="G35" s="42">
        <v>4.33</v>
      </c>
      <c r="H35" s="42">
        <v>4.8099999999999996</v>
      </c>
      <c r="I35" s="42">
        <v>1.78</v>
      </c>
      <c r="J35" s="46">
        <v>2.27</v>
      </c>
      <c r="L35" s="44" t="s">
        <v>1764</v>
      </c>
      <c r="M35" s="42">
        <v>2.84</v>
      </c>
      <c r="N35" s="42">
        <v>5.42</v>
      </c>
      <c r="O35" s="42">
        <v>5.19</v>
      </c>
      <c r="P35" s="42">
        <v>6.1</v>
      </c>
      <c r="Q35" s="42">
        <v>0</v>
      </c>
      <c r="R35" s="42">
        <v>3.71</v>
      </c>
      <c r="S35" s="42">
        <v>3.02</v>
      </c>
      <c r="T35" s="46">
        <v>3.39</v>
      </c>
      <c r="V35" s="44" t="s">
        <v>1764</v>
      </c>
      <c r="W35" s="42">
        <v>3.93</v>
      </c>
      <c r="X35" s="42">
        <v>4.26</v>
      </c>
      <c r="Y35" s="42">
        <v>4.17</v>
      </c>
      <c r="Z35" s="42">
        <v>4.33</v>
      </c>
      <c r="AA35" s="42">
        <v>3.61</v>
      </c>
      <c r="AB35" s="42">
        <v>3.12</v>
      </c>
      <c r="AC35" s="42">
        <v>1.64</v>
      </c>
      <c r="AD35" s="46">
        <v>1.22</v>
      </c>
      <c r="AF35" s="44" t="s">
        <v>1764</v>
      </c>
      <c r="AG35" s="42">
        <v>4.1399999999999997</v>
      </c>
      <c r="AH35" s="42">
        <v>6.11</v>
      </c>
      <c r="AI35" s="42">
        <v>3.76</v>
      </c>
      <c r="AJ35" s="42">
        <v>5.15</v>
      </c>
      <c r="AK35" s="42">
        <v>4.8899999999999997</v>
      </c>
      <c r="AL35" s="42">
        <v>1.82</v>
      </c>
      <c r="AM35" s="42">
        <v>3.77</v>
      </c>
      <c r="AN35" s="46">
        <v>3.1</v>
      </c>
      <c r="AP35" s="44" t="s">
        <v>1762</v>
      </c>
      <c r="AQ35" s="42">
        <v>2.59</v>
      </c>
      <c r="AR35" s="42">
        <v>0</v>
      </c>
      <c r="AS35" s="42">
        <v>9.24</v>
      </c>
      <c r="AT35" s="42">
        <v>3.56</v>
      </c>
      <c r="AU35" s="42">
        <v>1.17</v>
      </c>
      <c r="AV35" s="42">
        <v>1.17</v>
      </c>
      <c r="AW35" s="42">
        <v>1.37</v>
      </c>
      <c r="AX35" s="46">
        <v>1.17</v>
      </c>
      <c r="AZ35" s="44" t="s">
        <v>1764</v>
      </c>
      <c r="BA35" s="42">
        <v>0.53</v>
      </c>
      <c r="BB35" s="42">
        <v>0.45</v>
      </c>
      <c r="BC35" s="42">
        <v>0.17</v>
      </c>
      <c r="BD35" s="42">
        <v>3.56</v>
      </c>
      <c r="BE35" s="42">
        <v>20.43</v>
      </c>
      <c r="BF35" s="42">
        <v>1.89</v>
      </c>
      <c r="BG35" s="42">
        <v>0.73</v>
      </c>
      <c r="BH35" s="46">
        <v>1.17</v>
      </c>
      <c r="BJ35" s="44" t="s">
        <v>1764</v>
      </c>
      <c r="BK35" s="42">
        <v>14.87</v>
      </c>
      <c r="BL35" s="42">
        <v>1.61</v>
      </c>
      <c r="BM35" s="42">
        <v>1.61</v>
      </c>
      <c r="BN35" s="42">
        <v>3.56</v>
      </c>
      <c r="BO35" s="42">
        <v>1.89</v>
      </c>
      <c r="BP35" s="42">
        <v>2.21</v>
      </c>
      <c r="BQ35" s="42">
        <v>0.17</v>
      </c>
      <c r="BR35" s="46">
        <v>0.2</v>
      </c>
      <c r="BT35" s="44" t="s">
        <v>1762</v>
      </c>
      <c r="BU35" s="42">
        <v>0.73</v>
      </c>
      <c r="BV35" s="42">
        <v>0.39</v>
      </c>
      <c r="BW35" s="42">
        <v>0.15</v>
      </c>
      <c r="BX35" s="42">
        <v>0</v>
      </c>
      <c r="BY35" s="42">
        <v>2.21</v>
      </c>
      <c r="BZ35" s="42">
        <v>0.73</v>
      </c>
      <c r="CA35" s="42">
        <v>0.45</v>
      </c>
      <c r="CB35" s="46">
        <v>2.21</v>
      </c>
    </row>
    <row r="36" spans="2:80">
      <c r="B36" s="44" t="s">
        <v>1763</v>
      </c>
      <c r="C36" s="42">
        <v>0.06</v>
      </c>
      <c r="D36" s="42">
        <v>4.3899999999999997</v>
      </c>
      <c r="E36" s="42">
        <v>0.08</v>
      </c>
      <c r="F36" s="42">
        <v>4.9400000000000004</v>
      </c>
      <c r="G36" s="42">
        <v>4.32</v>
      </c>
      <c r="H36" s="42">
        <v>4.83</v>
      </c>
      <c r="I36" s="42">
        <v>1.77</v>
      </c>
      <c r="J36" s="46">
        <v>2.29</v>
      </c>
      <c r="L36" s="44" t="s">
        <v>1764</v>
      </c>
      <c r="M36" s="42">
        <v>2.81</v>
      </c>
      <c r="N36" s="42">
        <v>5.44</v>
      </c>
      <c r="O36" s="42">
        <v>99.99</v>
      </c>
      <c r="P36" s="42">
        <v>4.8099999999999996</v>
      </c>
      <c r="Q36" s="42">
        <v>0</v>
      </c>
      <c r="R36" s="42">
        <v>3.75</v>
      </c>
      <c r="S36" s="42">
        <v>3.05</v>
      </c>
      <c r="T36" s="46">
        <v>3.35</v>
      </c>
      <c r="V36" s="44" t="s">
        <v>1764</v>
      </c>
      <c r="W36" s="42">
        <v>3.89</v>
      </c>
      <c r="X36" s="42">
        <v>4.24</v>
      </c>
      <c r="Y36" s="42">
        <v>4.13</v>
      </c>
      <c r="Z36" s="42">
        <v>4.29</v>
      </c>
      <c r="AA36" s="42">
        <v>3.6</v>
      </c>
      <c r="AB36" s="42">
        <v>3.14</v>
      </c>
      <c r="AC36" s="42">
        <v>1.65</v>
      </c>
      <c r="AD36" s="46">
        <v>1.21</v>
      </c>
      <c r="AF36" s="44" t="s">
        <v>1764</v>
      </c>
      <c r="AG36" s="42">
        <v>4.1399999999999997</v>
      </c>
      <c r="AH36" s="42">
        <v>6.17</v>
      </c>
      <c r="AI36" s="42">
        <v>3.77</v>
      </c>
      <c r="AJ36" s="42">
        <v>5.12</v>
      </c>
      <c r="AK36" s="42">
        <v>5.47</v>
      </c>
      <c r="AL36" s="42">
        <v>1.85</v>
      </c>
      <c r="AM36" s="42">
        <v>3.78</v>
      </c>
      <c r="AN36" s="46">
        <v>3.03</v>
      </c>
      <c r="AP36" s="44" t="s">
        <v>1762</v>
      </c>
      <c r="AQ36" s="42">
        <v>2.59</v>
      </c>
      <c r="AR36" s="42">
        <v>1.17</v>
      </c>
      <c r="AS36" s="42">
        <v>0</v>
      </c>
      <c r="AT36" s="42">
        <v>3.56</v>
      </c>
      <c r="AU36" s="42">
        <v>1.37</v>
      </c>
      <c r="AV36" s="42">
        <v>1.37</v>
      </c>
      <c r="AW36" s="42">
        <v>1.37</v>
      </c>
      <c r="AX36" s="46">
        <v>0</v>
      </c>
      <c r="AZ36" s="44" t="s">
        <v>1764</v>
      </c>
      <c r="BA36" s="42">
        <v>0.53</v>
      </c>
      <c r="BB36" s="42">
        <v>4.18</v>
      </c>
      <c r="BC36" s="42">
        <v>0.33</v>
      </c>
      <c r="BD36" s="42">
        <v>1.61</v>
      </c>
      <c r="BE36" s="42">
        <v>17.43</v>
      </c>
      <c r="BF36" s="42">
        <v>1.89</v>
      </c>
      <c r="BG36" s="42">
        <v>0.73</v>
      </c>
      <c r="BH36" s="46">
        <v>1.17</v>
      </c>
      <c r="BJ36" s="44" t="s">
        <v>1764</v>
      </c>
      <c r="BK36" s="42">
        <v>14.87</v>
      </c>
      <c r="BL36" s="42">
        <v>1.61</v>
      </c>
      <c r="BM36" s="42">
        <v>1.61</v>
      </c>
      <c r="BN36" s="42">
        <v>3.56</v>
      </c>
      <c r="BO36" s="42">
        <v>1.89</v>
      </c>
      <c r="BP36" s="42">
        <v>2.21</v>
      </c>
      <c r="BQ36" s="42">
        <v>0.24</v>
      </c>
      <c r="BR36" s="46">
        <v>0.2</v>
      </c>
      <c r="BT36" s="44" t="s">
        <v>1762</v>
      </c>
      <c r="BU36" s="42">
        <v>0.85</v>
      </c>
      <c r="BV36" s="42">
        <v>1.37</v>
      </c>
      <c r="BW36" s="42">
        <v>0.13</v>
      </c>
      <c r="BX36" s="42">
        <v>2.59</v>
      </c>
      <c r="BY36" s="42">
        <v>0.85</v>
      </c>
      <c r="BZ36" s="42">
        <v>0.28000000000000003</v>
      </c>
      <c r="CA36" s="42">
        <v>0.33</v>
      </c>
      <c r="CB36" s="46">
        <v>2.59</v>
      </c>
    </row>
    <row r="37" spans="2:80">
      <c r="B37" s="44" t="s">
        <v>1763</v>
      </c>
      <c r="C37" s="42">
        <v>3.02</v>
      </c>
      <c r="D37" s="42">
        <v>4.42</v>
      </c>
      <c r="E37" s="42">
        <v>5.3</v>
      </c>
      <c r="F37" s="42">
        <v>4.5999999999999996</v>
      </c>
      <c r="G37" s="42">
        <v>4.3600000000000003</v>
      </c>
      <c r="H37" s="42">
        <v>1.51</v>
      </c>
      <c r="I37" s="42">
        <v>1.75</v>
      </c>
      <c r="J37" s="46">
        <v>2.2599999999999998</v>
      </c>
      <c r="L37" s="44" t="s">
        <v>1764</v>
      </c>
      <c r="M37" s="42">
        <v>2.88</v>
      </c>
      <c r="N37" s="42">
        <v>5.4</v>
      </c>
      <c r="O37" s="42">
        <v>5.19</v>
      </c>
      <c r="P37" s="42">
        <v>6.06</v>
      </c>
      <c r="Q37" s="42">
        <v>2.31</v>
      </c>
      <c r="R37" s="42">
        <v>3.7</v>
      </c>
      <c r="S37" s="42">
        <v>3.03</v>
      </c>
      <c r="T37" s="46">
        <v>3.44</v>
      </c>
      <c r="V37" s="44" t="s">
        <v>1764</v>
      </c>
      <c r="W37" s="42">
        <v>1.41</v>
      </c>
      <c r="X37" s="42">
        <v>4.2699999999999996</v>
      </c>
      <c r="Y37" s="42">
        <v>4.16</v>
      </c>
      <c r="Z37" s="42">
        <v>4.3</v>
      </c>
      <c r="AA37" s="42">
        <v>3.59</v>
      </c>
      <c r="AB37" s="42">
        <v>3.12</v>
      </c>
      <c r="AC37" s="42">
        <v>1.63</v>
      </c>
      <c r="AD37" s="46">
        <v>1.24</v>
      </c>
      <c r="AF37" s="44" t="s">
        <v>1764</v>
      </c>
      <c r="AG37" s="42">
        <v>4.1500000000000004</v>
      </c>
      <c r="AH37" s="42">
        <v>3.63</v>
      </c>
      <c r="AI37" s="42">
        <v>3.74</v>
      </c>
      <c r="AJ37" s="42">
        <v>5.15</v>
      </c>
      <c r="AK37" s="42">
        <v>3.32</v>
      </c>
      <c r="AL37" s="42">
        <v>1.84</v>
      </c>
      <c r="AM37" s="42">
        <v>3.78</v>
      </c>
      <c r="AN37" s="46">
        <v>0</v>
      </c>
      <c r="AP37" s="44" t="s">
        <v>1762</v>
      </c>
      <c r="AQ37" s="42">
        <v>2.59</v>
      </c>
      <c r="AR37" s="42">
        <v>1.17</v>
      </c>
      <c r="AS37" s="42">
        <v>2.21</v>
      </c>
      <c r="AT37" s="42">
        <v>14.87</v>
      </c>
      <c r="AU37" s="42">
        <v>1.37</v>
      </c>
      <c r="AV37" s="42">
        <v>1.17</v>
      </c>
      <c r="AW37" s="42">
        <v>1.17</v>
      </c>
      <c r="AX37" s="46">
        <v>0</v>
      </c>
      <c r="AZ37" s="44" t="s">
        <v>1764</v>
      </c>
      <c r="BA37" s="42">
        <v>0.62</v>
      </c>
      <c r="BB37" s="42">
        <v>4.18</v>
      </c>
      <c r="BC37" s="42">
        <v>0.39</v>
      </c>
      <c r="BD37" s="42">
        <v>1.61</v>
      </c>
      <c r="BE37" s="42">
        <v>2.21</v>
      </c>
      <c r="BF37" s="42">
        <v>1.89</v>
      </c>
      <c r="BG37" s="42">
        <v>0.62</v>
      </c>
      <c r="BH37" s="46">
        <v>1.17</v>
      </c>
      <c r="BJ37" s="44" t="s">
        <v>1764</v>
      </c>
      <c r="BK37" s="42">
        <v>10.83</v>
      </c>
      <c r="BL37" s="42">
        <v>0</v>
      </c>
      <c r="BM37" s="42">
        <v>0.2</v>
      </c>
      <c r="BN37" s="42">
        <v>1.89</v>
      </c>
      <c r="BO37" s="42">
        <v>1.61</v>
      </c>
      <c r="BP37" s="42">
        <v>0.85</v>
      </c>
      <c r="BQ37" s="42">
        <v>0.17</v>
      </c>
      <c r="BR37" s="46">
        <v>0.53</v>
      </c>
      <c r="BT37" s="44" t="s">
        <v>1762</v>
      </c>
      <c r="BU37" s="42">
        <v>0.85</v>
      </c>
      <c r="BV37" s="42">
        <v>0.45</v>
      </c>
      <c r="BW37" s="42">
        <v>0.15</v>
      </c>
      <c r="BX37" s="42">
        <v>1.17</v>
      </c>
      <c r="BY37" s="42">
        <v>2.21</v>
      </c>
      <c r="BZ37" s="42">
        <v>0.73</v>
      </c>
      <c r="CA37" s="42">
        <v>0.24</v>
      </c>
      <c r="CB37" s="46">
        <v>2.21</v>
      </c>
    </row>
    <row r="38" spans="2:80">
      <c r="B38" s="44" t="s">
        <v>1763</v>
      </c>
      <c r="C38" s="42">
        <v>3</v>
      </c>
      <c r="D38" s="42">
        <v>4.43</v>
      </c>
      <c r="E38" s="42">
        <v>5.31</v>
      </c>
      <c r="F38" s="42">
        <v>5.61</v>
      </c>
      <c r="G38" s="42">
        <v>4.33</v>
      </c>
      <c r="H38" s="42">
        <v>4.84</v>
      </c>
      <c r="I38" s="42">
        <v>1.8</v>
      </c>
      <c r="J38" s="46">
        <v>0.56999999999999995</v>
      </c>
      <c r="L38" s="44" t="s">
        <v>1764</v>
      </c>
      <c r="M38" s="42">
        <v>2.82</v>
      </c>
      <c r="N38" s="42">
        <v>5.45</v>
      </c>
      <c r="O38" s="42">
        <v>5.15</v>
      </c>
      <c r="P38" s="42">
        <v>6.06</v>
      </c>
      <c r="Q38" s="42">
        <v>0</v>
      </c>
      <c r="R38" s="42">
        <v>3.75</v>
      </c>
      <c r="S38" s="42">
        <v>3.04</v>
      </c>
      <c r="T38" s="46">
        <v>3.42</v>
      </c>
      <c r="V38" s="44" t="s">
        <v>1764</v>
      </c>
      <c r="W38" s="42">
        <v>3.94</v>
      </c>
      <c r="X38" s="42">
        <v>4.29</v>
      </c>
      <c r="Y38" s="42">
        <v>4.13</v>
      </c>
      <c r="Z38" s="42">
        <v>0.8</v>
      </c>
      <c r="AA38" s="42">
        <v>3.59</v>
      </c>
      <c r="AB38" s="42">
        <v>3.11</v>
      </c>
      <c r="AC38" s="42">
        <v>1.62</v>
      </c>
      <c r="AD38" s="46">
        <v>1.25</v>
      </c>
      <c r="AF38" s="44" t="s">
        <v>1764</v>
      </c>
      <c r="AG38" s="42">
        <v>4.16</v>
      </c>
      <c r="AH38" s="42">
        <v>6.11</v>
      </c>
      <c r="AI38" s="42">
        <v>3.79</v>
      </c>
      <c r="AJ38" s="42">
        <v>5.15</v>
      </c>
      <c r="AK38" s="42">
        <v>5.44</v>
      </c>
      <c r="AL38" s="42">
        <v>1.84</v>
      </c>
      <c r="AM38" s="42">
        <v>3.76</v>
      </c>
      <c r="AN38" s="46">
        <v>3.13</v>
      </c>
      <c r="AP38" s="44" t="s">
        <v>1762</v>
      </c>
      <c r="AQ38" s="42">
        <v>0.85</v>
      </c>
      <c r="AR38" s="42">
        <v>0</v>
      </c>
      <c r="AS38" s="42">
        <v>0</v>
      </c>
      <c r="AT38" s="42">
        <v>2.59</v>
      </c>
      <c r="AU38" s="42">
        <v>1.61</v>
      </c>
      <c r="AV38" s="42">
        <v>99.99</v>
      </c>
      <c r="AW38" s="42">
        <v>0.39</v>
      </c>
      <c r="AX38" s="46">
        <v>6.72</v>
      </c>
      <c r="AZ38" s="44" t="s">
        <v>1764</v>
      </c>
      <c r="BA38" s="42">
        <v>0.53</v>
      </c>
      <c r="BB38" s="42">
        <v>4.18</v>
      </c>
      <c r="BC38" s="42">
        <v>0.39</v>
      </c>
      <c r="BD38" s="42">
        <v>1.61</v>
      </c>
      <c r="BE38" s="42">
        <v>2.21</v>
      </c>
      <c r="BF38" s="42">
        <v>1.89</v>
      </c>
      <c r="BG38" s="42">
        <v>0.73</v>
      </c>
      <c r="BH38" s="46">
        <v>1.17</v>
      </c>
      <c r="BJ38" s="44" t="s">
        <v>1764</v>
      </c>
      <c r="BK38" s="42">
        <v>12.69</v>
      </c>
      <c r="BL38" s="42">
        <v>1.37</v>
      </c>
      <c r="BM38" s="42">
        <v>1.61</v>
      </c>
      <c r="BN38" s="42">
        <v>3.04</v>
      </c>
      <c r="BO38" s="42">
        <v>1.61</v>
      </c>
      <c r="BP38" s="42">
        <v>2.59</v>
      </c>
      <c r="BQ38" s="42">
        <v>0.24</v>
      </c>
      <c r="BR38" s="46">
        <v>0.2</v>
      </c>
      <c r="BT38" s="44" t="s">
        <v>1762</v>
      </c>
      <c r="BU38" s="42">
        <v>0.73</v>
      </c>
      <c r="BV38" s="42">
        <v>0.45</v>
      </c>
      <c r="BW38" s="42">
        <v>0.15</v>
      </c>
      <c r="BX38" s="42">
        <v>1.17</v>
      </c>
      <c r="BY38" s="42">
        <v>2.21</v>
      </c>
      <c r="BZ38" s="42">
        <v>0.33</v>
      </c>
      <c r="CA38" s="42">
        <v>0.39</v>
      </c>
      <c r="CB38" s="46">
        <v>1.89</v>
      </c>
    </row>
    <row r="39" spans="2:80">
      <c r="B39" s="44" t="s">
        <v>1764</v>
      </c>
      <c r="C39" s="42">
        <v>3.02</v>
      </c>
      <c r="D39" s="42">
        <v>0</v>
      </c>
      <c r="E39" s="42">
        <v>5.3</v>
      </c>
      <c r="F39" s="42">
        <v>5.63</v>
      </c>
      <c r="G39" s="42">
        <v>3.28</v>
      </c>
      <c r="H39" s="42">
        <v>4.87</v>
      </c>
      <c r="I39" s="42">
        <v>1.73</v>
      </c>
      <c r="J39" s="46">
        <v>2.21</v>
      </c>
      <c r="L39" s="44" t="s">
        <v>1765</v>
      </c>
      <c r="M39" s="42">
        <v>2.84</v>
      </c>
      <c r="N39" s="42">
        <v>5.24</v>
      </c>
      <c r="O39" s="42">
        <v>5.17</v>
      </c>
      <c r="P39" s="42">
        <v>6.05</v>
      </c>
      <c r="Q39" s="42">
        <v>0</v>
      </c>
      <c r="R39" s="42">
        <v>3.72</v>
      </c>
      <c r="S39" s="42">
        <v>3.11</v>
      </c>
      <c r="T39" s="46">
        <v>1.47</v>
      </c>
      <c r="V39" s="44" t="s">
        <v>1765</v>
      </c>
      <c r="W39" s="42">
        <v>3.93</v>
      </c>
      <c r="X39" s="42">
        <v>4.25</v>
      </c>
      <c r="Y39" s="42">
        <v>4.17</v>
      </c>
      <c r="Z39" s="42">
        <v>4.29</v>
      </c>
      <c r="AA39" s="42">
        <v>3.6</v>
      </c>
      <c r="AB39" s="42">
        <v>3.12</v>
      </c>
      <c r="AC39" s="42">
        <v>1.26</v>
      </c>
      <c r="AD39" s="46">
        <v>1.3</v>
      </c>
      <c r="AF39" s="44" t="s">
        <v>1765</v>
      </c>
      <c r="AG39" s="42">
        <v>4.17</v>
      </c>
      <c r="AH39" s="42">
        <v>6.15</v>
      </c>
      <c r="AI39" s="42">
        <v>3.79</v>
      </c>
      <c r="AJ39" s="42">
        <v>5.16</v>
      </c>
      <c r="AK39" s="42">
        <v>5.44</v>
      </c>
      <c r="AL39" s="42">
        <v>1.83</v>
      </c>
      <c r="AM39" s="42">
        <v>3.77</v>
      </c>
      <c r="AN39" s="46">
        <v>0</v>
      </c>
      <c r="AP39" s="44" t="s">
        <v>1763</v>
      </c>
      <c r="AQ39" s="42">
        <v>2.59</v>
      </c>
      <c r="AR39" s="42">
        <v>0</v>
      </c>
      <c r="AS39" s="42">
        <v>2.59</v>
      </c>
      <c r="AT39" s="42">
        <v>3.56</v>
      </c>
      <c r="AU39" s="42">
        <v>1.37</v>
      </c>
      <c r="AV39" s="42">
        <v>1.17</v>
      </c>
      <c r="AW39" s="42">
        <v>1.17</v>
      </c>
      <c r="AX39" s="46">
        <v>3.04</v>
      </c>
      <c r="AZ39" s="44" t="s">
        <v>1765</v>
      </c>
      <c r="BA39" s="42">
        <v>0.62</v>
      </c>
      <c r="BB39" s="42">
        <v>0.62</v>
      </c>
      <c r="BC39" s="42">
        <v>0.15</v>
      </c>
      <c r="BD39" s="42">
        <v>1.61</v>
      </c>
      <c r="BE39" s="42">
        <v>2.21</v>
      </c>
      <c r="BF39" s="42">
        <v>1.61</v>
      </c>
      <c r="BG39" s="42">
        <v>0.62</v>
      </c>
      <c r="BH39" s="46">
        <v>1.17</v>
      </c>
      <c r="BJ39" s="44" t="s">
        <v>1765</v>
      </c>
      <c r="BK39" s="42">
        <v>14.87</v>
      </c>
      <c r="BL39" s="42">
        <v>1.37</v>
      </c>
      <c r="BM39" s="42">
        <v>1.61</v>
      </c>
      <c r="BN39" s="42">
        <v>3.56</v>
      </c>
      <c r="BO39" s="42">
        <v>1.89</v>
      </c>
      <c r="BP39" s="42">
        <v>2.21</v>
      </c>
      <c r="BQ39" s="42">
        <v>0.24</v>
      </c>
      <c r="BR39" s="46">
        <v>0.53</v>
      </c>
      <c r="BT39" s="44" t="s">
        <v>1763</v>
      </c>
      <c r="BU39" s="42">
        <v>0.85</v>
      </c>
      <c r="BV39" s="42">
        <v>0.53</v>
      </c>
      <c r="BW39" s="42">
        <v>0.15</v>
      </c>
      <c r="BX39" s="42">
        <v>1.17</v>
      </c>
      <c r="BY39" s="42">
        <v>0.85</v>
      </c>
      <c r="BZ39" s="42">
        <v>0.73</v>
      </c>
      <c r="CA39" s="42">
        <v>0.28000000000000003</v>
      </c>
      <c r="CB39" s="46">
        <v>2.21</v>
      </c>
    </row>
    <row r="40" spans="2:80">
      <c r="B40" s="44" t="s">
        <v>1764</v>
      </c>
      <c r="C40" s="42">
        <v>3</v>
      </c>
      <c r="D40" s="42">
        <v>2.98</v>
      </c>
      <c r="E40" s="42">
        <v>5.31</v>
      </c>
      <c r="F40" s="42">
        <v>5.62</v>
      </c>
      <c r="G40" s="42">
        <v>2.56</v>
      </c>
      <c r="H40" s="42">
        <v>4.7699999999999996</v>
      </c>
      <c r="I40" s="42">
        <v>1.75</v>
      </c>
      <c r="J40" s="46">
        <v>1.1599999999999999</v>
      </c>
      <c r="L40" s="44" t="s">
        <v>1765</v>
      </c>
      <c r="M40" s="42">
        <v>2.86</v>
      </c>
      <c r="N40" s="42">
        <v>5.46</v>
      </c>
      <c r="O40" s="42">
        <v>0</v>
      </c>
      <c r="P40" s="42">
        <v>2.8</v>
      </c>
      <c r="Q40" s="42">
        <v>0</v>
      </c>
      <c r="R40" s="42">
        <v>3.73</v>
      </c>
      <c r="S40" s="42">
        <v>1.5</v>
      </c>
      <c r="T40" s="46">
        <v>3.15</v>
      </c>
      <c r="V40" s="44" t="s">
        <v>1765</v>
      </c>
      <c r="W40" s="42">
        <v>3.91</v>
      </c>
      <c r="X40" s="42">
        <v>2.4300000000000002</v>
      </c>
      <c r="Y40" s="42">
        <v>4.1500000000000004</v>
      </c>
      <c r="Z40" s="42">
        <v>4.3</v>
      </c>
      <c r="AA40" s="42">
        <v>3.58</v>
      </c>
      <c r="AB40" s="42">
        <v>3.14</v>
      </c>
      <c r="AC40" s="42">
        <v>1.61</v>
      </c>
      <c r="AD40" s="46">
        <v>1.24</v>
      </c>
      <c r="AF40" s="44" t="s">
        <v>1765</v>
      </c>
      <c r="AG40" s="42">
        <v>4.1500000000000004</v>
      </c>
      <c r="AH40" s="42">
        <v>6.08</v>
      </c>
      <c r="AI40" s="42">
        <v>3.77</v>
      </c>
      <c r="AJ40" s="42">
        <v>5.17</v>
      </c>
      <c r="AK40" s="42">
        <v>5.45</v>
      </c>
      <c r="AL40" s="42">
        <v>1.85</v>
      </c>
      <c r="AM40" s="42">
        <v>3.74</v>
      </c>
      <c r="AN40" s="46">
        <v>0</v>
      </c>
      <c r="AP40" s="44" t="s">
        <v>1763</v>
      </c>
      <c r="AQ40" s="42">
        <v>2.59</v>
      </c>
      <c r="AR40" s="42">
        <v>1.17</v>
      </c>
      <c r="AS40" s="42">
        <v>2.59</v>
      </c>
      <c r="AT40" s="42">
        <v>3.56</v>
      </c>
      <c r="AU40" s="42">
        <v>1.37</v>
      </c>
      <c r="AV40" s="42">
        <v>85.32</v>
      </c>
      <c r="AW40" s="42">
        <v>1.37</v>
      </c>
      <c r="AX40" s="46">
        <v>0</v>
      </c>
      <c r="AZ40" s="44" t="s">
        <v>1765</v>
      </c>
      <c r="BA40" s="42">
        <v>0.53</v>
      </c>
      <c r="BB40" s="42">
        <v>4.18</v>
      </c>
      <c r="BC40" s="42">
        <v>0.39</v>
      </c>
      <c r="BD40" s="42">
        <v>1.61</v>
      </c>
      <c r="BE40" s="42">
        <v>2.21</v>
      </c>
      <c r="BF40" s="42">
        <v>1.89</v>
      </c>
      <c r="BG40" s="42">
        <v>0.73</v>
      </c>
      <c r="BH40" s="46">
        <v>1.17</v>
      </c>
      <c r="BJ40" s="44" t="s">
        <v>1765</v>
      </c>
      <c r="BK40" s="42">
        <v>14.87</v>
      </c>
      <c r="BL40" s="42">
        <v>1.37</v>
      </c>
      <c r="BM40" s="42">
        <v>1.61</v>
      </c>
      <c r="BN40" s="42">
        <v>3.56</v>
      </c>
      <c r="BO40" s="42">
        <v>1.61</v>
      </c>
      <c r="BP40" s="42">
        <v>2.21</v>
      </c>
      <c r="BQ40" s="42">
        <v>0.24</v>
      </c>
      <c r="BR40" s="46">
        <v>0.2</v>
      </c>
      <c r="BT40" s="44" t="s">
        <v>1763</v>
      </c>
      <c r="BU40" s="42">
        <v>0.73</v>
      </c>
      <c r="BV40" s="42">
        <v>0.45</v>
      </c>
      <c r="BW40" s="42">
        <v>0.15</v>
      </c>
      <c r="BX40" s="42">
        <v>1.17</v>
      </c>
      <c r="BY40" s="42">
        <v>2.21</v>
      </c>
      <c r="BZ40" s="42">
        <v>0.73</v>
      </c>
      <c r="CA40" s="42">
        <v>0.45</v>
      </c>
      <c r="CB40" s="46">
        <v>2.21</v>
      </c>
    </row>
    <row r="41" spans="2:80">
      <c r="B41" s="44" t="s">
        <v>1764</v>
      </c>
      <c r="C41" s="42">
        <v>3.01</v>
      </c>
      <c r="D41" s="42">
        <v>4.3899999999999997</v>
      </c>
      <c r="E41" s="42">
        <v>5.3</v>
      </c>
      <c r="F41" s="42">
        <v>5.66</v>
      </c>
      <c r="G41" s="42">
        <v>4.34</v>
      </c>
      <c r="H41" s="42">
        <v>4.82</v>
      </c>
      <c r="I41" s="42">
        <v>1.74</v>
      </c>
      <c r="J41" s="46">
        <v>3.25</v>
      </c>
      <c r="L41" s="44" t="s">
        <v>1765</v>
      </c>
      <c r="M41" s="42">
        <v>2.84</v>
      </c>
      <c r="N41" s="42">
        <v>5.45</v>
      </c>
      <c r="O41" s="42">
        <v>5.18</v>
      </c>
      <c r="P41" s="42">
        <v>6.09</v>
      </c>
      <c r="Q41" s="42">
        <v>0</v>
      </c>
      <c r="R41" s="42">
        <v>3.72</v>
      </c>
      <c r="S41" s="42">
        <v>3.06</v>
      </c>
      <c r="T41" s="46">
        <v>3.4</v>
      </c>
      <c r="V41" s="44" t="s">
        <v>1765</v>
      </c>
      <c r="W41" s="42">
        <v>3.92</v>
      </c>
      <c r="X41" s="42">
        <v>4.29</v>
      </c>
      <c r="Y41" s="42">
        <v>4.16</v>
      </c>
      <c r="Z41" s="42">
        <v>4.3099999999999996</v>
      </c>
      <c r="AA41" s="42">
        <v>3.63</v>
      </c>
      <c r="AB41" s="42">
        <v>3.1</v>
      </c>
      <c r="AC41" s="42">
        <v>1.61</v>
      </c>
      <c r="AD41" s="46">
        <v>1.19</v>
      </c>
      <c r="AF41" s="44" t="s">
        <v>1765</v>
      </c>
      <c r="AG41" s="42">
        <v>4.2</v>
      </c>
      <c r="AH41" s="42">
        <v>6.07</v>
      </c>
      <c r="AI41" s="42">
        <v>3.76</v>
      </c>
      <c r="AJ41" s="42">
        <v>5.1100000000000003</v>
      </c>
      <c r="AK41" s="42">
        <v>5.42</v>
      </c>
      <c r="AL41" s="42">
        <v>1.83</v>
      </c>
      <c r="AM41" s="42">
        <v>3.74</v>
      </c>
      <c r="AN41" s="46">
        <v>3.18</v>
      </c>
      <c r="AP41" s="44" t="s">
        <v>1763</v>
      </c>
      <c r="AQ41" s="42">
        <v>0</v>
      </c>
      <c r="AR41" s="42">
        <v>1.17</v>
      </c>
      <c r="AS41" s="42">
        <v>2.59</v>
      </c>
      <c r="AT41" s="42">
        <v>3.56</v>
      </c>
      <c r="AU41" s="42">
        <v>1.37</v>
      </c>
      <c r="AV41" s="42">
        <v>1.37</v>
      </c>
      <c r="AW41" s="42">
        <v>1.17</v>
      </c>
      <c r="AX41" s="46">
        <v>0</v>
      </c>
      <c r="AZ41" s="44" t="s">
        <v>1765</v>
      </c>
      <c r="BA41" s="42">
        <v>0.62</v>
      </c>
      <c r="BB41" s="42">
        <v>4.8899999999999997</v>
      </c>
      <c r="BC41" s="42">
        <v>0.33</v>
      </c>
      <c r="BD41" s="42">
        <v>1.61</v>
      </c>
      <c r="BE41" s="42">
        <v>1.89</v>
      </c>
      <c r="BF41" s="42">
        <v>1.89</v>
      </c>
      <c r="BG41" s="42">
        <v>0.73</v>
      </c>
      <c r="BH41" s="46">
        <v>1.17</v>
      </c>
      <c r="BJ41" s="44" t="s">
        <v>1765</v>
      </c>
      <c r="BK41" s="42">
        <v>14.87</v>
      </c>
      <c r="BL41" s="42">
        <v>1.61</v>
      </c>
      <c r="BM41" s="42">
        <v>1.89</v>
      </c>
      <c r="BN41" s="42">
        <v>3.04</v>
      </c>
      <c r="BO41" s="42">
        <v>1.61</v>
      </c>
      <c r="BP41" s="42">
        <v>2.59</v>
      </c>
      <c r="BQ41" s="42">
        <v>0.24</v>
      </c>
      <c r="BR41" s="46">
        <v>0.2</v>
      </c>
      <c r="BT41" s="44" t="s">
        <v>1763</v>
      </c>
      <c r="BU41" s="42">
        <v>0.85</v>
      </c>
      <c r="BV41" s="42">
        <v>0.45</v>
      </c>
      <c r="BW41" s="42">
        <v>0.15</v>
      </c>
      <c r="BX41" s="42">
        <v>1.17</v>
      </c>
      <c r="BY41" s="42">
        <v>0.85</v>
      </c>
      <c r="BZ41" s="42">
        <v>0.39</v>
      </c>
      <c r="CA41" s="42">
        <v>0.39</v>
      </c>
      <c r="CB41" s="46">
        <v>1.89</v>
      </c>
    </row>
    <row r="42" spans="2:80">
      <c r="B42" s="44" t="s">
        <v>1764</v>
      </c>
      <c r="C42" s="42">
        <v>3.01</v>
      </c>
      <c r="D42" s="42">
        <v>4.3899999999999997</v>
      </c>
      <c r="E42" s="42">
        <v>5.29</v>
      </c>
      <c r="F42" s="42">
        <v>5.63</v>
      </c>
      <c r="G42" s="42">
        <v>4.34</v>
      </c>
      <c r="H42" s="42">
        <v>4.84</v>
      </c>
      <c r="I42" s="42">
        <v>1.75</v>
      </c>
      <c r="J42" s="46">
        <v>2.56</v>
      </c>
      <c r="L42" s="44" t="s">
        <v>1765</v>
      </c>
      <c r="M42" s="42">
        <v>2.85</v>
      </c>
      <c r="N42" s="42">
        <v>5.44</v>
      </c>
      <c r="O42" s="42">
        <v>0</v>
      </c>
      <c r="P42" s="42">
        <v>3.99</v>
      </c>
      <c r="Q42" s="42">
        <v>0</v>
      </c>
      <c r="R42" s="42">
        <v>3.73</v>
      </c>
      <c r="S42" s="42">
        <v>3.05</v>
      </c>
      <c r="T42" s="46">
        <v>3.45</v>
      </c>
      <c r="V42" s="44" t="s">
        <v>1765</v>
      </c>
      <c r="W42" s="42">
        <v>3.94</v>
      </c>
      <c r="X42" s="42">
        <v>4.2699999999999996</v>
      </c>
      <c r="Y42" s="42">
        <v>4.1399999999999997</v>
      </c>
      <c r="Z42" s="42">
        <v>4.32</v>
      </c>
      <c r="AA42" s="42">
        <v>3.61</v>
      </c>
      <c r="AB42" s="42">
        <v>3.1</v>
      </c>
      <c r="AC42" s="42">
        <v>0.45</v>
      </c>
      <c r="AD42" s="46">
        <v>1.23</v>
      </c>
      <c r="AF42" s="44" t="s">
        <v>1765</v>
      </c>
      <c r="AG42" s="42">
        <v>4.17</v>
      </c>
      <c r="AH42" s="42">
        <v>6.14</v>
      </c>
      <c r="AI42" s="42">
        <v>3.77</v>
      </c>
      <c r="AJ42" s="42">
        <v>5.21</v>
      </c>
      <c r="AK42" s="42">
        <v>5.48</v>
      </c>
      <c r="AL42" s="42">
        <v>1.84</v>
      </c>
      <c r="AM42" s="42">
        <v>3.76</v>
      </c>
      <c r="AN42" s="46">
        <v>3.06</v>
      </c>
      <c r="AP42" s="44" t="s">
        <v>1763</v>
      </c>
      <c r="AQ42" s="42">
        <v>3.04</v>
      </c>
      <c r="AR42" s="42">
        <v>1.17</v>
      </c>
      <c r="AS42" s="42">
        <v>9.24</v>
      </c>
      <c r="AT42" s="42">
        <v>3.56</v>
      </c>
      <c r="AU42" s="42">
        <v>1.61</v>
      </c>
      <c r="AV42" s="42">
        <v>1.37</v>
      </c>
      <c r="AW42" s="42">
        <v>1.37</v>
      </c>
      <c r="AX42" s="46">
        <v>0</v>
      </c>
      <c r="AZ42" s="44" t="s">
        <v>1765</v>
      </c>
      <c r="BA42" s="42">
        <v>0.62</v>
      </c>
      <c r="BB42" s="42">
        <v>0.45</v>
      </c>
      <c r="BC42" s="42">
        <v>0.39</v>
      </c>
      <c r="BD42" s="42">
        <v>1.61</v>
      </c>
      <c r="BE42" s="42">
        <v>2.21</v>
      </c>
      <c r="BF42" s="42">
        <v>1.61</v>
      </c>
      <c r="BG42" s="42">
        <v>0.62</v>
      </c>
      <c r="BH42" s="46">
        <v>1.17</v>
      </c>
      <c r="BJ42" s="44" t="s">
        <v>1765</v>
      </c>
      <c r="BK42" s="42">
        <v>14.87</v>
      </c>
      <c r="BL42" s="42">
        <v>1.37</v>
      </c>
      <c r="BM42" s="42">
        <v>1.61</v>
      </c>
      <c r="BN42" s="42">
        <v>3.56</v>
      </c>
      <c r="BO42" s="42">
        <v>1.89</v>
      </c>
      <c r="BP42" s="42">
        <v>2.59</v>
      </c>
      <c r="BQ42" s="42">
        <v>0.2</v>
      </c>
      <c r="BR42" s="46">
        <v>0.2</v>
      </c>
      <c r="BT42" s="44" t="s">
        <v>1763</v>
      </c>
      <c r="BU42" s="42">
        <v>0.85</v>
      </c>
      <c r="BV42" s="42">
        <v>0.45</v>
      </c>
      <c r="BW42" s="42">
        <v>0.15</v>
      </c>
      <c r="BX42" s="42">
        <v>1.17</v>
      </c>
      <c r="BY42" s="42">
        <v>1.89</v>
      </c>
      <c r="BZ42" s="42">
        <v>0.73</v>
      </c>
      <c r="CA42" s="42">
        <v>0.28000000000000003</v>
      </c>
      <c r="CB42" s="46">
        <v>3.04</v>
      </c>
    </row>
    <row r="43" spans="2:80">
      <c r="B43" s="44" t="s">
        <v>1764</v>
      </c>
      <c r="C43" s="42">
        <v>2.95</v>
      </c>
      <c r="D43" s="42">
        <v>4.3899999999999997</v>
      </c>
      <c r="E43" s="42">
        <v>5.27</v>
      </c>
      <c r="F43" s="42">
        <v>1.96</v>
      </c>
      <c r="G43" s="42">
        <v>4.3</v>
      </c>
      <c r="H43" s="42">
        <v>4.87</v>
      </c>
      <c r="I43" s="42">
        <v>1.7</v>
      </c>
      <c r="J43" s="46">
        <v>2.2400000000000002</v>
      </c>
      <c r="L43" s="44" t="s">
        <v>1765</v>
      </c>
      <c r="M43" s="42">
        <v>2.86</v>
      </c>
      <c r="N43" s="42">
        <v>5.48</v>
      </c>
      <c r="O43" s="42">
        <v>5.19</v>
      </c>
      <c r="P43" s="42">
        <v>6.07</v>
      </c>
      <c r="Q43" s="42">
        <v>0</v>
      </c>
      <c r="R43" s="42">
        <v>3.72</v>
      </c>
      <c r="S43" s="42">
        <v>3.06</v>
      </c>
      <c r="T43" s="46">
        <v>3.5</v>
      </c>
      <c r="V43" s="44" t="s">
        <v>1765</v>
      </c>
      <c r="W43" s="42">
        <v>3.91</v>
      </c>
      <c r="X43" s="42">
        <v>4.26</v>
      </c>
      <c r="Y43" s="42">
        <v>1.1200000000000001</v>
      </c>
      <c r="Z43" s="42">
        <v>4.28</v>
      </c>
      <c r="AA43" s="42">
        <v>0.69</v>
      </c>
      <c r="AB43" s="42">
        <v>3.12</v>
      </c>
      <c r="AC43" s="42">
        <v>1.62</v>
      </c>
      <c r="AD43" s="46">
        <v>1.24</v>
      </c>
      <c r="AF43" s="44" t="s">
        <v>1765</v>
      </c>
      <c r="AG43" s="42">
        <v>4.17</v>
      </c>
      <c r="AH43" s="42">
        <v>6.07</v>
      </c>
      <c r="AI43" s="42">
        <v>3.78</v>
      </c>
      <c r="AJ43" s="42">
        <v>0.41</v>
      </c>
      <c r="AK43" s="42">
        <v>5.44</v>
      </c>
      <c r="AL43" s="42">
        <v>1.84</v>
      </c>
      <c r="AM43" s="42">
        <v>3.74</v>
      </c>
      <c r="AN43" s="46">
        <v>0</v>
      </c>
      <c r="AP43" s="44" t="s">
        <v>1763</v>
      </c>
      <c r="AQ43" s="42">
        <v>2.59</v>
      </c>
      <c r="AR43" s="42">
        <v>1.17</v>
      </c>
      <c r="AS43" s="42">
        <v>2.59</v>
      </c>
      <c r="AT43" s="42">
        <v>3.56</v>
      </c>
      <c r="AU43" s="42">
        <v>1.37</v>
      </c>
      <c r="AV43" s="42">
        <v>1.17</v>
      </c>
      <c r="AW43" s="42">
        <v>1.17</v>
      </c>
      <c r="AX43" s="46">
        <v>0</v>
      </c>
      <c r="AZ43" s="44" t="s">
        <v>1765</v>
      </c>
      <c r="BA43" s="42">
        <v>0.62</v>
      </c>
      <c r="BB43" s="42">
        <v>0.45</v>
      </c>
      <c r="BC43" s="42">
        <v>0.39</v>
      </c>
      <c r="BD43" s="42">
        <v>1.61</v>
      </c>
      <c r="BE43" s="42">
        <v>2.21</v>
      </c>
      <c r="BF43" s="42">
        <v>1.89</v>
      </c>
      <c r="BG43" s="42">
        <v>0.62</v>
      </c>
      <c r="BH43" s="46">
        <v>0</v>
      </c>
      <c r="BJ43" s="44" t="s">
        <v>1765</v>
      </c>
      <c r="BK43" s="42">
        <v>14.87</v>
      </c>
      <c r="BL43" s="42">
        <v>1.37</v>
      </c>
      <c r="BM43" s="42">
        <v>1.61</v>
      </c>
      <c r="BN43" s="42">
        <v>3.56</v>
      </c>
      <c r="BO43" s="42">
        <v>1.61</v>
      </c>
      <c r="BP43" s="42">
        <v>2.59</v>
      </c>
      <c r="BQ43" s="42">
        <v>0.24</v>
      </c>
      <c r="BR43" s="46">
        <v>0.2</v>
      </c>
      <c r="BT43" s="44" t="s">
        <v>1763</v>
      </c>
      <c r="BU43" s="42">
        <v>0.85</v>
      </c>
      <c r="BV43" s="42">
        <v>1.17</v>
      </c>
      <c r="BW43" s="42">
        <v>0.15</v>
      </c>
      <c r="BX43" s="42">
        <v>1.17</v>
      </c>
      <c r="BY43" s="42">
        <v>2.21</v>
      </c>
      <c r="BZ43" s="42">
        <v>0.73</v>
      </c>
      <c r="CA43" s="42">
        <v>0.33</v>
      </c>
      <c r="CB43" s="46">
        <v>2.59</v>
      </c>
    </row>
    <row r="44" spans="2:80">
      <c r="B44" s="44" t="s">
        <v>1766</v>
      </c>
      <c r="C44" s="42">
        <v>2.95</v>
      </c>
      <c r="D44" s="42">
        <v>4.42</v>
      </c>
      <c r="E44" s="42">
        <v>5.3</v>
      </c>
      <c r="F44" s="42">
        <v>5.0999999999999996</v>
      </c>
      <c r="G44" s="42">
        <v>4.32</v>
      </c>
      <c r="H44" s="42">
        <v>3.48</v>
      </c>
      <c r="I44" s="42">
        <v>1.72</v>
      </c>
      <c r="J44" s="46">
        <v>2.2599999999999998</v>
      </c>
      <c r="L44" s="44" t="s">
        <v>1766</v>
      </c>
      <c r="M44" s="42">
        <v>2.86</v>
      </c>
      <c r="N44" s="42">
        <v>5.42</v>
      </c>
      <c r="O44" s="42">
        <v>5.14</v>
      </c>
      <c r="P44" s="42">
        <v>6.06</v>
      </c>
      <c r="Q44" s="42">
        <v>0</v>
      </c>
      <c r="R44" s="42">
        <v>3.72</v>
      </c>
      <c r="S44" s="42">
        <v>0.63</v>
      </c>
      <c r="T44" s="46">
        <v>3.56</v>
      </c>
      <c r="V44" s="44" t="s">
        <v>1767</v>
      </c>
      <c r="W44" s="42">
        <v>3.9</v>
      </c>
      <c r="X44" s="42">
        <v>4.2699999999999996</v>
      </c>
      <c r="Y44" s="42">
        <v>4.1900000000000004</v>
      </c>
      <c r="Z44" s="42">
        <v>4.3</v>
      </c>
      <c r="AA44" s="42">
        <v>3.57</v>
      </c>
      <c r="AB44" s="42">
        <v>3.13</v>
      </c>
      <c r="AC44" s="42">
        <v>0.06</v>
      </c>
      <c r="AD44" s="46">
        <v>1.24</v>
      </c>
      <c r="AF44" s="44" t="s">
        <v>1767</v>
      </c>
      <c r="AG44" s="42">
        <v>4.17</v>
      </c>
      <c r="AH44" s="42">
        <v>6.13</v>
      </c>
      <c r="AI44" s="42">
        <v>3.74</v>
      </c>
      <c r="AJ44" s="42">
        <v>5.64</v>
      </c>
      <c r="AK44" s="42">
        <v>0</v>
      </c>
      <c r="AL44" s="42">
        <v>1.82</v>
      </c>
      <c r="AM44" s="42">
        <v>3.74</v>
      </c>
      <c r="AN44" s="46">
        <v>0</v>
      </c>
      <c r="AP44" s="44" t="s">
        <v>1764</v>
      </c>
      <c r="AQ44" s="42">
        <v>14.87</v>
      </c>
      <c r="AR44" s="42">
        <v>0</v>
      </c>
      <c r="AS44" s="42">
        <v>0</v>
      </c>
      <c r="AT44" s="42">
        <v>2.59</v>
      </c>
      <c r="AU44" s="42">
        <v>1.61</v>
      </c>
      <c r="AV44" s="42">
        <v>99.99</v>
      </c>
      <c r="AW44" s="42">
        <v>0.33</v>
      </c>
      <c r="AX44" s="46">
        <v>3.04</v>
      </c>
      <c r="AZ44" s="44" t="s">
        <v>1767</v>
      </c>
      <c r="BA44" s="42">
        <v>0.45</v>
      </c>
      <c r="BB44" s="42">
        <v>4.18</v>
      </c>
      <c r="BC44" s="42">
        <v>0.33</v>
      </c>
      <c r="BD44" s="42">
        <v>1.61</v>
      </c>
      <c r="BE44" s="42">
        <v>2.59</v>
      </c>
      <c r="BF44" s="42">
        <v>1.89</v>
      </c>
      <c r="BG44" s="42">
        <v>0.73</v>
      </c>
      <c r="BH44" s="46">
        <v>1.17</v>
      </c>
      <c r="BJ44" s="44" t="s">
        <v>1767</v>
      </c>
      <c r="BK44" s="42">
        <v>14.87</v>
      </c>
      <c r="BL44" s="42">
        <v>1.37</v>
      </c>
      <c r="BM44" s="42">
        <v>1.61</v>
      </c>
      <c r="BN44" s="42">
        <v>1.89</v>
      </c>
      <c r="BO44" s="42">
        <v>1.89</v>
      </c>
      <c r="BP44" s="42">
        <v>2.59</v>
      </c>
      <c r="BQ44" s="42">
        <v>0.2</v>
      </c>
      <c r="BR44" s="46">
        <v>0.24</v>
      </c>
      <c r="BT44" s="44" t="s">
        <v>1764</v>
      </c>
      <c r="BU44" s="42">
        <v>0.85</v>
      </c>
      <c r="BV44" s="42">
        <v>0.45</v>
      </c>
      <c r="BW44" s="42">
        <v>0.15</v>
      </c>
      <c r="BX44" s="42">
        <v>10.83</v>
      </c>
      <c r="BY44" s="42">
        <v>0.85</v>
      </c>
      <c r="BZ44" s="42">
        <v>0.62</v>
      </c>
      <c r="CA44" s="42">
        <v>0.28000000000000003</v>
      </c>
      <c r="CB44" s="46">
        <v>3.56</v>
      </c>
    </row>
    <row r="45" spans="2:80">
      <c r="B45" s="44" t="s">
        <v>1766</v>
      </c>
      <c r="C45" s="42">
        <v>2.99</v>
      </c>
      <c r="D45" s="42">
        <v>0</v>
      </c>
      <c r="E45" s="42">
        <v>5.26</v>
      </c>
      <c r="F45" s="42">
        <v>5.62</v>
      </c>
      <c r="G45" s="42">
        <v>4.32</v>
      </c>
      <c r="H45" s="42">
        <v>2</v>
      </c>
      <c r="I45" s="42">
        <v>1.74</v>
      </c>
      <c r="J45" s="46">
        <v>2.2599999999999998</v>
      </c>
      <c r="L45" s="44" t="s">
        <v>1766</v>
      </c>
      <c r="M45" s="42">
        <v>2.85</v>
      </c>
      <c r="N45" s="42">
        <v>5.47</v>
      </c>
      <c r="O45" s="42">
        <v>5.17</v>
      </c>
      <c r="P45" s="42">
        <v>4.21</v>
      </c>
      <c r="Q45" s="42">
        <v>5.15</v>
      </c>
      <c r="R45" s="42">
        <v>3.74</v>
      </c>
      <c r="S45" s="42">
        <v>3.03</v>
      </c>
      <c r="T45" s="46">
        <v>0</v>
      </c>
      <c r="V45" s="44" t="s">
        <v>1767</v>
      </c>
      <c r="W45" s="42">
        <v>3.94</v>
      </c>
      <c r="X45" s="42">
        <v>4.26</v>
      </c>
      <c r="Y45" s="42">
        <v>4.17</v>
      </c>
      <c r="Z45" s="42">
        <v>4.3499999999999996</v>
      </c>
      <c r="AA45" s="42">
        <v>3.62</v>
      </c>
      <c r="AB45" s="42">
        <v>3.13</v>
      </c>
      <c r="AC45" s="42">
        <v>1.64</v>
      </c>
      <c r="AD45" s="46">
        <v>1.28</v>
      </c>
      <c r="AF45" s="44" t="s">
        <v>1767</v>
      </c>
      <c r="AG45" s="42">
        <v>4.1500000000000004</v>
      </c>
      <c r="AH45" s="42">
        <v>6.08</v>
      </c>
      <c r="AI45" s="42">
        <v>3.83</v>
      </c>
      <c r="AJ45" s="42">
        <v>5.14</v>
      </c>
      <c r="AK45" s="42">
        <v>5.47</v>
      </c>
      <c r="AL45" s="42">
        <v>1.83</v>
      </c>
      <c r="AM45" s="42">
        <v>3.77</v>
      </c>
      <c r="AN45" s="46">
        <v>3.2</v>
      </c>
      <c r="AP45" s="44" t="s">
        <v>1764</v>
      </c>
      <c r="AQ45" s="42">
        <v>0</v>
      </c>
      <c r="AR45" s="42">
        <v>0</v>
      </c>
      <c r="AS45" s="42">
        <v>0</v>
      </c>
      <c r="AT45" s="42">
        <v>2.59</v>
      </c>
      <c r="AU45" s="42">
        <v>1.61</v>
      </c>
      <c r="AV45" s="42">
        <v>99.99</v>
      </c>
      <c r="AW45" s="42">
        <v>0.39</v>
      </c>
      <c r="AX45" s="46">
        <v>3.04</v>
      </c>
      <c r="AZ45" s="44" t="s">
        <v>1767</v>
      </c>
      <c r="BA45" s="42">
        <v>0</v>
      </c>
      <c r="BB45" s="42">
        <v>0.39</v>
      </c>
      <c r="BC45" s="42">
        <v>0.15</v>
      </c>
      <c r="BD45" s="42">
        <v>3.56</v>
      </c>
      <c r="BE45" s="42">
        <v>20.43</v>
      </c>
      <c r="BF45" s="42">
        <v>1.89</v>
      </c>
      <c r="BG45" s="42">
        <v>0.73</v>
      </c>
      <c r="BH45" s="46">
        <v>1.17</v>
      </c>
      <c r="BJ45" s="44" t="s">
        <v>1767</v>
      </c>
      <c r="BK45" s="42">
        <v>12.69</v>
      </c>
      <c r="BL45" s="42">
        <v>1.61</v>
      </c>
      <c r="BM45" s="42">
        <v>10.83</v>
      </c>
      <c r="BN45" s="42">
        <v>3.56</v>
      </c>
      <c r="BO45" s="42">
        <v>1.89</v>
      </c>
      <c r="BP45" s="42">
        <v>2.59</v>
      </c>
      <c r="BQ45" s="42">
        <v>0.24</v>
      </c>
      <c r="BR45" s="46">
        <v>0.2</v>
      </c>
      <c r="BT45" s="44" t="s">
        <v>1764</v>
      </c>
      <c r="BU45" s="42">
        <v>0.85</v>
      </c>
      <c r="BV45" s="42">
        <v>0.45</v>
      </c>
      <c r="BW45" s="42">
        <v>0.15</v>
      </c>
      <c r="BX45" s="42">
        <v>0</v>
      </c>
      <c r="BY45" s="42">
        <v>1.89</v>
      </c>
      <c r="BZ45" s="42">
        <v>0.73</v>
      </c>
      <c r="CA45" s="42">
        <v>0.28000000000000003</v>
      </c>
      <c r="CB45" s="46">
        <v>2.21</v>
      </c>
    </row>
    <row r="46" spans="2:80">
      <c r="B46" s="44" t="s">
        <v>1766</v>
      </c>
      <c r="C46" s="42">
        <v>3.02</v>
      </c>
      <c r="D46" s="42">
        <v>4.3600000000000003</v>
      </c>
      <c r="E46" s="42">
        <v>5.26</v>
      </c>
      <c r="F46" s="42">
        <v>5.64</v>
      </c>
      <c r="G46" s="42">
        <v>4.3099999999999996</v>
      </c>
      <c r="H46" s="42">
        <v>0.66</v>
      </c>
      <c r="I46" s="42">
        <v>1.75</v>
      </c>
      <c r="J46" s="46">
        <v>1.52</v>
      </c>
      <c r="L46" s="44" t="s">
        <v>1766</v>
      </c>
      <c r="M46" s="42">
        <v>2.85</v>
      </c>
      <c r="N46" s="42">
        <v>5.48</v>
      </c>
      <c r="O46" s="42">
        <v>5.18</v>
      </c>
      <c r="P46" s="42">
        <v>1.56</v>
      </c>
      <c r="Q46" s="42">
        <v>0</v>
      </c>
      <c r="R46" s="42">
        <v>3.72</v>
      </c>
      <c r="S46" s="42">
        <v>0.13</v>
      </c>
      <c r="T46" s="46">
        <v>3.45</v>
      </c>
      <c r="V46" s="44" t="s">
        <v>1767</v>
      </c>
      <c r="W46" s="42">
        <v>3.94</v>
      </c>
      <c r="X46" s="42">
        <v>4.24</v>
      </c>
      <c r="Y46" s="42">
        <v>4.17</v>
      </c>
      <c r="Z46" s="42">
        <v>4.26</v>
      </c>
      <c r="AA46" s="42">
        <v>3.58</v>
      </c>
      <c r="AB46" s="42">
        <v>3.13</v>
      </c>
      <c r="AC46" s="42">
        <v>1.63</v>
      </c>
      <c r="AD46" s="46">
        <v>1.25</v>
      </c>
      <c r="AF46" s="44" t="s">
        <v>1767</v>
      </c>
      <c r="AG46" s="42">
        <v>4.1500000000000004</v>
      </c>
      <c r="AH46" s="42">
        <v>6.09</v>
      </c>
      <c r="AI46" s="42">
        <v>3.78</v>
      </c>
      <c r="AJ46" s="42">
        <v>5.2</v>
      </c>
      <c r="AK46" s="42">
        <v>5.45</v>
      </c>
      <c r="AL46" s="42">
        <v>1.83</v>
      </c>
      <c r="AM46" s="42">
        <v>3.76</v>
      </c>
      <c r="AN46" s="46">
        <v>3.16</v>
      </c>
      <c r="AP46" s="44" t="s">
        <v>1764</v>
      </c>
      <c r="AQ46" s="42">
        <v>2.59</v>
      </c>
      <c r="AR46" s="42">
        <v>0</v>
      </c>
      <c r="AS46" s="42">
        <v>2.59</v>
      </c>
      <c r="AT46" s="42">
        <v>3.56</v>
      </c>
      <c r="AU46" s="42">
        <v>1.61</v>
      </c>
      <c r="AV46" s="42">
        <v>1.17</v>
      </c>
      <c r="AW46" s="42">
        <v>1.17</v>
      </c>
      <c r="AX46" s="46">
        <v>1.17</v>
      </c>
      <c r="AZ46" s="44" t="s">
        <v>1767</v>
      </c>
      <c r="BA46" s="42">
        <v>0.53</v>
      </c>
      <c r="BB46" s="42">
        <v>0.45</v>
      </c>
      <c r="BC46" s="42">
        <v>0.33</v>
      </c>
      <c r="BD46" s="42">
        <v>1.61</v>
      </c>
      <c r="BE46" s="42">
        <v>2.59</v>
      </c>
      <c r="BF46" s="42">
        <v>1.89</v>
      </c>
      <c r="BG46" s="42">
        <v>0.62</v>
      </c>
      <c r="BH46" s="46">
        <v>1.17</v>
      </c>
      <c r="BJ46" s="44" t="s">
        <v>1767</v>
      </c>
      <c r="BK46" s="42">
        <v>7.88</v>
      </c>
      <c r="BL46" s="42">
        <v>1.61</v>
      </c>
      <c r="BM46" s="42">
        <v>1.61</v>
      </c>
      <c r="BN46" s="42">
        <v>1.89</v>
      </c>
      <c r="BO46" s="42">
        <v>1.61</v>
      </c>
      <c r="BP46" s="42">
        <v>3.56</v>
      </c>
      <c r="BQ46" s="42">
        <v>0.2</v>
      </c>
      <c r="BR46" s="46">
        <v>0.24</v>
      </c>
      <c r="BT46" s="44" t="s">
        <v>1764</v>
      </c>
      <c r="BU46" s="42">
        <v>0.85</v>
      </c>
      <c r="BV46" s="42">
        <v>0.45</v>
      </c>
      <c r="BW46" s="42">
        <v>0.15</v>
      </c>
      <c r="BX46" s="42">
        <v>1.17</v>
      </c>
      <c r="BY46" s="42">
        <v>1.89</v>
      </c>
      <c r="BZ46" s="42">
        <v>0.73</v>
      </c>
      <c r="CA46" s="42">
        <v>0.33</v>
      </c>
      <c r="CB46" s="46">
        <v>2.21</v>
      </c>
    </row>
    <row r="47" spans="2:80">
      <c r="B47" s="44" t="s">
        <v>1766</v>
      </c>
      <c r="C47" s="42">
        <v>3.01</v>
      </c>
      <c r="D47" s="42">
        <v>4.37</v>
      </c>
      <c r="E47" s="42">
        <v>5.3</v>
      </c>
      <c r="F47" s="42">
        <v>5.63</v>
      </c>
      <c r="G47" s="42">
        <v>4.32</v>
      </c>
      <c r="H47" s="42">
        <v>4.84</v>
      </c>
      <c r="I47" s="42">
        <v>0</v>
      </c>
      <c r="J47" s="46">
        <v>2.2599999999999998</v>
      </c>
      <c r="L47" s="44" t="s">
        <v>1766</v>
      </c>
      <c r="M47" s="42">
        <v>2.86</v>
      </c>
      <c r="N47" s="42">
        <v>5.47</v>
      </c>
      <c r="O47" s="42">
        <v>5.17</v>
      </c>
      <c r="P47" s="42">
        <v>6.08</v>
      </c>
      <c r="Q47" s="42">
        <v>0</v>
      </c>
      <c r="R47" s="42">
        <v>3.72</v>
      </c>
      <c r="S47" s="42">
        <v>3.07</v>
      </c>
      <c r="T47" s="46">
        <v>3.37</v>
      </c>
      <c r="V47" s="44" t="s">
        <v>1767</v>
      </c>
      <c r="W47" s="42">
        <v>3.9</v>
      </c>
      <c r="X47" s="42">
        <v>1.1200000000000001</v>
      </c>
      <c r="Y47" s="42">
        <v>4.1500000000000004</v>
      </c>
      <c r="Z47" s="42">
        <v>4.28</v>
      </c>
      <c r="AA47" s="42">
        <v>3.64</v>
      </c>
      <c r="AB47" s="42">
        <v>3.11</v>
      </c>
      <c r="AC47" s="42">
        <v>1.64</v>
      </c>
      <c r="AD47" s="46">
        <v>1.24</v>
      </c>
      <c r="AF47" s="44" t="s">
        <v>1767</v>
      </c>
      <c r="AG47" s="42">
        <v>3.8</v>
      </c>
      <c r="AH47" s="42">
        <v>0.36</v>
      </c>
      <c r="AI47" s="42">
        <v>3.76</v>
      </c>
      <c r="AJ47" s="42">
        <v>5.09</v>
      </c>
      <c r="AK47" s="42">
        <v>5.43</v>
      </c>
      <c r="AL47" s="42">
        <v>1.87</v>
      </c>
      <c r="AM47" s="42">
        <v>3.74</v>
      </c>
      <c r="AN47" s="46">
        <v>3.11</v>
      </c>
      <c r="AP47" s="44" t="s">
        <v>1764</v>
      </c>
      <c r="AQ47" s="42">
        <v>2.59</v>
      </c>
      <c r="AR47" s="42">
        <v>0</v>
      </c>
      <c r="AS47" s="42">
        <v>2.59</v>
      </c>
      <c r="AT47" s="42">
        <v>3.56</v>
      </c>
      <c r="AU47" s="42">
        <v>1.37</v>
      </c>
      <c r="AV47" s="42">
        <v>1.17</v>
      </c>
      <c r="AW47" s="42">
        <v>0</v>
      </c>
      <c r="AX47" s="46">
        <v>0</v>
      </c>
      <c r="AZ47" s="44" t="s">
        <v>1767</v>
      </c>
      <c r="BA47" s="42">
        <v>0.53</v>
      </c>
      <c r="BB47" s="42">
        <v>3.56</v>
      </c>
      <c r="BC47" s="42">
        <v>0.39</v>
      </c>
      <c r="BD47" s="42">
        <v>1.61</v>
      </c>
      <c r="BE47" s="42">
        <v>2.59</v>
      </c>
      <c r="BF47" s="42">
        <v>1.89</v>
      </c>
      <c r="BG47" s="42">
        <v>0.62</v>
      </c>
      <c r="BH47" s="46">
        <v>1.17</v>
      </c>
      <c r="BJ47" s="44" t="s">
        <v>1767</v>
      </c>
      <c r="BK47" s="42">
        <v>9.24</v>
      </c>
      <c r="BL47" s="42">
        <v>0.85</v>
      </c>
      <c r="BM47" s="42">
        <v>0.2</v>
      </c>
      <c r="BN47" s="42">
        <v>1.89</v>
      </c>
      <c r="BO47" s="42">
        <v>1.61</v>
      </c>
      <c r="BP47" s="42">
        <v>3.56</v>
      </c>
      <c r="BQ47" s="42">
        <v>0.17</v>
      </c>
      <c r="BR47" s="46">
        <v>0.24</v>
      </c>
      <c r="BT47" s="44" t="s">
        <v>1764</v>
      </c>
      <c r="BU47" s="42">
        <v>0</v>
      </c>
      <c r="BV47" s="42">
        <v>7.88</v>
      </c>
      <c r="BW47" s="42">
        <v>0.13</v>
      </c>
      <c r="BX47" s="42">
        <v>4.18</v>
      </c>
      <c r="BY47" s="42">
        <v>0.85</v>
      </c>
      <c r="BZ47" s="42">
        <v>0.33</v>
      </c>
      <c r="CA47" s="42">
        <v>0.39</v>
      </c>
      <c r="CB47" s="46">
        <v>3.04</v>
      </c>
    </row>
    <row r="48" spans="2:80" ht="15.75" thickBot="1">
      <c r="B48" s="44" t="s">
        <v>1766</v>
      </c>
      <c r="C48" s="42">
        <v>99.99</v>
      </c>
      <c r="D48" s="42">
        <v>4.45</v>
      </c>
      <c r="E48" s="42">
        <v>5.3</v>
      </c>
      <c r="F48" s="42">
        <v>5.63</v>
      </c>
      <c r="G48" s="42">
        <v>4.3</v>
      </c>
      <c r="H48" s="42">
        <v>4.87</v>
      </c>
      <c r="I48" s="42">
        <v>1.73</v>
      </c>
      <c r="J48" s="46">
        <v>1.05</v>
      </c>
      <c r="L48" s="44" t="s">
        <v>1766</v>
      </c>
      <c r="M48" s="42">
        <v>2.85</v>
      </c>
      <c r="N48" s="42">
        <v>5.41</v>
      </c>
      <c r="O48" s="42">
        <v>5.2</v>
      </c>
      <c r="P48" s="42">
        <v>6.07</v>
      </c>
      <c r="Q48" s="42">
        <v>5.15</v>
      </c>
      <c r="R48" s="42">
        <v>3.72</v>
      </c>
      <c r="S48" s="42">
        <v>3.07</v>
      </c>
      <c r="T48" s="46">
        <v>3.44</v>
      </c>
      <c r="V48" s="44" t="s">
        <v>1767</v>
      </c>
      <c r="W48" s="42">
        <v>3.93</v>
      </c>
      <c r="X48" s="42">
        <v>0.46</v>
      </c>
      <c r="Y48" s="42">
        <v>4.1399999999999997</v>
      </c>
      <c r="Z48" s="42">
        <v>4.29</v>
      </c>
      <c r="AA48" s="42">
        <v>3.61</v>
      </c>
      <c r="AB48" s="42">
        <v>3.15</v>
      </c>
      <c r="AC48" s="42">
        <v>1.6</v>
      </c>
      <c r="AD48" s="46">
        <v>1.22</v>
      </c>
      <c r="AF48" s="44" t="s">
        <v>1767</v>
      </c>
      <c r="AG48" s="42">
        <v>4.16</v>
      </c>
      <c r="AH48" s="42">
        <v>6.12</v>
      </c>
      <c r="AI48" s="42">
        <v>3.77</v>
      </c>
      <c r="AJ48" s="42">
        <v>99.99</v>
      </c>
      <c r="AK48" s="42">
        <v>3.13</v>
      </c>
      <c r="AL48" s="42">
        <v>1.85</v>
      </c>
      <c r="AM48" s="42">
        <v>3.75</v>
      </c>
      <c r="AN48" s="46">
        <v>0</v>
      </c>
      <c r="AP48" s="44" t="s">
        <v>1764</v>
      </c>
      <c r="AQ48" s="42">
        <v>2.59</v>
      </c>
      <c r="AR48" s="42">
        <v>1.17</v>
      </c>
      <c r="AS48" s="42">
        <v>2.59</v>
      </c>
      <c r="AT48" s="42">
        <v>3.04</v>
      </c>
      <c r="AU48" s="42">
        <v>1.37</v>
      </c>
      <c r="AV48" s="42">
        <v>1.17</v>
      </c>
      <c r="AW48" s="42">
        <v>1.17</v>
      </c>
      <c r="AX48" s="46">
        <v>2.59</v>
      </c>
      <c r="AZ48" s="44" t="s">
        <v>1767</v>
      </c>
      <c r="BA48" s="42">
        <v>0.62</v>
      </c>
      <c r="BB48" s="42">
        <v>4.18</v>
      </c>
      <c r="BC48" s="42">
        <v>0.39</v>
      </c>
      <c r="BD48" s="42">
        <v>3.04</v>
      </c>
      <c r="BE48" s="42">
        <v>2.59</v>
      </c>
      <c r="BF48" s="42">
        <v>7.88</v>
      </c>
      <c r="BG48" s="42">
        <v>0.62</v>
      </c>
      <c r="BH48" s="46">
        <v>1.17</v>
      </c>
      <c r="BJ48" s="44" t="s">
        <v>1767</v>
      </c>
      <c r="BK48" s="42">
        <v>14.87</v>
      </c>
      <c r="BL48" s="42">
        <v>1.61</v>
      </c>
      <c r="BM48" s="42">
        <v>1.61</v>
      </c>
      <c r="BN48" s="42">
        <v>3.56</v>
      </c>
      <c r="BO48" s="42">
        <v>1.89</v>
      </c>
      <c r="BP48" s="42">
        <v>2.59</v>
      </c>
      <c r="BQ48" s="42">
        <v>0.24</v>
      </c>
      <c r="BR48" s="46">
        <v>0.2</v>
      </c>
      <c r="BT48" s="44" t="s">
        <v>1764</v>
      </c>
      <c r="BU48" s="42">
        <v>0.85</v>
      </c>
      <c r="BV48" s="42">
        <v>0.45</v>
      </c>
      <c r="BW48" s="42">
        <v>0.15</v>
      </c>
      <c r="BX48" s="42">
        <v>2.21</v>
      </c>
      <c r="BY48" s="42">
        <v>1.89</v>
      </c>
      <c r="BZ48" s="42">
        <v>0.62</v>
      </c>
      <c r="CA48" s="42">
        <v>0.28000000000000003</v>
      </c>
      <c r="CB48" s="46">
        <v>1.89</v>
      </c>
    </row>
    <row r="49" spans="2:80">
      <c r="B49" s="66" t="s">
        <v>936</v>
      </c>
      <c r="C49" s="63">
        <v>2.8634090909090899</v>
      </c>
      <c r="D49" s="57">
        <v>4.3536585365853604</v>
      </c>
      <c r="E49" s="57">
        <v>5.00590909090909</v>
      </c>
      <c r="F49" s="57">
        <v>4.9744444444444396</v>
      </c>
      <c r="G49" s="57">
        <v>4.0955555555555501</v>
      </c>
      <c r="H49" s="57">
        <v>4.3077777777777699</v>
      </c>
      <c r="I49" s="57">
        <v>1.75325581395348</v>
      </c>
      <c r="J49" s="58">
        <v>2.2702222222222201</v>
      </c>
      <c r="L49" s="66" t="s">
        <v>936</v>
      </c>
      <c r="M49" s="63">
        <v>2.7699999999999898</v>
      </c>
      <c r="N49" s="57">
        <v>5.3922222222222196</v>
      </c>
      <c r="O49" s="57">
        <v>4.8702380952380899</v>
      </c>
      <c r="P49" s="57">
        <v>5.3264444444444399</v>
      </c>
      <c r="Q49" s="57">
        <v>4.5860000000000003</v>
      </c>
      <c r="R49" s="57">
        <v>3.5191111111111102</v>
      </c>
      <c r="S49" s="57">
        <v>2.7386666666666599</v>
      </c>
      <c r="T49" s="58">
        <v>3.3268292682926801</v>
      </c>
      <c r="V49" s="44" t="s">
        <v>1766</v>
      </c>
      <c r="W49" s="42">
        <v>3.9</v>
      </c>
      <c r="X49" s="42">
        <v>0.9</v>
      </c>
      <c r="Y49" s="42">
        <v>4.1399999999999997</v>
      </c>
      <c r="Z49" s="42">
        <v>4.32</v>
      </c>
      <c r="AA49" s="42">
        <v>3.61</v>
      </c>
      <c r="AB49" s="42">
        <v>3.14</v>
      </c>
      <c r="AC49" s="42">
        <v>1.61</v>
      </c>
      <c r="AD49" s="46">
        <v>1.27</v>
      </c>
      <c r="AF49" s="44" t="s">
        <v>1766</v>
      </c>
      <c r="AG49" s="42">
        <v>4.1399999999999997</v>
      </c>
      <c r="AH49" s="42">
        <v>6.06</v>
      </c>
      <c r="AI49" s="42">
        <v>3.78</v>
      </c>
      <c r="AJ49" s="42">
        <v>5.31</v>
      </c>
      <c r="AK49" s="42">
        <v>5.43</v>
      </c>
      <c r="AL49" s="42">
        <v>1.85</v>
      </c>
      <c r="AM49" s="42">
        <v>3.75</v>
      </c>
      <c r="AN49" s="46">
        <v>0</v>
      </c>
      <c r="AP49" s="44" t="s">
        <v>1765</v>
      </c>
      <c r="AQ49" s="42">
        <v>2.59</v>
      </c>
      <c r="AR49" s="42">
        <v>1.17</v>
      </c>
      <c r="AS49" s="42">
        <v>2.59</v>
      </c>
      <c r="AT49" s="42">
        <v>2.59</v>
      </c>
      <c r="AU49" s="42">
        <v>1.37</v>
      </c>
      <c r="AV49" s="42">
        <v>1.17</v>
      </c>
      <c r="AW49" s="42">
        <v>1.37</v>
      </c>
      <c r="AX49" s="46">
        <v>3.04</v>
      </c>
      <c r="AZ49" s="44" t="s">
        <v>1766</v>
      </c>
      <c r="BA49" s="42">
        <v>0.62</v>
      </c>
      <c r="BB49" s="42">
        <v>4.18</v>
      </c>
      <c r="BC49" s="42">
        <v>0.39</v>
      </c>
      <c r="BD49" s="42">
        <v>1.61</v>
      </c>
      <c r="BE49" s="42">
        <v>2.59</v>
      </c>
      <c r="BF49" s="42">
        <v>1.89</v>
      </c>
      <c r="BG49" s="42">
        <v>0.73</v>
      </c>
      <c r="BH49" s="46">
        <v>0</v>
      </c>
      <c r="BJ49" s="44" t="s">
        <v>1766</v>
      </c>
      <c r="BK49" s="42">
        <v>14.87</v>
      </c>
      <c r="BL49" s="42">
        <v>1.37</v>
      </c>
      <c r="BM49" s="42">
        <v>1.89</v>
      </c>
      <c r="BN49" s="42">
        <v>0</v>
      </c>
      <c r="BO49" s="42">
        <v>1.37</v>
      </c>
      <c r="BP49" s="42">
        <v>2.21</v>
      </c>
      <c r="BQ49" s="42">
        <v>0.24</v>
      </c>
      <c r="BR49" s="46">
        <v>0.53</v>
      </c>
      <c r="BT49" s="44" t="s">
        <v>1765</v>
      </c>
      <c r="BU49" s="42">
        <v>0.85</v>
      </c>
      <c r="BV49" s="42">
        <v>0.45</v>
      </c>
      <c r="BW49" s="42">
        <v>0.15</v>
      </c>
      <c r="BX49" s="42">
        <v>0</v>
      </c>
      <c r="BY49" s="42">
        <v>1.89</v>
      </c>
      <c r="BZ49" s="42">
        <v>0.53</v>
      </c>
      <c r="CA49" s="42">
        <v>0.33</v>
      </c>
      <c r="CB49" s="46">
        <v>2.21</v>
      </c>
    </row>
    <row r="50" spans="2:80">
      <c r="B50" s="20" t="s">
        <v>515</v>
      </c>
      <c r="C50" s="64">
        <v>0.60566621163587697</v>
      </c>
      <c r="D50" s="42">
        <v>0.21854012410026799</v>
      </c>
      <c r="E50" s="42">
        <v>0.98869362425608198</v>
      </c>
      <c r="F50" s="42">
        <v>1.36680252260612</v>
      </c>
      <c r="G50" s="42">
        <v>0.760405025278723</v>
      </c>
      <c r="H50" s="42">
        <v>1.02988648541453</v>
      </c>
      <c r="I50" s="42">
        <v>2.1210016307851801E-2</v>
      </c>
      <c r="J50" s="46">
        <v>0.48472438394933398</v>
      </c>
      <c r="L50" s="20" t="s">
        <v>515</v>
      </c>
      <c r="M50" s="64">
        <v>0.23716848207316399</v>
      </c>
      <c r="N50" s="42">
        <v>0.39795526766425399</v>
      </c>
      <c r="O50" s="42">
        <v>0.945829160289274</v>
      </c>
      <c r="P50" s="42">
        <v>1.3089234856774501</v>
      </c>
      <c r="Q50" s="42">
        <v>1.1380087873122899</v>
      </c>
      <c r="R50" s="42">
        <v>0.71370651366953397</v>
      </c>
      <c r="S50" s="42">
        <v>0.83069341850983403</v>
      </c>
      <c r="T50" s="46">
        <v>0.63476302097861903</v>
      </c>
      <c r="V50" s="44" t="s">
        <v>1766</v>
      </c>
      <c r="W50" s="42">
        <v>3.89</v>
      </c>
      <c r="X50" s="42">
        <v>4.28</v>
      </c>
      <c r="Y50" s="42">
        <v>4.2</v>
      </c>
      <c r="Z50" s="42">
        <v>4.28</v>
      </c>
      <c r="AA50" s="42">
        <v>3.59</v>
      </c>
      <c r="AB50" s="42">
        <v>3.1</v>
      </c>
      <c r="AC50" s="42">
        <v>1.65</v>
      </c>
      <c r="AD50" s="46">
        <v>1.27</v>
      </c>
      <c r="AF50" s="44" t="s">
        <v>1766</v>
      </c>
      <c r="AG50" s="42">
        <v>4.16</v>
      </c>
      <c r="AH50" s="42">
        <v>6.13</v>
      </c>
      <c r="AI50" s="42">
        <v>3.77</v>
      </c>
      <c r="AJ50" s="42">
        <v>5.13</v>
      </c>
      <c r="AK50" s="42">
        <v>5.44</v>
      </c>
      <c r="AL50" s="42">
        <v>1.84</v>
      </c>
      <c r="AM50" s="42">
        <v>3.79</v>
      </c>
      <c r="AN50" s="46">
        <v>3.1</v>
      </c>
      <c r="AP50" s="44" t="s">
        <v>1765</v>
      </c>
      <c r="AQ50" s="42">
        <v>0</v>
      </c>
      <c r="AR50" s="42">
        <v>1.17</v>
      </c>
      <c r="AS50" s="42">
        <v>2.59</v>
      </c>
      <c r="AT50" s="42">
        <v>3.04</v>
      </c>
      <c r="AU50" s="42">
        <v>1.37</v>
      </c>
      <c r="AV50" s="42">
        <v>1.17</v>
      </c>
      <c r="AW50" s="42">
        <v>1.37</v>
      </c>
      <c r="AX50" s="46">
        <v>3.04</v>
      </c>
      <c r="AZ50" s="44" t="s">
        <v>1766</v>
      </c>
      <c r="BA50" s="42">
        <v>0.53</v>
      </c>
      <c r="BB50" s="42">
        <v>0.45</v>
      </c>
      <c r="BC50" s="42">
        <v>0.33</v>
      </c>
      <c r="BD50" s="42">
        <v>1.61</v>
      </c>
      <c r="BE50" s="42">
        <v>2.21</v>
      </c>
      <c r="BF50" s="42">
        <v>1.89</v>
      </c>
      <c r="BG50" s="42">
        <v>0.62</v>
      </c>
      <c r="BH50" s="46">
        <v>1.17</v>
      </c>
      <c r="BJ50" s="44" t="s">
        <v>1766</v>
      </c>
      <c r="BK50" s="42">
        <v>9.24</v>
      </c>
      <c r="BL50" s="42">
        <v>1.37</v>
      </c>
      <c r="BM50" s="42">
        <v>1.61</v>
      </c>
      <c r="BN50" s="42">
        <v>4.18</v>
      </c>
      <c r="BO50" s="42">
        <v>1.61</v>
      </c>
      <c r="BP50" s="42">
        <v>4.18</v>
      </c>
      <c r="BQ50" s="42">
        <v>0.24</v>
      </c>
      <c r="BR50" s="46">
        <v>0.17</v>
      </c>
      <c r="BT50" s="44" t="s">
        <v>1765</v>
      </c>
      <c r="BU50" s="42">
        <v>0.73</v>
      </c>
      <c r="BV50" s="42">
        <v>0.45</v>
      </c>
      <c r="BW50" s="42">
        <v>0.15</v>
      </c>
      <c r="BX50" s="42">
        <v>1.17</v>
      </c>
      <c r="BY50" s="42">
        <v>2.21</v>
      </c>
      <c r="BZ50" s="42">
        <v>0.85</v>
      </c>
      <c r="CA50" s="42">
        <v>0.28000000000000003</v>
      </c>
      <c r="CB50" s="46">
        <v>3.56</v>
      </c>
    </row>
    <row r="51" spans="2:80">
      <c r="B51" s="20" t="s">
        <v>520</v>
      </c>
      <c r="C51" s="64">
        <v>3.4690753025449599</v>
      </c>
      <c r="D51" s="42">
        <v>4.57219866068563</v>
      </c>
      <c r="E51" s="42">
        <v>5.9946027151651702</v>
      </c>
      <c r="F51" s="42">
        <v>6.3412469670505596</v>
      </c>
      <c r="G51" s="42">
        <v>4.8559605808342798</v>
      </c>
      <c r="H51" s="42">
        <v>5.3376642631923099</v>
      </c>
      <c r="I51" s="42">
        <v>1.7744658302613401</v>
      </c>
      <c r="J51" s="46">
        <v>2.7549466061715502</v>
      </c>
      <c r="L51" s="20" t="s">
        <v>520</v>
      </c>
      <c r="M51" s="64">
        <v>3.0071684820731601</v>
      </c>
      <c r="N51" s="42">
        <v>5.79017748988647</v>
      </c>
      <c r="O51" s="42">
        <v>5.8160672555273596</v>
      </c>
      <c r="P51" s="42">
        <v>6.6353679301219</v>
      </c>
      <c r="Q51" s="42">
        <v>5.7240087873122896</v>
      </c>
      <c r="R51" s="42">
        <v>4.2328176247806404</v>
      </c>
      <c r="S51" s="42">
        <v>3.5693600851765002</v>
      </c>
      <c r="T51" s="46">
        <v>3.9615922892712998</v>
      </c>
      <c r="V51" s="44" t="s">
        <v>1766</v>
      </c>
      <c r="W51" s="42">
        <v>3.93</v>
      </c>
      <c r="X51" s="42">
        <v>4.28</v>
      </c>
      <c r="Y51" s="42">
        <v>4.1500000000000004</v>
      </c>
      <c r="Z51" s="42">
        <v>4.29</v>
      </c>
      <c r="AA51" s="42">
        <v>3.6</v>
      </c>
      <c r="AB51" s="42">
        <v>3.14</v>
      </c>
      <c r="AC51" s="42">
        <v>1.64</v>
      </c>
      <c r="AD51" s="46">
        <v>1.21</v>
      </c>
      <c r="AF51" s="44" t="s">
        <v>1766</v>
      </c>
      <c r="AG51" s="42">
        <v>4.1500000000000004</v>
      </c>
      <c r="AH51" s="42">
        <v>6.06</v>
      </c>
      <c r="AI51" s="42">
        <v>3.78</v>
      </c>
      <c r="AJ51" s="42">
        <v>4.33</v>
      </c>
      <c r="AK51" s="42">
        <v>5.44</v>
      </c>
      <c r="AL51" s="42">
        <v>1.84</v>
      </c>
      <c r="AM51" s="42">
        <v>3.77</v>
      </c>
      <c r="AN51" s="46">
        <v>0</v>
      </c>
      <c r="AP51" s="44" t="s">
        <v>1765</v>
      </c>
      <c r="AQ51" s="42">
        <v>2.21</v>
      </c>
      <c r="AR51" s="42">
        <v>1.17</v>
      </c>
      <c r="AS51" s="42">
        <v>0</v>
      </c>
      <c r="AT51" s="42">
        <v>3.56</v>
      </c>
      <c r="AU51" s="42">
        <v>1.17</v>
      </c>
      <c r="AV51" s="42">
        <v>1.17</v>
      </c>
      <c r="AW51" s="42">
        <v>0.45</v>
      </c>
      <c r="AX51" s="46">
        <v>0</v>
      </c>
      <c r="AZ51" s="44" t="s">
        <v>1766</v>
      </c>
      <c r="BA51" s="42">
        <v>0.62</v>
      </c>
      <c r="BB51" s="42">
        <v>4.18</v>
      </c>
      <c r="BC51" s="42">
        <v>0.39</v>
      </c>
      <c r="BD51" s="42">
        <v>1.61</v>
      </c>
      <c r="BE51" s="42">
        <v>2.21</v>
      </c>
      <c r="BF51" s="42">
        <v>1.89</v>
      </c>
      <c r="BG51" s="42">
        <v>0.73</v>
      </c>
      <c r="BH51" s="46">
        <v>0</v>
      </c>
      <c r="BJ51" s="44" t="s">
        <v>1766</v>
      </c>
      <c r="BK51" s="42">
        <v>14.87</v>
      </c>
      <c r="BL51" s="42">
        <v>0.85</v>
      </c>
      <c r="BM51" s="42">
        <v>1.61</v>
      </c>
      <c r="BN51" s="42">
        <v>1.89</v>
      </c>
      <c r="BO51" s="42">
        <v>1.61</v>
      </c>
      <c r="BP51" s="42">
        <v>2.59</v>
      </c>
      <c r="BQ51" s="42">
        <v>0.24</v>
      </c>
      <c r="BR51" s="46">
        <v>0.53</v>
      </c>
      <c r="BT51" s="44" t="s">
        <v>1765</v>
      </c>
      <c r="BU51" s="42">
        <v>1.17</v>
      </c>
      <c r="BV51" s="42">
        <v>0.45</v>
      </c>
      <c r="BW51" s="42">
        <v>0.15</v>
      </c>
      <c r="BX51" s="42">
        <v>0</v>
      </c>
      <c r="BY51" s="42">
        <v>1.89</v>
      </c>
      <c r="BZ51" s="42">
        <v>0.33</v>
      </c>
      <c r="CA51" s="42">
        <v>0.45</v>
      </c>
      <c r="CB51" s="46">
        <v>2.21</v>
      </c>
    </row>
    <row r="52" spans="2:80">
      <c r="B52" s="20" t="s">
        <v>525</v>
      </c>
      <c r="C52" s="64">
        <v>2.2577428792732102</v>
      </c>
      <c r="D52" s="42">
        <v>4.1351184124850899</v>
      </c>
      <c r="E52" s="42">
        <v>4.0172154666530098</v>
      </c>
      <c r="F52" s="42">
        <v>3.6076419218383098</v>
      </c>
      <c r="G52" s="42">
        <v>3.3351505302768301</v>
      </c>
      <c r="H52" s="42">
        <v>3.2778912923632402</v>
      </c>
      <c r="I52" s="42">
        <v>1.73204579764563</v>
      </c>
      <c r="J52" s="46">
        <v>1.7854978382728799</v>
      </c>
      <c r="L52" s="20" t="s">
        <v>525</v>
      </c>
      <c r="M52" s="64">
        <v>2.5328315179268301</v>
      </c>
      <c r="N52" s="42">
        <v>4.9942669545579603</v>
      </c>
      <c r="O52" s="42">
        <v>3.9244089349488198</v>
      </c>
      <c r="P52" s="42">
        <v>4.0175209587669798</v>
      </c>
      <c r="Q52" s="42">
        <v>3.4479912126876999</v>
      </c>
      <c r="R52" s="42">
        <v>2.8054045974415698</v>
      </c>
      <c r="S52" s="42">
        <v>1.9079732481568299</v>
      </c>
      <c r="T52" s="46">
        <v>2.69206624731406</v>
      </c>
      <c r="V52" s="44" t="s">
        <v>1766</v>
      </c>
      <c r="W52" s="42">
        <v>3.91</v>
      </c>
      <c r="X52" s="42">
        <v>4.26</v>
      </c>
      <c r="Y52" s="42">
        <v>4.18</v>
      </c>
      <c r="Z52" s="42">
        <v>4.3499999999999996</v>
      </c>
      <c r="AA52" s="42">
        <v>3.56</v>
      </c>
      <c r="AB52" s="42">
        <v>3.09</v>
      </c>
      <c r="AC52" s="42">
        <v>1.63</v>
      </c>
      <c r="AD52" s="46">
        <v>1.25</v>
      </c>
      <c r="AF52" s="44" t="s">
        <v>1766</v>
      </c>
      <c r="AG52" s="42">
        <v>4.1399999999999997</v>
      </c>
      <c r="AH52" s="42">
        <v>6.1</v>
      </c>
      <c r="AI52" s="42">
        <v>3.12</v>
      </c>
      <c r="AJ52" s="42">
        <v>5.0999999999999996</v>
      </c>
      <c r="AK52" s="42">
        <v>5.46</v>
      </c>
      <c r="AL52" s="42">
        <v>1.86</v>
      </c>
      <c r="AM52" s="42">
        <v>3.76</v>
      </c>
      <c r="AN52" s="46">
        <v>3.17</v>
      </c>
      <c r="AP52" s="44" t="s">
        <v>1765</v>
      </c>
      <c r="AQ52" s="42">
        <v>2.59</v>
      </c>
      <c r="AR52" s="42">
        <v>0</v>
      </c>
      <c r="AS52" s="42">
        <v>9.24</v>
      </c>
      <c r="AT52" s="42">
        <v>2.59</v>
      </c>
      <c r="AU52" s="42">
        <v>1.37</v>
      </c>
      <c r="AV52" s="42">
        <v>1.37</v>
      </c>
      <c r="AW52" s="42">
        <v>1.17</v>
      </c>
      <c r="AX52" s="46">
        <v>0</v>
      </c>
      <c r="AZ52" s="44" t="s">
        <v>1766</v>
      </c>
      <c r="BA52" s="42">
        <v>0.53</v>
      </c>
      <c r="BB52" s="42">
        <v>4.18</v>
      </c>
      <c r="BC52" s="42">
        <v>0.33</v>
      </c>
      <c r="BD52" s="42">
        <v>1.61</v>
      </c>
      <c r="BE52" s="42">
        <v>2.21</v>
      </c>
      <c r="BF52" s="42">
        <v>2.21</v>
      </c>
      <c r="BG52" s="42">
        <v>0.53</v>
      </c>
      <c r="BH52" s="46">
        <v>1.17</v>
      </c>
      <c r="BJ52" s="44" t="s">
        <v>1766</v>
      </c>
      <c r="BK52" s="42">
        <v>14.87</v>
      </c>
      <c r="BL52" s="42">
        <v>0.85</v>
      </c>
      <c r="BM52" s="42">
        <v>0.2</v>
      </c>
      <c r="BN52" s="42">
        <v>3.56</v>
      </c>
      <c r="BO52" s="42">
        <v>1.61</v>
      </c>
      <c r="BP52" s="42">
        <v>2.59</v>
      </c>
      <c r="BQ52" s="42">
        <v>0.24</v>
      </c>
      <c r="BR52" s="46">
        <v>0.2</v>
      </c>
      <c r="BT52" s="44" t="s">
        <v>1765</v>
      </c>
      <c r="BU52" s="42">
        <v>0.85</v>
      </c>
      <c r="BV52" s="42">
        <v>0.45</v>
      </c>
      <c r="BW52" s="42">
        <v>0.15</v>
      </c>
      <c r="BX52" s="42">
        <v>1.17</v>
      </c>
      <c r="BY52" s="42">
        <v>1.89</v>
      </c>
      <c r="BZ52" s="42">
        <v>0.62</v>
      </c>
      <c r="CA52" s="42">
        <v>0.33</v>
      </c>
      <c r="CB52" s="46">
        <v>2.21</v>
      </c>
    </row>
    <row r="53" spans="2:80" ht="15.75" thickBot="1">
      <c r="B53" s="67" t="s">
        <v>937</v>
      </c>
      <c r="C53" s="65">
        <v>2.99547619047619</v>
      </c>
      <c r="D53" s="49">
        <v>4.3879999999999901</v>
      </c>
      <c r="E53" s="49">
        <v>5.2568292682926803</v>
      </c>
      <c r="F53" s="49">
        <v>5.4114999999999904</v>
      </c>
      <c r="G53" s="49">
        <v>4.3095121951219504</v>
      </c>
      <c r="H53" s="49">
        <v>4.6574358974358896</v>
      </c>
      <c r="I53" s="49">
        <v>1.7515384615384599</v>
      </c>
      <c r="J53" s="50">
        <v>2.2935135135135098</v>
      </c>
      <c r="L53" s="67" t="s">
        <v>937</v>
      </c>
      <c r="M53" s="65">
        <v>2.8431707317073101</v>
      </c>
      <c r="N53" s="49">
        <v>5.4518181818181697</v>
      </c>
      <c r="O53" s="49">
        <v>5.1765789473684203</v>
      </c>
      <c r="P53" s="49">
        <v>5.75051282051282</v>
      </c>
      <c r="Q53" s="49">
        <v>5.1550000000000002</v>
      </c>
      <c r="R53" s="49">
        <v>3.7083333333333299</v>
      </c>
      <c r="S53" s="49">
        <v>3.05538461538461</v>
      </c>
      <c r="T53" s="50">
        <v>3.41351351351351</v>
      </c>
      <c r="V53" s="44" t="s">
        <v>1766</v>
      </c>
      <c r="W53" s="42">
        <v>3.94</v>
      </c>
      <c r="X53" s="42">
        <v>4.25</v>
      </c>
      <c r="Y53" s="42">
        <v>4.17</v>
      </c>
      <c r="Z53" s="42">
        <v>4.3</v>
      </c>
      <c r="AA53" s="42">
        <v>3.55</v>
      </c>
      <c r="AB53" s="42">
        <v>3.11</v>
      </c>
      <c r="AC53" s="42">
        <v>1.65</v>
      </c>
      <c r="AD53" s="46">
        <v>1.18</v>
      </c>
      <c r="AF53" s="44" t="s">
        <v>1766</v>
      </c>
      <c r="AG53" s="42">
        <v>4.1399999999999997</v>
      </c>
      <c r="AH53" s="42">
        <v>6.13</v>
      </c>
      <c r="AI53" s="42">
        <v>3.78</v>
      </c>
      <c r="AJ53" s="42">
        <v>5.21</v>
      </c>
      <c r="AK53" s="42">
        <v>5.46</v>
      </c>
      <c r="AL53" s="42">
        <v>1.85</v>
      </c>
      <c r="AM53" s="42">
        <v>3.78</v>
      </c>
      <c r="AN53" s="46">
        <v>0</v>
      </c>
      <c r="AP53" s="44" t="s">
        <v>1765</v>
      </c>
      <c r="AQ53" s="42">
        <v>20.43</v>
      </c>
      <c r="AR53" s="42">
        <v>1.17</v>
      </c>
      <c r="AS53" s="42">
        <v>0</v>
      </c>
      <c r="AT53" s="42">
        <v>3.56</v>
      </c>
      <c r="AU53" s="42">
        <v>1.61</v>
      </c>
      <c r="AV53" s="42">
        <v>1.17</v>
      </c>
      <c r="AW53" s="42">
        <v>1.17</v>
      </c>
      <c r="AX53" s="46">
        <v>0</v>
      </c>
      <c r="AZ53" s="44" t="s">
        <v>1766</v>
      </c>
      <c r="BA53" s="42">
        <v>0.53</v>
      </c>
      <c r="BB53" s="42">
        <v>4.18</v>
      </c>
      <c r="BC53" s="42">
        <v>0.39</v>
      </c>
      <c r="BD53" s="42">
        <v>1.61</v>
      </c>
      <c r="BE53" s="42">
        <v>2.21</v>
      </c>
      <c r="BF53" s="42">
        <v>1.89</v>
      </c>
      <c r="BG53" s="42">
        <v>0.73</v>
      </c>
      <c r="BH53" s="46">
        <v>0</v>
      </c>
      <c r="BJ53" s="44" t="s">
        <v>1766</v>
      </c>
      <c r="BK53" s="42">
        <v>9.24</v>
      </c>
      <c r="BL53" s="42">
        <v>1.37</v>
      </c>
      <c r="BM53" s="42">
        <v>0.2</v>
      </c>
      <c r="BN53" s="42">
        <v>1.89</v>
      </c>
      <c r="BO53" s="42">
        <v>1.37</v>
      </c>
      <c r="BP53" s="42">
        <v>3.56</v>
      </c>
      <c r="BQ53" s="42">
        <v>0.17</v>
      </c>
      <c r="BR53" s="46">
        <v>0.53</v>
      </c>
      <c r="BT53" s="44" t="s">
        <v>1765</v>
      </c>
      <c r="BU53" s="42">
        <v>0.85</v>
      </c>
      <c r="BV53" s="42">
        <v>7.88</v>
      </c>
      <c r="BW53" s="42">
        <v>0.15</v>
      </c>
      <c r="BX53" s="42">
        <v>1.17</v>
      </c>
      <c r="BY53" s="42">
        <v>0.85</v>
      </c>
      <c r="BZ53" s="42">
        <v>0.73</v>
      </c>
      <c r="CA53" s="42">
        <v>0.28000000000000003</v>
      </c>
      <c r="CB53" s="46">
        <v>2.21</v>
      </c>
    </row>
    <row r="54" spans="2:80" ht="15.75" thickBot="1">
      <c r="V54" s="66" t="s">
        <v>936</v>
      </c>
      <c r="W54" s="63">
        <v>3.7566000000000002</v>
      </c>
      <c r="X54" s="57">
        <v>3.7964000000000002</v>
      </c>
      <c r="Y54" s="57">
        <v>3.9929999999999901</v>
      </c>
      <c r="Z54" s="57">
        <v>4.1602083333333297</v>
      </c>
      <c r="AA54" s="57">
        <v>3.2242000000000002</v>
      </c>
      <c r="AB54" s="57">
        <v>3.0855999999999999</v>
      </c>
      <c r="AC54" s="57">
        <v>1.5656000000000001</v>
      </c>
      <c r="AD54" s="58">
        <v>1.2342</v>
      </c>
      <c r="AF54" s="66" t="s">
        <v>936</v>
      </c>
      <c r="AG54" s="63">
        <v>4.0415999999999901</v>
      </c>
      <c r="AH54" s="57">
        <v>5.8229166666666599</v>
      </c>
      <c r="AI54" s="57">
        <v>3.6996000000000002</v>
      </c>
      <c r="AJ54" s="57">
        <v>4.7832653061224404</v>
      </c>
      <c r="AK54" s="57">
        <v>4.9351020408163198</v>
      </c>
      <c r="AL54" s="57">
        <v>1.8459999999999901</v>
      </c>
      <c r="AM54" s="57">
        <v>3.7338</v>
      </c>
      <c r="AN54" s="58">
        <v>2.97371428571428</v>
      </c>
      <c r="AP54" s="44" t="s">
        <v>1767</v>
      </c>
      <c r="AQ54" s="42">
        <v>2.21</v>
      </c>
      <c r="AR54" s="42">
        <v>1.17</v>
      </c>
      <c r="AS54" s="42">
        <v>2.59</v>
      </c>
      <c r="AT54" s="42">
        <v>3.56</v>
      </c>
      <c r="AU54" s="42">
        <v>1.37</v>
      </c>
      <c r="AV54" s="42">
        <v>1.17</v>
      </c>
      <c r="AW54" s="42">
        <v>1.17</v>
      </c>
      <c r="AX54" s="46">
        <v>0</v>
      </c>
      <c r="AZ54" s="16" t="s">
        <v>936</v>
      </c>
      <c r="BA54" s="57">
        <v>0.55530612244897903</v>
      </c>
      <c r="BB54" s="57">
        <v>3.2303999999999999</v>
      </c>
      <c r="BC54" s="57">
        <v>0.41839999999999899</v>
      </c>
      <c r="BD54" s="57">
        <v>1.8706</v>
      </c>
      <c r="BE54" s="57">
        <v>5.6767999999999903</v>
      </c>
      <c r="BF54" s="57">
        <v>2.2054</v>
      </c>
      <c r="BG54" s="57">
        <v>0.67420000000000002</v>
      </c>
      <c r="BH54" s="58">
        <v>1.40782608695652</v>
      </c>
      <c r="BJ54" s="66" t="s">
        <v>936</v>
      </c>
      <c r="BK54" s="63">
        <v>12.640599999999999</v>
      </c>
      <c r="BL54" s="57">
        <v>1.3726086956521699</v>
      </c>
      <c r="BM54" s="57">
        <v>1.6712</v>
      </c>
      <c r="BN54" s="57">
        <v>3.1044680851063799</v>
      </c>
      <c r="BO54" s="57">
        <v>1.6779999999999999</v>
      </c>
      <c r="BP54" s="57">
        <v>2.6764000000000001</v>
      </c>
      <c r="BQ54" s="57">
        <v>0.217</v>
      </c>
      <c r="BR54" s="58">
        <v>0.336199999999999</v>
      </c>
      <c r="BT54" s="44" t="s">
        <v>1767</v>
      </c>
      <c r="BU54" s="42">
        <v>0.85</v>
      </c>
      <c r="BV54" s="42">
        <v>1.17</v>
      </c>
      <c r="BW54" s="42">
        <v>0.13</v>
      </c>
      <c r="BX54" s="42">
        <v>2.21</v>
      </c>
      <c r="BY54" s="42">
        <v>0</v>
      </c>
      <c r="BZ54" s="42">
        <v>0.53</v>
      </c>
      <c r="CA54" s="42">
        <v>0.33</v>
      </c>
      <c r="CB54" s="46">
        <v>3.56</v>
      </c>
    </row>
    <row r="55" spans="2:80" ht="45">
      <c r="B55" s="51" t="s">
        <v>1673</v>
      </c>
      <c r="C55" s="8">
        <v>3.04</v>
      </c>
      <c r="D55" s="8">
        <v>4.01</v>
      </c>
      <c r="E55" s="8">
        <v>5.24</v>
      </c>
      <c r="F55" s="8">
        <v>5.77</v>
      </c>
      <c r="G55" s="8">
        <v>4.1900000000000004</v>
      </c>
      <c r="H55" s="8">
        <v>4.38</v>
      </c>
      <c r="I55" s="8">
        <v>1.55</v>
      </c>
      <c r="J55" s="9">
        <v>2.41</v>
      </c>
      <c r="L55" s="82" t="s">
        <v>534</v>
      </c>
      <c r="M55" s="8">
        <v>2.88</v>
      </c>
      <c r="N55" s="8">
        <v>5.31</v>
      </c>
      <c r="O55" s="8">
        <v>5.04</v>
      </c>
      <c r="P55" s="8">
        <v>6.21</v>
      </c>
      <c r="Q55" s="8">
        <v>5.29</v>
      </c>
      <c r="R55" s="8">
        <v>3.65</v>
      </c>
      <c r="S55" s="8">
        <v>2.85</v>
      </c>
      <c r="T55" s="9">
        <v>3.06</v>
      </c>
      <c r="V55" s="20" t="s">
        <v>515</v>
      </c>
      <c r="W55" s="64">
        <v>0.64714947268772405</v>
      </c>
      <c r="X55" s="42">
        <v>1.12600490229838</v>
      </c>
      <c r="Y55" s="42">
        <v>0.61632864609719296</v>
      </c>
      <c r="Z55" s="42">
        <v>0.681479669491728</v>
      </c>
      <c r="AA55" s="42">
        <v>0.88550119141647698</v>
      </c>
      <c r="AB55" s="42">
        <v>0.25582931810095499</v>
      </c>
      <c r="AC55" s="42">
        <v>0.27568213580136097</v>
      </c>
      <c r="AD55" s="46">
        <v>9.2673405030785402E-2</v>
      </c>
      <c r="AF55" s="20" t="s">
        <v>515</v>
      </c>
      <c r="AG55" s="64">
        <v>0.51851079063024297</v>
      </c>
      <c r="AH55" s="42">
        <v>1.00889163262903</v>
      </c>
      <c r="AI55" s="42">
        <v>0.27740915630166202</v>
      </c>
      <c r="AJ55" s="42">
        <v>1.21969448793473</v>
      </c>
      <c r="AK55" s="42">
        <v>1.1146137290998499</v>
      </c>
      <c r="AL55" s="42">
        <v>1.54919333848296E-2</v>
      </c>
      <c r="AM55" s="42">
        <v>0.16877073205979701</v>
      </c>
      <c r="AN55" s="46">
        <v>0.64843585744812804</v>
      </c>
      <c r="AP55" s="44" t="s">
        <v>1767</v>
      </c>
      <c r="AQ55" s="42">
        <v>0</v>
      </c>
      <c r="AR55" s="42">
        <v>0</v>
      </c>
      <c r="AS55" s="42">
        <v>0</v>
      </c>
      <c r="AT55" s="42">
        <v>2.59</v>
      </c>
      <c r="AU55" s="42">
        <v>1.61</v>
      </c>
      <c r="AV55" s="42">
        <v>99.99</v>
      </c>
      <c r="AW55" s="42">
        <v>0.39</v>
      </c>
      <c r="AX55" s="46">
        <v>6.72</v>
      </c>
      <c r="AZ55" s="20" t="s">
        <v>515</v>
      </c>
      <c r="BA55" s="42">
        <v>0.102401810427561</v>
      </c>
      <c r="BB55" s="42">
        <v>1.7498696637178399</v>
      </c>
      <c r="BC55" s="42">
        <v>0.64447299400362701</v>
      </c>
      <c r="BD55" s="42">
        <v>0.67383502431975095</v>
      </c>
      <c r="BE55" s="42">
        <v>6.6628913963834</v>
      </c>
      <c r="BF55" s="42">
        <v>1.4385718056461401</v>
      </c>
      <c r="BG55" s="42">
        <v>6.5851044031207201E-2</v>
      </c>
      <c r="BH55" s="46">
        <v>0.802127369923468</v>
      </c>
      <c r="BJ55" s="20" t="s">
        <v>515</v>
      </c>
      <c r="BK55" s="64">
        <v>2.1027376536315598</v>
      </c>
      <c r="BL55" s="42">
        <v>0.21771975188110099</v>
      </c>
      <c r="BM55" s="42">
        <v>1.8180557087174201</v>
      </c>
      <c r="BN55" s="42">
        <v>0.77825721425158001</v>
      </c>
      <c r="BO55" s="42">
        <v>0.22</v>
      </c>
      <c r="BP55" s="42">
        <v>0.69138053197931404</v>
      </c>
      <c r="BQ55" s="42">
        <v>3.10644491340181E-2</v>
      </c>
      <c r="BR55" s="46">
        <v>0.18272263132956401</v>
      </c>
      <c r="BT55" s="44" t="s">
        <v>1767</v>
      </c>
      <c r="BU55" s="42">
        <v>0.85</v>
      </c>
      <c r="BV55" s="42">
        <v>0.39</v>
      </c>
      <c r="BW55" s="42">
        <v>0.17</v>
      </c>
      <c r="BX55" s="42">
        <v>9.24</v>
      </c>
      <c r="BY55" s="42">
        <v>1.89</v>
      </c>
      <c r="BZ55" s="42">
        <v>0.73</v>
      </c>
      <c r="CA55" s="42">
        <v>0.24</v>
      </c>
      <c r="CB55" s="46">
        <v>2.21</v>
      </c>
    </row>
    <row r="56" spans="2:80">
      <c r="B56" s="52" t="s">
        <v>945</v>
      </c>
      <c r="C56" s="11">
        <f t="shared" ref="C56:J56" si="0">C55-C53</f>
        <v>4.4523809523810076E-2</v>
      </c>
      <c r="D56" s="11">
        <f t="shared" si="0"/>
        <v>-0.37799999999999034</v>
      </c>
      <c r="E56" s="11">
        <f t="shared" si="0"/>
        <v>-1.6829268292680055E-2</v>
      </c>
      <c r="F56" s="11">
        <f t="shared" si="0"/>
        <v>0.35850000000000914</v>
      </c>
      <c r="G56" s="11">
        <f t="shared" si="0"/>
        <v>-0.11951219512194999</v>
      </c>
      <c r="H56" s="11">
        <f t="shared" si="0"/>
        <v>-0.2774358974358897</v>
      </c>
      <c r="I56" s="11">
        <f t="shared" si="0"/>
        <v>-0.20153846153845989</v>
      </c>
      <c r="J56" s="12">
        <f t="shared" si="0"/>
        <v>0.11648648648649029</v>
      </c>
      <c r="L56" s="52" t="s">
        <v>945</v>
      </c>
      <c r="M56" s="11">
        <f>M55-M53</f>
        <v>3.6829268292689843E-2</v>
      </c>
      <c r="N56" s="11">
        <f t="shared" ref="N56:T56" si="1">N55-N53</f>
        <v>-0.14181818181817007</v>
      </c>
      <c r="O56" s="11">
        <f t="shared" si="1"/>
        <v>-0.13657894736842024</v>
      </c>
      <c r="P56" s="11">
        <f t="shared" si="1"/>
        <v>0.45948717948717999</v>
      </c>
      <c r="Q56" s="11">
        <f>Q55-Q53</f>
        <v>0.13499999999999979</v>
      </c>
      <c r="R56" s="11">
        <f>R55-R53</f>
        <v>-5.8333333333330017E-2</v>
      </c>
      <c r="S56" s="11">
        <f t="shared" si="1"/>
        <v>-0.20538461538460995</v>
      </c>
      <c r="T56" s="12">
        <f t="shared" si="1"/>
        <v>-0.3535135135135099</v>
      </c>
      <c r="V56" s="20" t="s">
        <v>520</v>
      </c>
      <c r="W56" s="64">
        <v>4.4037494726877204</v>
      </c>
      <c r="X56" s="42">
        <v>4.9224049022983802</v>
      </c>
      <c r="Y56" s="42">
        <v>4.6093286460971896</v>
      </c>
      <c r="Z56" s="42">
        <v>4.8416880028250597</v>
      </c>
      <c r="AA56" s="42">
        <v>4.1097011914164696</v>
      </c>
      <c r="AB56" s="42">
        <v>3.3414293181009498</v>
      </c>
      <c r="AC56" s="42">
        <v>1.84128213580136</v>
      </c>
      <c r="AD56" s="46">
        <v>1.32687340503078</v>
      </c>
      <c r="AF56" s="20" t="s">
        <v>520</v>
      </c>
      <c r="AG56" s="64">
        <v>4.5601107906302403</v>
      </c>
      <c r="AH56" s="42">
        <v>6.8318082992956999</v>
      </c>
      <c r="AI56" s="42">
        <v>3.9770091563016599</v>
      </c>
      <c r="AJ56" s="42">
        <v>6.0029597940571797</v>
      </c>
      <c r="AK56" s="42">
        <v>6.0497157699161699</v>
      </c>
      <c r="AL56" s="42">
        <v>1.8614919333848201</v>
      </c>
      <c r="AM56" s="42">
        <v>3.90257073205979</v>
      </c>
      <c r="AN56" s="46">
        <v>3.6221501431624099</v>
      </c>
      <c r="AP56" s="44" t="s">
        <v>1767</v>
      </c>
      <c r="AQ56" s="42">
        <v>20.43</v>
      </c>
      <c r="AR56" s="42">
        <v>0</v>
      </c>
      <c r="AS56" s="42">
        <v>2.59</v>
      </c>
      <c r="AT56" s="42">
        <v>3.56</v>
      </c>
      <c r="AU56" s="42">
        <v>1.37</v>
      </c>
      <c r="AV56" s="42">
        <v>1.37</v>
      </c>
      <c r="AW56" s="42">
        <v>1.17</v>
      </c>
      <c r="AX56" s="46">
        <v>0</v>
      </c>
      <c r="AZ56" s="20" t="s">
        <v>520</v>
      </c>
      <c r="BA56" s="42">
        <v>0.65770793287653995</v>
      </c>
      <c r="BB56" s="42">
        <v>4.9802696637178396</v>
      </c>
      <c r="BC56" s="42">
        <v>1.0628729940036199</v>
      </c>
      <c r="BD56" s="42">
        <v>2.5444350243197502</v>
      </c>
      <c r="BE56" s="42">
        <v>12.339691396383399</v>
      </c>
      <c r="BF56" s="42">
        <v>3.6439718056461401</v>
      </c>
      <c r="BG56" s="42">
        <v>0.74005104403120703</v>
      </c>
      <c r="BH56" s="46">
        <v>2.2099534568799899</v>
      </c>
      <c r="BJ56" s="20" t="s">
        <v>520</v>
      </c>
      <c r="BK56" s="64">
        <v>14.7433376536315</v>
      </c>
      <c r="BL56" s="42">
        <v>1.59032844753327</v>
      </c>
      <c r="BM56" s="42">
        <v>3.4892557087174199</v>
      </c>
      <c r="BN56" s="42">
        <v>3.88272529935796</v>
      </c>
      <c r="BO56" s="42">
        <v>1.8979999999999999</v>
      </c>
      <c r="BP56" s="42">
        <v>3.3677805319793102</v>
      </c>
      <c r="BQ56" s="42">
        <v>0.24806444913401801</v>
      </c>
      <c r="BR56" s="46">
        <v>0.51892263132956395</v>
      </c>
      <c r="BT56" s="44" t="s">
        <v>1767</v>
      </c>
      <c r="BU56" s="42">
        <v>0.73</v>
      </c>
      <c r="BV56" s="42">
        <v>0.45</v>
      </c>
      <c r="BW56" s="42">
        <v>0.15</v>
      </c>
      <c r="BX56" s="42">
        <v>1.17</v>
      </c>
      <c r="BY56" s="42">
        <v>1.89</v>
      </c>
      <c r="BZ56" s="42">
        <v>0.73</v>
      </c>
      <c r="CA56" s="42">
        <v>0.24</v>
      </c>
      <c r="CB56" s="46">
        <v>1.89</v>
      </c>
    </row>
    <row r="57" spans="2:80" ht="15.75" thickBot="1">
      <c r="B57" s="53" t="s">
        <v>946</v>
      </c>
      <c r="C57" s="14">
        <f>(C56/C53)*100</f>
        <v>1.4863683332008772</v>
      </c>
      <c r="D57" s="14">
        <f t="shared" ref="D57:H57" si="2">(D56/D53)*100</f>
        <v>-8.6144029170462897</v>
      </c>
      <c r="E57" s="14">
        <f t="shared" si="2"/>
        <v>-0.32014104764992468</v>
      </c>
      <c r="F57" s="14">
        <f t="shared" si="2"/>
        <v>6.6247805599188716</v>
      </c>
      <c r="G57" s="14">
        <f>(G56/G53)*100</f>
        <v>-2.773218631501472</v>
      </c>
      <c r="H57" s="14">
        <f t="shared" si="2"/>
        <v>-5.9568377009467719</v>
      </c>
      <c r="I57" s="14">
        <f>(I56/I53)*100</f>
        <v>-11.506368028107076</v>
      </c>
      <c r="J57" s="15">
        <f>(J56/J53)*100</f>
        <v>5.0789535705870223</v>
      </c>
      <c r="L57" s="53" t="s">
        <v>946</v>
      </c>
      <c r="M57" s="14">
        <f>(M56/M53)*100</f>
        <v>1.2953590117528415</v>
      </c>
      <c r="N57" s="14">
        <f t="shared" ref="N57:S57" si="3">(N56/N53)*100</f>
        <v>-2.6013006503249532</v>
      </c>
      <c r="O57" s="14">
        <f t="shared" si="3"/>
        <v>-2.6384017080982005</v>
      </c>
      <c r="P57" s="14">
        <f t="shared" si="3"/>
        <v>7.9903687519507827</v>
      </c>
      <c r="Q57" s="14">
        <f t="shared" si="3"/>
        <v>2.6188166828321977</v>
      </c>
      <c r="R57" s="14">
        <f t="shared" si="3"/>
        <v>-1.5730337078650805</v>
      </c>
      <c r="S57" s="14">
        <f t="shared" si="3"/>
        <v>-6.7220543806644866</v>
      </c>
      <c r="T57" s="15">
        <f>(T56/T53)*100</f>
        <v>-10.356294536817007</v>
      </c>
      <c r="V57" s="20" t="s">
        <v>525</v>
      </c>
      <c r="W57" s="64">
        <v>3.1094505273122701</v>
      </c>
      <c r="X57" s="42">
        <v>2.67039509770161</v>
      </c>
      <c r="Y57" s="42">
        <v>3.3766713539027999</v>
      </c>
      <c r="Z57" s="42">
        <v>3.4787286638416002</v>
      </c>
      <c r="AA57" s="42">
        <v>2.3386988085835201</v>
      </c>
      <c r="AB57" s="42">
        <v>2.8297706818990398</v>
      </c>
      <c r="AC57" s="42">
        <v>1.28991786419863</v>
      </c>
      <c r="AD57" s="46">
        <v>1.1415265949692099</v>
      </c>
      <c r="AF57" s="20" t="s">
        <v>525</v>
      </c>
      <c r="AG57" s="64">
        <v>3.5230892093697501</v>
      </c>
      <c r="AH57" s="42">
        <v>4.8140250340376198</v>
      </c>
      <c r="AI57" s="42">
        <v>3.4221908436983299</v>
      </c>
      <c r="AJ57" s="42">
        <v>3.5635708181877099</v>
      </c>
      <c r="AK57" s="42">
        <v>3.8204883117164701</v>
      </c>
      <c r="AL57" s="42">
        <v>1.8305080666151701</v>
      </c>
      <c r="AM57" s="42">
        <v>3.5650292679401998</v>
      </c>
      <c r="AN57" s="46">
        <v>2.3252784282661501</v>
      </c>
      <c r="AP57" s="44" t="s">
        <v>1767</v>
      </c>
      <c r="AQ57" s="42">
        <v>2.21</v>
      </c>
      <c r="AR57" s="42">
        <v>0</v>
      </c>
      <c r="AS57" s="42">
        <v>2.59</v>
      </c>
      <c r="AT57" s="42">
        <v>3.56</v>
      </c>
      <c r="AU57" s="42">
        <v>1.37</v>
      </c>
      <c r="AV57" s="42">
        <v>99.99</v>
      </c>
      <c r="AW57" s="42">
        <v>0.28000000000000003</v>
      </c>
      <c r="AX57" s="46">
        <v>2.59</v>
      </c>
      <c r="AZ57" s="20" t="s">
        <v>525</v>
      </c>
      <c r="BA57" s="42">
        <v>0.45290431202141801</v>
      </c>
      <c r="BB57" s="42">
        <v>1.48053033628215</v>
      </c>
      <c r="BC57" s="42">
        <v>-0.22607299400362699</v>
      </c>
      <c r="BD57" s="42">
        <v>1.1967649756802401</v>
      </c>
      <c r="BE57" s="42">
        <v>-0.98609139638340704</v>
      </c>
      <c r="BF57" s="42">
        <v>0.76682819435385696</v>
      </c>
      <c r="BG57" s="42">
        <v>0.60834895596879202</v>
      </c>
      <c r="BH57" s="46">
        <v>0.605698717033054</v>
      </c>
      <c r="BJ57" s="20" t="s">
        <v>525</v>
      </c>
      <c r="BK57" s="64">
        <v>10.537862346368399</v>
      </c>
      <c r="BL57" s="42">
        <v>1.1548889437710701</v>
      </c>
      <c r="BM57" s="42">
        <v>-0.14685570871742001</v>
      </c>
      <c r="BN57" s="42">
        <v>2.3262108708547999</v>
      </c>
      <c r="BO57" s="42">
        <v>1.458</v>
      </c>
      <c r="BP57" s="42">
        <v>1.9850194680206801</v>
      </c>
      <c r="BQ57" s="42">
        <v>0.18593555086598099</v>
      </c>
      <c r="BR57" s="46">
        <v>0.15347736867043499</v>
      </c>
      <c r="BT57" s="44" t="s">
        <v>1767</v>
      </c>
      <c r="BU57" s="42">
        <v>0.85</v>
      </c>
      <c r="BV57" s="42">
        <v>0.45</v>
      </c>
      <c r="BW57" s="42">
        <v>0.17</v>
      </c>
      <c r="BX57" s="42">
        <v>1.17</v>
      </c>
      <c r="BY57" s="42">
        <v>1.89</v>
      </c>
      <c r="BZ57" s="42">
        <v>0.73</v>
      </c>
      <c r="CA57" s="42">
        <v>0.24</v>
      </c>
      <c r="CB57" s="46">
        <v>2.21</v>
      </c>
    </row>
    <row r="58" spans="2:80" ht="15.75" thickBot="1">
      <c r="V58" s="67" t="s">
        <v>937</v>
      </c>
      <c r="W58" s="65">
        <v>3.9197872340425501</v>
      </c>
      <c r="X58" s="49">
        <v>4.2676190476190401</v>
      </c>
      <c r="Y58" s="49">
        <v>4.1591304347826004</v>
      </c>
      <c r="Z58" s="49">
        <v>4.30217391304347</v>
      </c>
      <c r="AA58" s="49">
        <v>3.6011904761904701</v>
      </c>
      <c r="AB58" s="49">
        <v>3.1220408163265301</v>
      </c>
      <c r="AC58" s="49">
        <v>1.62787234042553</v>
      </c>
      <c r="AD58" s="50">
        <v>1.2467346938775501</v>
      </c>
      <c r="AF58" s="67" t="s">
        <v>937</v>
      </c>
      <c r="AG58" s="65">
        <v>4.1449999999999898</v>
      </c>
      <c r="AH58" s="49">
        <v>6.0993181818181803</v>
      </c>
      <c r="AI58" s="49">
        <v>3.7676086956521702</v>
      </c>
      <c r="AJ58" s="49">
        <v>5.1353488372092997</v>
      </c>
      <c r="AK58" s="49">
        <v>5.2997674418604603</v>
      </c>
      <c r="AL58" s="49">
        <v>1.8472727272727201</v>
      </c>
      <c r="AM58" s="49">
        <v>3.75775510204081</v>
      </c>
      <c r="AN58" s="50">
        <v>3.1324242424242401</v>
      </c>
      <c r="AP58" s="44" t="s">
        <v>1767</v>
      </c>
      <c r="AQ58" s="42">
        <v>2.59</v>
      </c>
      <c r="AR58" s="42">
        <v>1.17</v>
      </c>
      <c r="AS58" s="42">
        <v>2.21</v>
      </c>
      <c r="AT58" s="42">
        <v>3.56</v>
      </c>
      <c r="AU58" s="42">
        <v>1.37</v>
      </c>
      <c r="AV58" s="42">
        <v>62.1</v>
      </c>
      <c r="AW58" s="42">
        <v>1.37</v>
      </c>
      <c r="AX58" s="46">
        <v>0</v>
      </c>
      <c r="AZ58" s="67" t="s">
        <v>937</v>
      </c>
      <c r="BA58" s="49">
        <v>0.55571428571428505</v>
      </c>
      <c r="BB58" s="49">
        <v>4.2088235294117604</v>
      </c>
      <c r="BC58" s="49">
        <v>0.32714285714285701</v>
      </c>
      <c r="BD58" s="49">
        <v>1.6053488372093001</v>
      </c>
      <c r="BE58" s="49">
        <v>2.3634999999999899</v>
      </c>
      <c r="BF58" s="49">
        <v>1.8431914893617001</v>
      </c>
      <c r="BG58" s="49">
        <v>0.68187500000000001</v>
      </c>
      <c r="BH58" s="50">
        <v>1.1979069767441799</v>
      </c>
      <c r="BJ58" s="67" t="s">
        <v>937</v>
      </c>
      <c r="BK58" s="65">
        <v>12.285652173913</v>
      </c>
      <c r="BL58" s="49">
        <v>1.3557142857142801</v>
      </c>
      <c r="BM58" s="49">
        <v>1.32270833333333</v>
      </c>
      <c r="BN58" s="49">
        <v>3.5096774193548401</v>
      </c>
      <c r="BO58" s="49">
        <v>1.76024390243902</v>
      </c>
      <c r="BP58" s="49">
        <v>2.43166666666666</v>
      </c>
      <c r="BQ58" s="49">
        <v>0.229473684210526</v>
      </c>
      <c r="BR58" s="50">
        <v>0.22971428571428501</v>
      </c>
      <c r="BT58" s="44" t="s">
        <v>1767</v>
      </c>
      <c r="BU58" s="42">
        <v>0.73</v>
      </c>
      <c r="BV58" s="42">
        <v>6.72</v>
      </c>
      <c r="BW58" s="42">
        <v>0.11</v>
      </c>
      <c r="BX58" s="42">
        <v>2.21</v>
      </c>
      <c r="BY58" s="42">
        <v>0.85</v>
      </c>
      <c r="BZ58" s="42">
        <v>0.28000000000000003</v>
      </c>
      <c r="CA58" s="42">
        <v>0.45</v>
      </c>
      <c r="CB58" s="46">
        <v>3.56</v>
      </c>
    </row>
    <row r="59" spans="2:80" ht="30.75" thickBot="1">
      <c r="B59" s="82" t="s">
        <v>553</v>
      </c>
      <c r="C59" s="8">
        <v>2.99</v>
      </c>
      <c r="D59" s="8">
        <v>4.18</v>
      </c>
      <c r="E59" s="8">
        <v>5.28</v>
      </c>
      <c r="F59" s="8">
        <v>5.69</v>
      </c>
      <c r="G59" s="8">
        <v>4.22</v>
      </c>
      <c r="H59" s="8">
        <v>4.3899999999999997</v>
      </c>
      <c r="I59" s="8">
        <v>1.62</v>
      </c>
      <c r="J59" s="9">
        <v>2.44</v>
      </c>
      <c r="L59" s="82" t="s">
        <v>553</v>
      </c>
      <c r="M59" s="8">
        <v>2.84</v>
      </c>
      <c r="N59" s="8">
        <v>5.41</v>
      </c>
      <c r="O59" s="8">
        <v>5.0999999999999996</v>
      </c>
      <c r="P59" s="8">
        <v>6.17</v>
      </c>
      <c r="Q59" s="8">
        <v>5.33</v>
      </c>
      <c r="R59" s="8">
        <v>3.65</v>
      </c>
      <c r="S59" s="8">
        <v>2.94</v>
      </c>
      <c r="T59" s="9">
        <v>3.12</v>
      </c>
      <c r="AP59" s="44" t="s">
        <v>1766</v>
      </c>
      <c r="AQ59" s="42">
        <v>2.21</v>
      </c>
      <c r="AR59" s="42">
        <v>1.17</v>
      </c>
      <c r="AS59" s="42">
        <v>2.59</v>
      </c>
      <c r="AT59" s="42">
        <v>3.56</v>
      </c>
      <c r="AU59" s="42">
        <v>1.37</v>
      </c>
      <c r="AV59" s="42">
        <v>1.17</v>
      </c>
      <c r="AW59" s="42">
        <v>1.17</v>
      </c>
      <c r="AX59" s="46">
        <v>3.04</v>
      </c>
      <c r="BT59" s="44" t="s">
        <v>1766</v>
      </c>
      <c r="BU59" s="42">
        <v>0.85</v>
      </c>
      <c r="BV59" s="42">
        <v>0.39</v>
      </c>
      <c r="BW59" s="42">
        <v>0.15</v>
      </c>
      <c r="BX59" s="42">
        <v>2.21</v>
      </c>
      <c r="BY59" s="42">
        <v>2.21</v>
      </c>
      <c r="BZ59" s="42">
        <v>0.33</v>
      </c>
      <c r="CA59" s="42">
        <v>0.28000000000000003</v>
      </c>
      <c r="CB59" s="46">
        <v>2.21</v>
      </c>
    </row>
    <row r="60" spans="2:80" ht="45">
      <c r="B60" s="52" t="s">
        <v>539</v>
      </c>
      <c r="C60" s="11">
        <f t="shared" ref="C60:J60" si="4">C59-C53</f>
        <v>-5.4761904761897462E-3</v>
      </c>
      <c r="D60" s="11">
        <f t="shared" si="4"/>
        <v>-0.20799999999999041</v>
      </c>
      <c r="E60" s="11">
        <f t="shared" si="4"/>
        <v>2.317073170731998E-2</v>
      </c>
      <c r="F60" s="11">
        <f t="shared" si="4"/>
        <v>0.27850000000000996</v>
      </c>
      <c r="G60" s="11">
        <f t="shared" si="4"/>
        <v>-8.9512195121950633E-2</v>
      </c>
      <c r="H60" s="11">
        <f t="shared" si="4"/>
        <v>-0.26743589743588991</v>
      </c>
      <c r="I60" s="11">
        <f t="shared" si="4"/>
        <v>-0.13153846153845983</v>
      </c>
      <c r="J60" s="12">
        <f t="shared" si="4"/>
        <v>0.1464864864864901</v>
      </c>
      <c r="L60" s="52" t="s">
        <v>539</v>
      </c>
      <c r="M60" s="11">
        <f>M59-M53</f>
        <v>-3.1707317073101926E-3</v>
      </c>
      <c r="N60" s="11">
        <f t="shared" ref="N60:S60" si="5">N59-N53</f>
        <v>-4.1818181818169542E-2</v>
      </c>
      <c r="O60" s="11">
        <f t="shared" si="5"/>
        <v>-7.6578947368420636E-2</v>
      </c>
      <c r="P60" s="11">
        <f t="shared" si="5"/>
        <v>0.41948717948717995</v>
      </c>
      <c r="Q60" s="11">
        <f>Q59-Q53</f>
        <v>0.17499999999999982</v>
      </c>
      <c r="R60" s="11">
        <f t="shared" si="5"/>
        <v>-5.8333333333330017E-2</v>
      </c>
      <c r="S60" s="11">
        <f t="shared" si="5"/>
        <v>-0.11538461538461009</v>
      </c>
      <c r="T60" s="12">
        <f>T59-T53</f>
        <v>-0.29351351351350985</v>
      </c>
      <c r="V60" s="82" t="s">
        <v>534</v>
      </c>
      <c r="W60" s="8">
        <v>3.88</v>
      </c>
      <c r="X60" s="8">
        <v>4.2300000000000004</v>
      </c>
      <c r="Y60" s="8">
        <v>3.88</v>
      </c>
      <c r="Z60" s="8">
        <v>4.43</v>
      </c>
      <c r="AA60" s="8">
        <v>3.58</v>
      </c>
      <c r="AB60" s="8">
        <v>3.17</v>
      </c>
      <c r="AC60" s="8">
        <v>1.72</v>
      </c>
      <c r="AD60" s="9">
        <v>1.1399999999999999</v>
      </c>
      <c r="AF60" s="82" t="s">
        <v>534</v>
      </c>
      <c r="AG60" s="8">
        <v>4.2</v>
      </c>
      <c r="AH60" s="8">
        <v>6.08</v>
      </c>
      <c r="AI60" s="8">
        <v>3.62</v>
      </c>
      <c r="AJ60" s="8">
        <v>5.36</v>
      </c>
      <c r="AK60" s="8">
        <v>5.44</v>
      </c>
      <c r="AL60" s="8">
        <v>1.82</v>
      </c>
      <c r="AM60" s="8">
        <v>3.76</v>
      </c>
      <c r="AN60" s="9">
        <v>2.87</v>
      </c>
      <c r="AP60" s="44" t="s">
        <v>1766</v>
      </c>
      <c r="AQ60" s="42">
        <v>2.21</v>
      </c>
      <c r="AR60" s="42">
        <v>1.17</v>
      </c>
      <c r="AS60" s="42">
        <v>2.59</v>
      </c>
      <c r="AT60" s="42">
        <v>3.56</v>
      </c>
      <c r="AU60" s="42">
        <v>1.37</v>
      </c>
      <c r="AV60" s="42">
        <v>1.17</v>
      </c>
      <c r="AW60" s="42">
        <v>1.37</v>
      </c>
      <c r="AX60" s="46">
        <v>0</v>
      </c>
      <c r="AZ60" s="82" t="s">
        <v>534</v>
      </c>
      <c r="BA60" s="8">
        <v>2.88</v>
      </c>
      <c r="BB60" s="8">
        <v>5.31</v>
      </c>
      <c r="BC60" s="8">
        <v>5.04</v>
      </c>
      <c r="BD60" s="8">
        <v>6.21</v>
      </c>
      <c r="BE60" s="8">
        <v>5.29</v>
      </c>
      <c r="BF60" s="8">
        <v>3.65</v>
      </c>
      <c r="BG60" s="8">
        <v>2.85</v>
      </c>
      <c r="BH60" s="9">
        <v>3.06</v>
      </c>
      <c r="BJ60" s="82" t="s">
        <v>534</v>
      </c>
      <c r="BK60" s="8">
        <v>3.88</v>
      </c>
      <c r="BL60" s="8">
        <v>4.2300000000000004</v>
      </c>
      <c r="BM60" s="8">
        <v>3.88</v>
      </c>
      <c r="BN60" s="8">
        <v>4.43</v>
      </c>
      <c r="BO60" s="8">
        <v>3.58</v>
      </c>
      <c r="BP60" s="8">
        <v>3.17</v>
      </c>
      <c r="BQ60" s="8">
        <v>1.72</v>
      </c>
      <c r="BR60" s="9">
        <v>1.1399999999999999</v>
      </c>
      <c r="BT60" s="44" t="s">
        <v>1766</v>
      </c>
      <c r="BU60" s="42">
        <v>0.85</v>
      </c>
      <c r="BV60" s="42">
        <v>0.45</v>
      </c>
      <c r="BW60" s="42">
        <v>0.15</v>
      </c>
      <c r="BX60" s="42">
        <v>2.21</v>
      </c>
      <c r="BY60" s="42">
        <v>1.89</v>
      </c>
      <c r="BZ60" s="42">
        <v>0.73</v>
      </c>
      <c r="CA60" s="42">
        <v>0.33</v>
      </c>
      <c r="CB60" s="46">
        <v>2.21</v>
      </c>
    </row>
    <row r="61" spans="2:80" ht="15.75" thickBot="1">
      <c r="B61" s="53" t="s">
        <v>544</v>
      </c>
      <c r="C61" s="14">
        <f>(C60/C53)*100</f>
        <v>-0.18281535648992084</v>
      </c>
      <c r="D61" s="14">
        <f>(D60/D53)*100</f>
        <v>-4.7402005469460091</v>
      </c>
      <c r="E61" s="14">
        <f>(E60/E53)*100</f>
        <v>0.44077390618480944</v>
      </c>
      <c r="F61" s="14">
        <f>(F60/F53)*100</f>
        <v>5.1464473805785911</v>
      </c>
      <c r="G61" s="14">
        <f>(G60/G53)*100</f>
        <v>-2.077084158696008</v>
      </c>
      <c r="H61" s="14">
        <f t="shared" ref="H61" si="6">(H60/H53)*100</f>
        <v>-5.7421272847388929</v>
      </c>
      <c r="I61" s="14">
        <f>(I60/I53)*100</f>
        <v>-7.5098814229248108</v>
      </c>
      <c r="J61" s="15">
        <f>(J60/J53)*100</f>
        <v>6.3869903370258569</v>
      </c>
      <c r="L61" s="53" t="s">
        <v>544</v>
      </c>
      <c r="M61" s="14">
        <f>(M60/M53)*100</f>
        <v>-0.11152097452150486</v>
      </c>
      <c r="N61" s="14">
        <f>(N60/N53)*100</f>
        <v>-0.76705019176232447</v>
      </c>
      <c r="O61" s="14">
        <f t="shared" ref="O61:S61" si="7">(O60/O53)*100</f>
        <v>-1.4793350617660437</v>
      </c>
      <c r="P61" s="14">
        <f>(P60/P53)*100</f>
        <v>7.29477861506221</v>
      </c>
      <c r="Q61" s="14">
        <f t="shared" si="7"/>
        <v>3.3947623666343318</v>
      </c>
      <c r="R61" s="14">
        <f>(R60/R53)*100</f>
        <v>-1.5730337078650805</v>
      </c>
      <c r="S61" s="14">
        <f t="shared" si="7"/>
        <v>-3.7764350453170539</v>
      </c>
      <c r="T61" s="15">
        <f>(T60/T53)*100</f>
        <v>-8.5985748218526332</v>
      </c>
      <c r="V61" s="52" t="s">
        <v>945</v>
      </c>
      <c r="W61" s="11">
        <f>W60-W58</f>
        <v>-3.9787234042550246E-2</v>
      </c>
      <c r="X61" s="11">
        <f t="shared" ref="X61" si="8">X60-X58</f>
        <v>-3.7619047619039669E-2</v>
      </c>
      <c r="Y61" s="11">
        <f>Y60-Y58</f>
        <v>-0.27913043478260047</v>
      </c>
      <c r="Z61" s="11">
        <f t="shared" ref="Z61" si="9">Z60-Z58</f>
        <v>0.12782608695652975</v>
      </c>
      <c r="AA61" s="11">
        <f>AA60-AA58</f>
        <v>-2.1190476190469987E-2</v>
      </c>
      <c r="AB61" s="11">
        <f>AB60-AB58</f>
        <v>4.7959183673469852E-2</v>
      </c>
      <c r="AC61" s="11">
        <f>AC60-AC58</f>
        <v>9.212765957447E-2</v>
      </c>
      <c r="AD61" s="12">
        <f t="shared" ref="AD61" si="10">AD60-AD58</f>
        <v>-0.10673469387755019</v>
      </c>
      <c r="AF61" s="52" t="s">
        <v>539</v>
      </c>
      <c r="AG61" s="11">
        <f>AG60-AG58</f>
        <v>5.5000000000010374E-2</v>
      </c>
      <c r="AH61" s="11">
        <f t="shared" ref="AH61:AN61" si="11">AH60-AH58</f>
        <v>-1.9318181818180236E-2</v>
      </c>
      <c r="AI61" s="11">
        <f t="shared" si="11"/>
        <v>-0.14760869565217005</v>
      </c>
      <c r="AJ61" s="11">
        <f t="shared" si="11"/>
        <v>0.22465116279070063</v>
      </c>
      <c r="AK61" s="11">
        <f t="shared" si="11"/>
        <v>0.14023255813954005</v>
      </c>
      <c r="AL61" s="11">
        <f t="shared" si="11"/>
        <v>-2.727272727272001E-2</v>
      </c>
      <c r="AM61" s="11">
        <f t="shared" si="11"/>
        <v>2.2448979591898066E-3</v>
      </c>
      <c r="AN61" s="12">
        <f t="shared" si="11"/>
        <v>-0.26242424242424001</v>
      </c>
      <c r="AP61" s="44" t="s">
        <v>1766</v>
      </c>
      <c r="AQ61" s="42">
        <v>2.21</v>
      </c>
      <c r="AR61" s="42">
        <v>1.17</v>
      </c>
      <c r="AS61" s="42">
        <v>9.24</v>
      </c>
      <c r="AT61" s="42">
        <v>3.56</v>
      </c>
      <c r="AU61" s="42">
        <v>1.37</v>
      </c>
      <c r="AV61" s="42">
        <v>1.37</v>
      </c>
      <c r="AW61" s="42">
        <v>1.17</v>
      </c>
      <c r="AX61" s="46">
        <v>0</v>
      </c>
      <c r="AZ61" s="52" t="s">
        <v>539</v>
      </c>
      <c r="BA61" s="11">
        <f>BA60-BA58</f>
        <v>2.3242857142857147</v>
      </c>
      <c r="BB61" s="11">
        <f t="shared" ref="BB61:BH61" si="12">BB60-BB58</f>
        <v>1.1011764705882392</v>
      </c>
      <c r="BC61" s="11">
        <f t="shared" si="12"/>
        <v>4.7128571428571426</v>
      </c>
      <c r="BD61" s="11">
        <f t="shared" si="12"/>
        <v>4.6046511627906996</v>
      </c>
      <c r="BE61" s="11">
        <f t="shared" si="12"/>
        <v>2.9265000000000101</v>
      </c>
      <c r="BF61" s="11">
        <f t="shared" si="12"/>
        <v>1.8068085106382998</v>
      </c>
      <c r="BG61" s="11">
        <f t="shared" si="12"/>
        <v>2.1681249999999999</v>
      </c>
      <c r="BH61" s="12">
        <f t="shared" si="12"/>
        <v>1.8620930232558202</v>
      </c>
      <c r="BJ61" s="52" t="s">
        <v>539</v>
      </c>
      <c r="BK61" s="11">
        <f>BK60-BK58</f>
        <v>-8.4056521739130012</v>
      </c>
      <c r="BL61" s="11">
        <f t="shared" ref="BL61:BR61" si="13">BL60-BL58</f>
        <v>2.8742857142857203</v>
      </c>
      <c r="BM61" s="11">
        <f t="shared" si="13"/>
        <v>2.5572916666666696</v>
      </c>
      <c r="BN61" s="11">
        <f t="shared" si="13"/>
        <v>0.92032258064515959</v>
      </c>
      <c r="BO61" s="11">
        <f t="shared" si="13"/>
        <v>1.8197560975609801</v>
      </c>
      <c r="BP61" s="11">
        <f t="shared" si="13"/>
        <v>0.73833333333333995</v>
      </c>
      <c r="BQ61" s="11">
        <f t="shared" si="13"/>
        <v>1.4905263157894739</v>
      </c>
      <c r="BR61" s="12">
        <f t="shared" si="13"/>
        <v>0.91028571428571492</v>
      </c>
      <c r="BT61" s="44" t="s">
        <v>1766</v>
      </c>
      <c r="BU61" s="42">
        <v>0.85</v>
      </c>
      <c r="BV61" s="42">
        <v>0.45</v>
      </c>
      <c r="BW61" s="42">
        <v>0.17</v>
      </c>
      <c r="BX61" s="42">
        <v>2.21</v>
      </c>
      <c r="BY61" s="42">
        <v>2.21</v>
      </c>
      <c r="BZ61" s="42">
        <v>0.62</v>
      </c>
      <c r="CA61" s="42">
        <v>0.28000000000000003</v>
      </c>
      <c r="CB61" s="46">
        <v>2.21</v>
      </c>
    </row>
    <row r="62" spans="2:80" ht="15.75" thickBot="1">
      <c r="V62" s="53" t="s">
        <v>946</v>
      </c>
      <c r="W62" s="14">
        <f>(W61/W58)*100</f>
        <v>-1.0150355533842823</v>
      </c>
      <c r="X62" s="14">
        <f t="shared" ref="X62" si="14">(X61/X58)*100</f>
        <v>-0.88149966525310697</v>
      </c>
      <c r="Y62" s="14">
        <f>(Y61/Y58)*100</f>
        <v>-6.711269077984344</v>
      </c>
      <c r="Z62" s="14">
        <f t="shared" ref="Z62" si="15">(Z61/Z58)*100</f>
        <v>2.9711975745327841</v>
      </c>
      <c r="AA62" s="14">
        <f>(AA61/AA58)*100</f>
        <v>-0.5884297520659445</v>
      </c>
      <c r="AB62" s="14">
        <f t="shared" ref="AB62" si="16">(AB61/AB58)*100</f>
        <v>1.5361485161459165</v>
      </c>
      <c r="AC62" s="14">
        <f>(AC61/AC58)*100</f>
        <v>5.6593909292904128</v>
      </c>
      <c r="AD62" s="15">
        <f>(AD61/AD58)*100</f>
        <v>-8.5611393026681348</v>
      </c>
      <c r="AF62" s="53" t="s">
        <v>544</v>
      </c>
      <c r="AG62" s="14">
        <f>(AG61/AG58)*100</f>
        <v>1.3268998793729918</v>
      </c>
      <c r="AH62" s="14">
        <f t="shared" ref="AH62:AN62" si="17">(AH61/AH58)*100</f>
        <v>-0.31672690688226351</v>
      </c>
      <c r="AI62" s="14">
        <f t="shared" si="17"/>
        <v>-3.9178350931855226</v>
      </c>
      <c r="AJ62" s="14">
        <f t="shared" si="17"/>
        <v>4.3746037496604169</v>
      </c>
      <c r="AK62" s="14">
        <f t="shared" si="17"/>
        <v>2.6460134275309262</v>
      </c>
      <c r="AL62" s="14">
        <f t="shared" si="17"/>
        <v>-1.4763779527555181</v>
      </c>
      <c r="AM62" s="14">
        <f t="shared" si="17"/>
        <v>5.9740400803943258E-2</v>
      </c>
      <c r="AN62" s="15">
        <f t="shared" si="17"/>
        <v>-8.3776724388119632</v>
      </c>
      <c r="AP62" s="44" t="s">
        <v>1766</v>
      </c>
      <c r="AQ62" s="42">
        <v>2.21</v>
      </c>
      <c r="AR62" s="42">
        <v>1.17</v>
      </c>
      <c r="AS62" s="42">
        <v>2.59</v>
      </c>
      <c r="AT62" s="42">
        <v>3.56</v>
      </c>
      <c r="AU62" s="42">
        <v>1.37</v>
      </c>
      <c r="AV62" s="42">
        <v>1.17</v>
      </c>
      <c r="AW62" s="42">
        <v>0.53</v>
      </c>
      <c r="AX62" s="46">
        <v>3.56</v>
      </c>
      <c r="AZ62" s="53" t="s">
        <v>544</v>
      </c>
      <c r="BA62" s="14">
        <f>(BA61/BA58)*100</f>
        <v>418.25192802056614</v>
      </c>
      <c r="BB62" s="14">
        <f t="shared" ref="BB62:BH62" si="18">(BB61/BB58)*100</f>
        <v>26.163522012578738</v>
      </c>
      <c r="BC62" s="14">
        <f t="shared" si="18"/>
        <v>1440.6113537117908</v>
      </c>
      <c r="BD62" s="14">
        <f t="shared" si="18"/>
        <v>286.83181225554159</v>
      </c>
      <c r="BE62" s="14">
        <f t="shared" si="18"/>
        <v>123.82060503490682</v>
      </c>
      <c r="BF62" s="14">
        <f t="shared" si="18"/>
        <v>98.026087960291107</v>
      </c>
      <c r="BG62" s="14">
        <f t="shared" si="18"/>
        <v>317.96516956920254</v>
      </c>
      <c r="BH62" s="15">
        <f t="shared" si="18"/>
        <v>155.44554455445677</v>
      </c>
      <c r="BJ62" s="53" t="s">
        <v>544</v>
      </c>
      <c r="BK62" s="14">
        <f>(BK61/BK58)*100</f>
        <v>-68.418444987082736</v>
      </c>
      <c r="BL62" s="14">
        <f t="shared" ref="BL62:BP62" si="19">(BL61/BL58)*100</f>
        <v>212.01264488935854</v>
      </c>
      <c r="BM62" s="14">
        <f t="shared" si="19"/>
        <v>193.33753346983849</v>
      </c>
      <c r="BN62" s="14">
        <f>(BN61/BN58)*100</f>
        <v>26.222426470588179</v>
      </c>
      <c r="BO62" s="14">
        <f>(BO61/BO58)*100</f>
        <v>103.38090619370981</v>
      </c>
      <c r="BP62" s="14">
        <f t="shared" si="19"/>
        <v>30.363262508567868</v>
      </c>
      <c r="BQ62" s="14">
        <f>(BQ61/BQ58)*100</f>
        <v>649.54128440367072</v>
      </c>
      <c r="BR62" s="15">
        <f>(BR61/BR58)*100</f>
        <v>396.2686567164194</v>
      </c>
      <c r="BT62" s="44" t="s">
        <v>1766</v>
      </c>
      <c r="BU62" s="42">
        <v>0.85</v>
      </c>
      <c r="BV62" s="42">
        <v>0.45</v>
      </c>
      <c r="BW62" s="42">
        <v>0.33</v>
      </c>
      <c r="BX62" s="42">
        <v>1.17</v>
      </c>
      <c r="BY62" s="42">
        <v>2.21</v>
      </c>
      <c r="BZ62" s="42">
        <v>0.73</v>
      </c>
      <c r="CA62" s="42">
        <v>0.28000000000000003</v>
      </c>
      <c r="CB62" s="46">
        <v>2.21</v>
      </c>
    </row>
    <row r="63" spans="2:80" ht="30.75" thickBot="1">
      <c r="B63" s="82" t="s">
        <v>568</v>
      </c>
      <c r="C63" s="8">
        <v>2.99</v>
      </c>
      <c r="D63" s="8">
        <v>4.1900000000000004</v>
      </c>
      <c r="E63" s="8">
        <v>5.3</v>
      </c>
      <c r="F63" s="8">
        <v>5.73</v>
      </c>
      <c r="G63" s="8">
        <v>4.24</v>
      </c>
      <c r="H63" s="8">
        <v>4.45</v>
      </c>
      <c r="I63" s="8">
        <v>1.61</v>
      </c>
      <c r="J63" s="9">
        <v>2.42</v>
      </c>
      <c r="L63" s="82" t="s">
        <v>568</v>
      </c>
      <c r="M63" s="7">
        <v>2.88</v>
      </c>
      <c r="N63" s="8">
        <v>5.38</v>
      </c>
      <c r="O63" s="8">
        <v>5.0999999999999996</v>
      </c>
      <c r="P63" s="8">
        <v>6.21</v>
      </c>
      <c r="Q63" s="8">
        <v>5.33</v>
      </c>
      <c r="R63" s="8">
        <v>3.71</v>
      </c>
      <c r="S63" s="8">
        <v>2.87</v>
      </c>
      <c r="T63" s="9">
        <v>3.05</v>
      </c>
      <c r="AF63" s="1"/>
      <c r="AG63" s="1"/>
      <c r="AH63" s="1"/>
      <c r="AI63" s="1"/>
      <c r="AJ63" s="1"/>
      <c r="AK63" s="1"/>
      <c r="AL63" s="1"/>
      <c r="AM63" s="1"/>
      <c r="AN63" s="1"/>
      <c r="AP63" s="44" t="s">
        <v>1766</v>
      </c>
      <c r="AQ63" s="42">
        <v>2.59</v>
      </c>
      <c r="AR63" s="42">
        <v>1.17</v>
      </c>
      <c r="AS63" s="42">
        <v>2.59</v>
      </c>
      <c r="AT63" s="42">
        <v>17.43</v>
      </c>
      <c r="AU63" s="42">
        <v>1.37</v>
      </c>
      <c r="AV63" s="42">
        <v>1.17</v>
      </c>
      <c r="AW63" s="42">
        <v>1.17</v>
      </c>
      <c r="AX63" s="46">
        <v>0</v>
      </c>
      <c r="AZ63" s="1"/>
      <c r="BA63" s="1"/>
      <c r="BB63" s="1"/>
      <c r="BC63" s="1"/>
      <c r="BD63" s="1"/>
      <c r="BE63" s="1"/>
      <c r="BF63" s="1"/>
      <c r="BG63" s="1"/>
      <c r="BH63" s="1"/>
      <c r="BJ63" s="1"/>
      <c r="BK63" s="1"/>
      <c r="BL63" s="1"/>
      <c r="BM63" s="1"/>
      <c r="BN63" s="1"/>
      <c r="BO63" s="1"/>
      <c r="BP63" s="1"/>
      <c r="BQ63" s="1"/>
      <c r="BR63" s="1"/>
      <c r="BT63" s="44" t="s">
        <v>1766</v>
      </c>
      <c r="BU63" s="42">
        <v>0</v>
      </c>
      <c r="BV63" s="42">
        <v>0.45</v>
      </c>
      <c r="BW63" s="42">
        <v>0.15</v>
      </c>
      <c r="BX63" s="42">
        <v>1.17</v>
      </c>
      <c r="BY63" s="42">
        <v>1.89</v>
      </c>
      <c r="BZ63" s="42">
        <v>0.73</v>
      </c>
      <c r="CA63" s="42">
        <v>0.24</v>
      </c>
      <c r="CB63" s="46">
        <v>2.21</v>
      </c>
    </row>
    <row r="64" spans="2:80" ht="30">
      <c r="B64" s="52" t="s">
        <v>539</v>
      </c>
      <c r="C64" s="11">
        <f>C63-C53</f>
        <v>-5.4761904761897462E-3</v>
      </c>
      <c r="D64" s="11">
        <f t="shared" ref="D64:J64" si="20">D63-D53</f>
        <v>-0.19799999999998974</v>
      </c>
      <c r="E64" s="11">
        <f>E63-E53</f>
        <v>4.3170731707319554E-2</v>
      </c>
      <c r="F64" s="11">
        <f t="shared" si="20"/>
        <v>0.31850000000001</v>
      </c>
      <c r="G64" s="11">
        <f>G63-G53</f>
        <v>-6.9512195121950171E-2</v>
      </c>
      <c r="H64" s="11">
        <f t="shared" si="20"/>
        <v>-0.20743589743588942</v>
      </c>
      <c r="I64" s="11">
        <f>I63-I53</f>
        <v>-0.14153846153845984</v>
      </c>
      <c r="J64" s="12">
        <f t="shared" si="20"/>
        <v>0.12648648648649008</v>
      </c>
      <c r="L64" s="52" t="s">
        <v>539</v>
      </c>
      <c r="M64" s="10">
        <f>M63-M53</f>
        <v>3.6829268292689843E-2</v>
      </c>
      <c r="N64" s="11">
        <f t="shared" ref="N64:T64" si="21">N63-N53</f>
        <v>-7.1818181818169791E-2</v>
      </c>
      <c r="O64" s="11">
        <f t="shared" si="21"/>
        <v>-7.6578947368420636E-2</v>
      </c>
      <c r="P64" s="11">
        <f t="shared" si="21"/>
        <v>0.45948717948717999</v>
      </c>
      <c r="Q64" s="11">
        <f t="shared" si="21"/>
        <v>0.17499999999999982</v>
      </c>
      <c r="R64" s="11">
        <f t="shared" si="21"/>
        <v>1.6666666666700358E-3</v>
      </c>
      <c r="S64" s="11">
        <f t="shared" si="21"/>
        <v>-0.18538461538460993</v>
      </c>
      <c r="T64" s="12">
        <f t="shared" si="21"/>
        <v>-0.36351351351351013</v>
      </c>
      <c r="V64" s="82" t="s">
        <v>553</v>
      </c>
      <c r="W64" s="8">
        <v>3.86</v>
      </c>
      <c r="X64" s="8">
        <v>4.24</v>
      </c>
      <c r="Y64" s="8">
        <v>3.37</v>
      </c>
      <c r="Z64" s="8">
        <v>4.38</v>
      </c>
      <c r="AA64" s="8">
        <v>3.57</v>
      </c>
      <c r="AB64" s="8">
        <v>3.19</v>
      </c>
      <c r="AC64" s="8">
        <v>1.74</v>
      </c>
      <c r="AD64" s="9">
        <v>1.1200000000000001</v>
      </c>
      <c r="AF64" s="82" t="s">
        <v>553</v>
      </c>
      <c r="AG64" s="8">
        <v>4.1399999999999997</v>
      </c>
      <c r="AH64" s="8">
        <v>6.08</v>
      </c>
      <c r="AI64" s="8">
        <v>3.66</v>
      </c>
      <c r="AJ64" s="8">
        <v>5.32</v>
      </c>
      <c r="AK64" s="8">
        <v>5.44</v>
      </c>
      <c r="AL64" s="8">
        <v>1.83</v>
      </c>
      <c r="AM64" s="8">
        <v>3.76</v>
      </c>
      <c r="AN64" s="9">
        <v>2.91</v>
      </c>
      <c r="AP64" s="16" t="s">
        <v>936</v>
      </c>
      <c r="AQ64" s="57">
        <v>3.26018518518518</v>
      </c>
      <c r="AR64" s="57">
        <v>1.21078947368421</v>
      </c>
      <c r="AS64" s="57">
        <v>3.0053846153846102</v>
      </c>
      <c r="AT64" s="57">
        <v>3.9521666666666602</v>
      </c>
      <c r="AU64" s="57">
        <v>1.59</v>
      </c>
      <c r="AV64" s="57">
        <v>7.12843137254902</v>
      </c>
      <c r="AW64" s="57">
        <v>1.07</v>
      </c>
      <c r="AX64" s="58">
        <v>3.5249999999999999</v>
      </c>
      <c r="AZ64" s="82" t="s">
        <v>553</v>
      </c>
      <c r="BA64" s="8">
        <v>2.84</v>
      </c>
      <c r="BB64" s="8">
        <v>5.41</v>
      </c>
      <c r="BC64" s="8">
        <v>5.0999999999999996</v>
      </c>
      <c r="BD64" s="8">
        <v>6.17</v>
      </c>
      <c r="BE64" s="8">
        <v>5.33</v>
      </c>
      <c r="BF64" s="8">
        <v>3.65</v>
      </c>
      <c r="BG64" s="8">
        <v>2.94</v>
      </c>
      <c r="BH64" s="9">
        <v>3.12</v>
      </c>
      <c r="BJ64" s="82" t="s">
        <v>553</v>
      </c>
      <c r="BK64" s="8">
        <v>3.86</v>
      </c>
      <c r="BL64" s="8">
        <v>4.24</v>
      </c>
      <c r="BM64" s="8">
        <v>3.37</v>
      </c>
      <c r="BN64" s="8">
        <v>4.38</v>
      </c>
      <c r="BO64" s="8">
        <v>3.57</v>
      </c>
      <c r="BP64" s="8">
        <v>3.19</v>
      </c>
      <c r="BQ64" s="8">
        <v>1.74</v>
      </c>
      <c r="BR64" s="9">
        <v>1.1200000000000001</v>
      </c>
      <c r="BT64" s="66" t="s">
        <v>936</v>
      </c>
      <c r="BU64" s="63">
        <v>0.81814814814814796</v>
      </c>
      <c r="BV64" s="57">
        <v>1.1245000000000001</v>
      </c>
      <c r="BW64" s="57">
        <v>0.14933333333333301</v>
      </c>
      <c r="BX64" s="57">
        <v>2.2538</v>
      </c>
      <c r="BY64" s="57">
        <v>1.86163636363636</v>
      </c>
      <c r="BZ64" s="57">
        <v>0.61966666666666603</v>
      </c>
      <c r="CA64" s="57">
        <v>0.30933333333333302</v>
      </c>
      <c r="CB64" s="58">
        <v>2.51416666666666</v>
      </c>
    </row>
    <row r="65" spans="2:80" ht="15.75" thickBot="1">
      <c r="B65" s="53" t="s">
        <v>544</v>
      </c>
      <c r="C65" s="14">
        <f>(C64/C53)*100</f>
        <v>-0.18281535648992084</v>
      </c>
      <c r="D65" s="14">
        <f>(D64/D53)*100</f>
        <v>-4.5123062898812707</v>
      </c>
      <c r="E65" s="14">
        <f>(E64/E53)*100</f>
        <v>0.82123138310216792</v>
      </c>
      <c r="F65" s="14">
        <f t="shared" ref="F65:I65" si="22">(F64/F53)*100</f>
        <v>5.8856139702487393</v>
      </c>
      <c r="G65" s="14">
        <f>(G64/G53)*100</f>
        <v>-1.6129945101590115</v>
      </c>
      <c r="H65" s="14">
        <f>(H64/H53)*100</f>
        <v>-4.4538647874915771</v>
      </c>
      <c r="I65" s="14">
        <f t="shared" si="22"/>
        <v>-8.0808080808079907</v>
      </c>
      <c r="J65" s="15">
        <f>(J64/J53)*100</f>
        <v>5.5149658260666277</v>
      </c>
      <c r="L65" s="53" t="s">
        <v>544</v>
      </c>
      <c r="M65" s="13">
        <f>(M64/M53)*100</f>
        <v>1.2953590117528415</v>
      </c>
      <c r="N65" s="14">
        <f t="shared" ref="N65:T65" si="23">(N64/N53)*100</f>
        <v>-1.3173253293311147</v>
      </c>
      <c r="O65" s="14">
        <f t="shared" si="23"/>
        <v>-1.4793350617660437</v>
      </c>
      <c r="P65" s="14">
        <f t="shared" si="23"/>
        <v>7.9903687519507827</v>
      </c>
      <c r="Q65" s="14">
        <f t="shared" si="23"/>
        <v>3.3947623666343318</v>
      </c>
      <c r="R65" s="14">
        <f t="shared" si="23"/>
        <v>4.4943820224809999E-2</v>
      </c>
      <c r="S65" s="14">
        <f t="shared" si="23"/>
        <v>-6.0674723061428324</v>
      </c>
      <c r="T65" s="15">
        <f t="shared" si="23"/>
        <v>-10.649247822644409</v>
      </c>
      <c r="V65" s="52" t="s">
        <v>539</v>
      </c>
      <c r="W65" s="11">
        <f>W64-W58</f>
        <v>-5.9787234042550264E-2</v>
      </c>
      <c r="X65" s="11">
        <f t="shared" ref="X65" si="24">X64-X58</f>
        <v>-2.7619047619039883E-2</v>
      </c>
      <c r="Y65" s="11">
        <f>Y64-Y58</f>
        <v>-0.78913043478260025</v>
      </c>
      <c r="Z65" s="11">
        <f t="shared" ref="Z65" si="25">Z64-Z58</f>
        <v>7.7826086956529927E-2</v>
      </c>
      <c r="AA65" s="11">
        <f>AA64-AA58</f>
        <v>-3.1190476190470218E-2</v>
      </c>
      <c r="AB65" s="11">
        <f t="shared" ref="AB65" si="26">AB64-AB58</f>
        <v>6.795918367346987E-2</v>
      </c>
      <c r="AC65" s="11">
        <f>AC64-AC58</f>
        <v>0.11212765957447002</v>
      </c>
      <c r="AD65" s="12">
        <f>AD64-AD58</f>
        <v>-0.12673469387754999</v>
      </c>
      <c r="AF65" s="52" t="s">
        <v>539</v>
      </c>
      <c r="AG65" s="11">
        <f>AG64-AG58</f>
        <v>-4.9999999999901235E-3</v>
      </c>
      <c r="AH65" s="11">
        <f t="shared" ref="AH65:AN65" si="27">AH64-AH58</f>
        <v>-1.9318181818180236E-2</v>
      </c>
      <c r="AI65" s="11">
        <f t="shared" si="27"/>
        <v>-0.10760869565217002</v>
      </c>
      <c r="AJ65" s="11">
        <f t="shared" si="27"/>
        <v>0.1846511627907006</v>
      </c>
      <c r="AK65" s="11">
        <f t="shared" si="27"/>
        <v>0.14023255813954005</v>
      </c>
      <c r="AL65" s="11">
        <f t="shared" si="27"/>
        <v>-1.7272727272720001E-2</v>
      </c>
      <c r="AM65" s="11">
        <f t="shared" si="27"/>
        <v>2.2448979591898066E-3</v>
      </c>
      <c r="AN65" s="12">
        <f t="shared" si="27"/>
        <v>-0.22242424242423997</v>
      </c>
      <c r="AP65" s="20" t="s">
        <v>515</v>
      </c>
      <c r="AQ65" s="42">
        <v>3.7826467760515401</v>
      </c>
      <c r="AR65" s="42">
        <v>0.30504858611243602</v>
      </c>
      <c r="AS65" s="42">
        <v>1.83214088887464</v>
      </c>
      <c r="AT65" s="42">
        <v>2.7362158124355198</v>
      </c>
      <c r="AU65" s="42">
        <v>0.967265935423401</v>
      </c>
      <c r="AV65" s="42">
        <v>19.7181781734668</v>
      </c>
      <c r="AW65" s="42">
        <v>0.355833165091887</v>
      </c>
      <c r="AX65" s="46">
        <v>1.69616184369298</v>
      </c>
      <c r="AZ65" s="52" t="s">
        <v>539</v>
      </c>
      <c r="BA65" s="11">
        <f>BA64-BA58</f>
        <v>2.2842857142857147</v>
      </c>
      <c r="BB65" s="11">
        <f t="shared" ref="BB65:BH65" si="28">BB64-BB58</f>
        <v>1.2011764705882397</v>
      </c>
      <c r="BC65" s="11">
        <f t="shared" si="28"/>
        <v>4.7728571428571422</v>
      </c>
      <c r="BD65" s="11">
        <f t="shared" si="28"/>
        <v>4.5646511627906996</v>
      </c>
      <c r="BE65" s="11">
        <f t="shared" si="28"/>
        <v>2.9665000000000101</v>
      </c>
      <c r="BF65" s="11">
        <f t="shared" si="28"/>
        <v>1.8068085106382998</v>
      </c>
      <c r="BG65" s="11">
        <f t="shared" si="28"/>
        <v>2.2581249999999997</v>
      </c>
      <c r="BH65" s="12">
        <f t="shared" si="28"/>
        <v>1.9220930232558202</v>
      </c>
      <c r="BJ65" s="52" t="s">
        <v>539</v>
      </c>
      <c r="BK65" s="11">
        <f>BK64-BK58</f>
        <v>-8.4256521739130008</v>
      </c>
      <c r="BL65" s="11">
        <f t="shared" ref="BL65:BR65" si="29">BL64-BL58</f>
        <v>2.8842857142857201</v>
      </c>
      <c r="BM65" s="11">
        <f t="shared" si="29"/>
        <v>2.0472916666666698</v>
      </c>
      <c r="BN65" s="11">
        <f>BN64-BN58</f>
        <v>0.87032258064515977</v>
      </c>
      <c r="BO65" s="11">
        <f t="shared" si="29"/>
        <v>1.8097560975609799</v>
      </c>
      <c r="BP65" s="11">
        <f t="shared" si="29"/>
        <v>0.75833333333333997</v>
      </c>
      <c r="BQ65" s="11">
        <f t="shared" si="29"/>
        <v>1.5105263157894739</v>
      </c>
      <c r="BR65" s="12">
        <f t="shared" si="29"/>
        <v>0.89028571428571512</v>
      </c>
      <c r="BT65" s="20" t="s">
        <v>515</v>
      </c>
      <c r="BU65" s="64">
        <v>7.3587289413575396E-2</v>
      </c>
      <c r="BV65" s="42">
        <v>1.92318609343973</v>
      </c>
      <c r="BW65" s="42">
        <v>2.6824532718307599E-2</v>
      </c>
      <c r="BX65" s="42">
        <v>2.24245302291932</v>
      </c>
      <c r="BY65" s="42">
        <v>0.44598721398861002</v>
      </c>
      <c r="BZ65" s="42">
        <v>0.168888194443016</v>
      </c>
      <c r="CA65" s="42">
        <v>5.9325842223735402E-2</v>
      </c>
      <c r="CB65" s="46">
        <v>0.655070712892042</v>
      </c>
    </row>
    <row r="66" spans="2:80" ht="15.75" thickBot="1">
      <c r="V66" s="53" t="s">
        <v>544</v>
      </c>
      <c r="W66" s="14">
        <f t="shared" ref="W66:AC66" si="30">(W65/W58)*100</f>
        <v>-1.5252673288823018</v>
      </c>
      <c r="X66" s="14">
        <f t="shared" si="30"/>
        <v>-0.64717696942628722</v>
      </c>
      <c r="Y66" s="14">
        <f>(Y65/Y58)*100</f>
        <v>-18.97344762701217</v>
      </c>
      <c r="Z66" s="14">
        <f t="shared" si="30"/>
        <v>1.8089944416373842</v>
      </c>
      <c r="AA66" s="14">
        <f t="shared" si="30"/>
        <v>-0.86611570247917447</v>
      </c>
      <c r="AB66" s="14">
        <f>(AB65/AB58)*100</f>
        <v>2.17675513138974</v>
      </c>
      <c r="AC66" s="14">
        <f t="shared" si="30"/>
        <v>6.8879884982356518</v>
      </c>
      <c r="AD66" s="15">
        <f>(AD65/AD58)*100</f>
        <v>-10.165329841217801</v>
      </c>
      <c r="AF66" s="53" t="s">
        <v>544</v>
      </c>
      <c r="AG66" s="14">
        <f>(AG65/AG58)*100</f>
        <v>-0.12062726176092005</v>
      </c>
      <c r="AH66" s="14">
        <f t="shared" ref="AH66:AN66" si="31">(AH65/AH58)*100</f>
        <v>-0.31672690688226351</v>
      </c>
      <c r="AI66" s="14">
        <f t="shared" si="31"/>
        <v>-2.8561537129997263</v>
      </c>
      <c r="AJ66" s="14">
        <f t="shared" si="31"/>
        <v>3.5956887963047413</v>
      </c>
      <c r="AK66" s="14">
        <f t="shared" si="31"/>
        <v>2.6460134275309262</v>
      </c>
      <c r="AL66" s="14">
        <f t="shared" si="31"/>
        <v>-0.93503937007835014</v>
      </c>
      <c r="AM66" s="14">
        <f t="shared" si="31"/>
        <v>5.9740400803943258E-2</v>
      </c>
      <c r="AN66" s="15">
        <f t="shared" si="31"/>
        <v>-7.1007062010253694</v>
      </c>
      <c r="AP66" s="20" t="s">
        <v>520</v>
      </c>
      <c r="AQ66" s="42">
        <v>7.0428319612367201</v>
      </c>
      <c r="AR66" s="42">
        <v>1.5158380597966401</v>
      </c>
      <c r="AS66" s="42">
        <v>4.8375255042592604</v>
      </c>
      <c r="AT66" s="42">
        <v>6.6883824791021897</v>
      </c>
      <c r="AU66" s="42">
        <v>2.5572659354234002</v>
      </c>
      <c r="AV66" s="42">
        <v>26.846609546015799</v>
      </c>
      <c r="AW66" s="42">
        <v>1.4258331650918801</v>
      </c>
      <c r="AX66" s="46">
        <v>5.2211618436929799</v>
      </c>
      <c r="AZ66" s="53" t="s">
        <v>544</v>
      </c>
      <c r="BA66" s="14">
        <f>(BA65/BA58)*100</f>
        <v>411.05398457583601</v>
      </c>
      <c r="BB66" s="14">
        <f t="shared" ref="BB66:BH66" si="32">(BB65/BB58)*100</f>
        <v>28.539482879105655</v>
      </c>
      <c r="BC66" s="14">
        <f t="shared" si="32"/>
        <v>1458.9519650655027</v>
      </c>
      <c r="BD66" s="14">
        <f t="shared" si="32"/>
        <v>284.34014196726116</v>
      </c>
      <c r="BE66" s="14">
        <f t="shared" si="32"/>
        <v>125.51301036598362</v>
      </c>
      <c r="BF66" s="14">
        <f t="shared" si="32"/>
        <v>98.026087960291107</v>
      </c>
      <c r="BG66" s="14">
        <f t="shared" si="32"/>
        <v>331.16406966086151</v>
      </c>
      <c r="BH66" s="15">
        <f t="shared" si="32"/>
        <v>160.45428072219121</v>
      </c>
      <c r="BJ66" s="53" t="s">
        <v>544</v>
      </c>
      <c r="BK66" s="14">
        <f>(BK65/BK58)*100</f>
        <v>-68.581236507767883</v>
      </c>
      <c r="BL66" s="14">
        <f t="shared" ref="BL66:BQ66" si="33">(BL65/BL58)*100</f>
        <v>212.75026343519627</v>
      </c>
      <c r="BM66" s="14">
        <f>(BM65/BM58)*100</f>
        <v>154.78028035911228</v>
      </c>
      <c r="BN66" s="14">
        <f t="shared" si="33"/>
        <v>24.797794117647008</v>
      </c>
      <c r="BO66" s="14">
        <f t="shared" si="33"/>
        <v>102.81280310378324</v>
      </c>
      <c r="BP66" s="14">
        <f t="shared" si="33"/>
        <v>31.185743660041481</v>
      </c>
      <c r="BQ66" s="14">
        <f t="shared" si="33"/>
        <v>658.25688073394599</v>
      </c>
      <c r="BR66" s="15">
        <f>(BR65/BR58)*100</f>
        <v>387.56218905472792</v>
      </c>
      <c r="BT66" s="20" t="s">
        <v>520</v>
      </c>
      <c r="BU66" s="64">
        <v>0.89173543756172402</v>
      </c>
      <c r="BV66" s="42">
        <v>3.0476860934397298</v>
      </c>
      <c r="BW66" s="42">
        <v>0.17615786605164099</v>
      </c>
      <c r="BX66" s="42">
        <v>4.4962530229193201</v>
      </c>
      <c r="BY66" s="42">
        <v>2.3076235776249701</v>
      </c>
      <c r="BZ66" s="42">
        <v>0.78855486110968298</v>
      </c>
      <c r="CA66" s="42">
        <v>0.36865917555706801</v>
      </c>
      <c r="CB66" s="46">
        <v>3.1692373795586999</v>
      </c>
    </row>
    <row r="67" spans="2:80" ht="15.75" thickBot="1">
      <c r="AP67" s="20" t="s">
        <v>525</v>
      </c>
      <c r="AQ67" s="42">
        <v>-0.52246159086635402</v>
      </c>
      <c r="AR67" s="42">
        <v>0.90574088757177396</v>
      </c>
      <c r="AS67" s="42">
        <v>1.17324372650996</v>
      </c>
      <c r="AT67" s="42">
        <v>1.2159508542311299</v>
      </c>
      <c r="AU67" s="42">
        <v>0.62273406457659797</v>
      </c>
      <c r="AV67" s="42">
        <v>-12.5897468009178</v>
      </c>
      <c r="AW67" s="42">
        <v>0.71416683490811295</v>
      </c>
      <c r="AX67" s="46">
        <v>1.82883815630701</v>
      </c>
      <c r="BT67" s="20" t="s">
        <v>525</v>
      </c>
      <c r="BU67" s="64">
        <v>0.74456085873457301</v>
      </c>
      <c r="BV67" s="42">
        <v>-0.79868609343973596</v>
      </c>
      <c r="BW67" s="42">
        <v>0.122508800615025</v>
      </c>
      <c r="BX67" s="42">
        <v>1.13469770806786E-2</v>
      </c>
      <c r="BY67" s="42">
        <v>1.4156491496477499</v>
      </c>
      <c r="BZ67" s="42">
        <v>0.45077847222364897</v>
      </c>
      <c r="CA67" s="42">
        <v>0.25000749110959702</v>
      </c>
      <c r="CB67" s="46">
        <v>1.8590959537746199</v>
      </c>
    </row>
    <row r="68" spans="2:80" ht="30.75" thickBot="1">
      <c r="V68" s="82" t="s">
        <v>568</v>
      </c>
      <c r="W68" s="8">
        <v>3.83</v>
      </c>
      <c r="X68" s="8">
        <v>4.29</v>
      </c>
      <c r="Y68" s="8">
        <v>3.95</v>
      </c>
      <c r="Z68" s="8">
        <v>4.43</v>
      </c>
      <c r="AA68" s="8">
        <v>3.64</v>
      </c>
      <c r="AB68" s="8">
        <v>3.23</v>
      </c>
      <c r="AC68" s="8">
        <v>1.7</v>
      </c>
      <c r="AD68" s="9">
        <v>1.1299999999999999</v>
      </c>
      <c r="AF68" s="82" t="s">
        <v>568</v>
      </c>
      <c r="AG68" s="8">
        <v>4.1900000000000004</v>
      </c>
      <c r="AH68" s="8">
        <v>6.13</v>
      </c>
      <c r="AI68" s="8">
        <v>3.69</v>
      </c>
      <c r="AJ68" s="8">
        <v>5.35</v>
      </c>
      <c r="AK68" s="8">
        <v>5.49</v>
      </c>
      <c r="AL68" s="8">
        <v>1.85</v>
      </c>
      <c r="AM68" s="8">
        <v>3.72</v>
      </c>
      <c r="AN68" s="9">
        <v>2.9</v>
      </c>
      <c r="AP68" s="67" t="s">
        <v>937</v>
      </c>
      <c r="AQ68" s="49">
        <v>2.3592156862745099</v>
      </c>
      <c r="AR68" s="49">
        <v>1.17</v>
      </c>
      <c r="AS68" s="49">
        <v>2.5569565217391301</v>
      </c>
      <c r="AT68" s="49">
        <v>3.3326315789473702</v>
      </c>
      <c r="AU68" s="49">
        <v>1.41</v>
      </c>
      <c r="AV68" s="49">
        <v>1.4619148936170201</v>
      </c>
      <c r="AW68" s="49">
        <v>1.2178260869565201</v>
      </c>
      <c r="AX68" s="50">
        <v>2.94857142857142</v>
      </c>
      <c r="AZ68" s="82" t="s">
        <v>568</v>
      </c>
      <c r="BA68" s="7">
        <v>2.88</v>
      </c>
      <c r="BB68" s="8">
        <v>5.38</v>
      </c>
      <c r="BC68" s="8">
        <v>5.0999999999999996</v>
      </c>
      <c r="BD68" s="8">
        <v>6.21</v>
      </c>
      <c r="BE68" s="8">
        <v>5.33</v>
      </c>
      <c r="BF68" s="8">
        <v>3.71</v>
      </c>
      <c r="BG68" s="8">
        <v>2.87</v>
      </c>
      <c r="BH68" s="9">
        <v>3.05</v>
      </c>
      <c r="BJ68" s="82" t="s">
        <v>568</v>
      </c>
      <c r="BK68" s="8">
        <v>3.83</v>
      </c>
      <c r="BL68" s="8">
        <v>4.29</v>
      </c>
      <c r="BM68" s="8">
        <v>3.95</v>
      </c>
      <c r="BN68" s="8">
        <v>4.43</v>
      </c>
      <c r="BO68" s="8">
        <v>3.64</v>
      </c>
      <c r="BP68" s="8">
        <v>3.23</v>
      </c>
      <c r="BQ68" s="8">
        <v>1.7</v>
      </c>
      <c r="BR68" s="9">
        <v>1.1299999999999999</v>
      </c>
      <c r="BT68" s="67" t="s">
        <v>937</v>
      </c>
      <c r="BU68" s="65">
        <v>0.85</v>
      </c>
      <c r="BV68" s="49">
        <v>0.55254545454545401</v>
      </c>
      <c r="BW68" s="49">
        <v>0.14890909090909099</v>
      </c>
      <c r="BX68" s="49">
        <v>1.55422222222222</v>
      </c>
      <c r="BY68" s="49">
        <v>2.0338297872340401</v>
      </c>
      <c r="BZ68" s="49">
        <v>0.70090909090909104</v>
      </c>
      <c r="CA68" s="49">
        <v>0.30142857142857099</v>
      </c>
      <c r="CB68" s="50">
        <v>2.2268749999999899</v>
      </c>
    </row>
    <row r="69" spans="2:80" ht="15.75" thickBot="1">
      <c r="V69" s="52" t="s">
        <v>539</v>
      </c>
      <c r="W69" s="11">
        <f>W68-W58</f>
        <v>-8.9787234042550068E-2</v>
      </c>
      <c r="X69" s="11">
        <f t="shared" ref="X69:AC69" si="34">X68-X58</f>
        <v>2.238095238095994E-2</v>
      </c>
      <c r="Y69" s="11">
        <f>Y68-Y58</f>
        <v>-0.20913043478260018</v>
      </c>
      <c r="Z69" s="11">
        <f t="shared" si="34"/>
        <v>0.12782608695652975</v>
      </c>
      <c r="AA69" s="11">
        <f>AA68-AA58</f>
        <v>3.8809523809530067E-2</v>
      </c>
      <c r="AB69" s="11">
        <f t="shared" si="34"/>
        <v>0.10795918367346991</v>
      </c>
      <c r="AC69" s="11">
        <f t="shared" si="34"/>
        <v>7.2127659574469982E-2</v>
      </c>
      <c r="AD69" s="12">
        <f>AD68-AD58</f>
        <v>-0.1167346938775502</v>
      </c>
      <c r="AF69" s="52" t="s">
        <v>539</v>
      </c>
      <c r="AG69" s="11">
        <f>AG68-AG58</f>
        <v>4.5000000000010587E-2</v>
      </c>
      <c r="AH69" s="11">
        <f t="shared" ref="AH69:AN69" si="35">AH68-AH58</f>
        <v>3.0681818181819587E-2</v>
      </c>
      <c r="AI69" s="11">
        <f t="shared" si="35"/>
        <v>-7.7608695652170212E-2</v>
      </c>
      <c r="AJ69" s="11">
        <f t="shared" si="35"/>
        <v>0.21465116279069996</v>
      </c>
      <c r="AK69" s="11">
        <f t="shared" si="35"/>
        <v>0.19023255813953988</v>
      </c>
      <c r="AL69" s="11">
        <f t="shared" si="35"/>
        <v>2.7272727272800168E-3</v>
      </c>
      <c r="AM69" s="11">
        <f t="shared" si="35"/>
        <v>-3.7755102040809785E-2</v>
      </c>
      <c r="AN69" s="12">
        <f t="shared" si="35"/>
        <v>-0.2324242424242402</v>
      </c>
      <c r="AZ69" s="52" t="s">
        <v>539</v>
      </c>
      <c r="BA69" s="10">
        <f>BA68-BA58</f>
        <v>2.3242857142857147</v>
      </c>
      <c r="BB69" s="11">
        <f t="shared" ref="BB69:BH69" si="36">BB68-BB58</f>
        <v>1.1711764705882395</v>
      </c>
      <c r="BC69" s="11">
        <f t="shared" si="36"/>
        <v>4.7728571428571422</v>
      </c>
      <c r="BD69" s="11">
        <f t="shared" si="36"/>
        <v>4.6046511627906996</v>
      </c>
      <c r="BE69" s="11">
        <f t="shared" si="36"/>
        <v>2.9665000000000101</v>
      </c>
      <c r="BF69" s="11">
        <f t="shared" si="36"/>
        <v>1.8668085106382999</v>
      </c>
      <c r="BG69" s="11">
        <f t="shared" si="36"/>
        <v>2.1881250000000003</v>
      </c>
      <c r="BH69" s="12">
        <f t="shared" si="36"/>
        <v>1.8520930232558199</v>
      </c>
      <c r="BJ69" s="52" t="s">
        <v>539</v>
      </c>
      <c r="BK69" s="11">
        <f>BK68-BK58</f>
        <v>-8.4556521739130002</v>
      </c>
      <c r="BL69" s="11">
        <f t="shared" ref="BL69" si="37">BL68-BL58</f>
        <v>2.9342857142857199</v>
      </c>
      <c r="BM69" s="11">
        <f>BM68-BM58</f>
        <v>2.6272916666666699</v>
      </c>
      <c r="BN69" s="11">
        <f t="shared" ref="BN69" si="38">BN68-BN58</f>
        <v>0.92032258064515959</v>
      </c>
      <c r="BO69" s="11">
        <f>BO68-BO58</f>
        <v>1.8797560975609802</v>
      </c>
      <c r="BP69" s="11">
        <f t="shared" ref="BP69:BQ69" si="39">BP68-BP58</f>
        <v>0.79833333333334</v>
      </c>
      <c r="BQ69" s="11">
        <f t="shared" si="39"/>
        <v>1.4705263157894739</v>
      </c>
      <c r="BR69" s="12">
        <f>BR68-BR58</f>
        <v>0.90028571428571491</v>
      </c>
    </row>
    <row r="70" spans="2:80" ht="45.75" thickBot="1">
      <c r="V70" s="53" t="s">
        <v>544</v>
      </c>
      <c r="W70" s="14">
        <f>(W69/W58)*100</f>
        <v>-2.2906149921293255</v>
      </c>
      <c r="X70" s="14">
        <f t="shared" ref="X70:AB70" si="40">(X69/X58)*100</f>
        <v>0.52443650970783262</v>
      </c>
      <c r="Y70" s="14">
        <f>(Y69/Y58)*100</f>
        <v>-5.0282249634118896</v>
      </c>
      <c r="Z70" s="14">
        <f t="shared" si="40"/>
        <v>2.9711975745327841</v>
      </c>
      <c r="AA70" s="14">
        <f t="shared" si="40"/>
        <v>1.0776859504133989</v>
      </c>
      <c r="AB70" s="14">
        <f t="shared" si="40"/>
        <v>3.4579683618773864</v>
      </c>
      <c r="AC70" s="14">
        <f>(AC69/AC58)*100</f>
        <v>4.4307933603451746</v>
      </c>
      <c r="AD70" s="15">
        <f>(AD69/AD58)*100</f>
        <v>-9.363234571942975</v>
      </c>
      <c r="AF70" s="53" t="s">
        <v>544</v>
      </c>
      <c r="AG70" s="14">
        <f>(AG69/AG58)*100</f>
        <v>1.0856453558506804</v>
      </c>
      <c r="AH70" s="14">
        <f t="shared" ref="AH70:AN70" si="41">(AH69/AH58)*100</f>
        <v>0.50303685210718863</v>
      </c>
      <c r="AI70" s="14">
        <f t="shared" si="41"/>
        <v>-2.0598926778603852</v>
      </c>
      <c r="AJ70" s="14">
        <f t="shared" si="41"/>
        <v>4.1798750113214851</v>
      </c>
      <c r="AK70" s="14">
        <f t="shared" si="41"/>
        <v>3.5894510509457294</v>
      </c>
      <c r="AL70" s="14">
        <f t="shared" si="41"/>
        <v>0.14763779527598575</v>
      </c>
      <c r="AM70" s="14">
        <f t="shared" si="41"/>
        <v>-1.0047249226088537</v>
      </c>
      <c r="AN70" s="15">
        <f t="shared" si="41"/>
        <v>-7.4199477604720245</v>
      </c>
      <c r="AP70" s="82" t="s">
        <v>534</v>
      </c>
      <c r="AQ70" s="8">
        <v>3.04</v>
      </c>
      <c r="AR70" s="8">
        <v>4.01</v>
      </c>
      <c r="AS70" s="8">
        <v>5.24</v>
      </c>
      <c r="AT70" s="8">
        <v>5.77</v>
      </c>
      <c r="AU70" s="8">
        <v>4.1900000000000004</v>
      </c>
      <c r="AV70" s="8">
        <v>4.38</v>
      </c>
      <c r="AW70" s="8">
        <v>1.55</v>
      </c>
      <c r="AX70" s="9">
        <v>2.41</v>
      </c>
      <c r="AZ70" s="53" t="s">
        <v>544</v>
      </c>
      <c r="BA70" s="13">
        <f>(BA69/BA58)*100</f>
        <v>418.25192802056614</v>
      </c>
      <c r="BB70" s="14">
        <f t="shared" ref="BB70:BH70" si="42">(BB69/BB58)*100</f>
        <v>27.826694619147581</v>
      </c>
      <c r="BC70" s="14">
        <f t="shared" si="42"/>
        <v>1458.9519650655027</v>
      </c>
      <c r="BD70" s="14">
        <f t="shared" si="42"/>
        <v>286.83181225554159</v>
      </c>
      <c r="BE70" s="14">
        <f t="shared" si="42"/>
        <v>125.51301036598362</v>
      </c>
      <c r="BF70" s="14">
        <f t="shared" si="42"/>
        <v>101.28131132402191</v>
      </c>
      <c r="BG70" s="14">
        <f t="shared" si="42"/>
        <v>320.89825847846021</v>
      </c>
      <c r="BH70" s="15">
        <f t="shared" si="42"/>
        <v>154.61075519316768</v>
      </c>
      <c r="BJ70" s="53" t="s">
        <v>544</v>
      </c>
      <c r="BK70" s="14">
        <f>(BK69/BK58)*100</f>
        <v>-68.825423788795575</v>
      </c>
      <c r="BL70" s="14">
        <f t="shared" ref="BL70" si="43">(BL69/BL58)*100</f>
        <v>216.43835616438486</v>
      </c>
      <c r="BM70" s="14">
        <f>(BM69/BM58)*100</f>
        <v>198.62970546542837</v>
      </c>
      <c r="BN70" s="14">
        <f t="shared" ref="BN70:BP70" si="44">(BN69/BN58)*100</f>
        <v>26.222426470588179</v>
      </c>
      <c r="BO70" s="14">
        <f t="shared" si="44"/>
        <v>106.78952473326919</v>
      </c>
      <c r="BP70" s="14">
        <f t="shared" si="44"/>
        <v>32.830705962988709</v>
      </c>
      <c r="BQ70" s="14">
        <f>(BQ69/BQ58)*100</f>
        <v>640.82568807339544</v>
      </c>
      <c r="BR70" s="15">
        <f>(BR69/BR58)*100</f>
        <v>391.91542288557361</v>
      </c>
      <c r="BT70" s="82" t="s">
        <v>534</v>
      </c>
      <c r="BU70" s="8">
        <v>4.2</v>
      </c>
      <c r="BV70" s="8">
        <v>6.08</v>
      </c>
      <c r="BW70" s="8">
        <v>3.62</v>
      </c>
      <c r="BX70" s="8">
        <v>5.36</v>
      </c>
      <c r="BY70" s="8">
        <v>5.44</v>
      </c>
      <c r="BZ70" s="8">
        <v>1.82</v>
      </c>
      <c r="CA70" s="8">
        <v>3.76</v>
      </c>
      <c r="CB70" s="9">
        <v>2.87</v>
      </c>
    </row>
    <row r="71" spans="2:80">
      <c r="AP71" s="52" t="s">
        <v>539</v>
      </c>
      <c r="AQ71" s="11">
        <f>AQ70-AQ68</f>
        <v>0.68078431372549009</v>
      </c>
      <c r="AR71" s="11">
        <f t="shared" ref="AR71:AX71" si="45">AR70-AR68</f>
        <v>2.84</v>
      </c>
      <c r="AS71" s="11">
        <f t="shared" si="45"/>
        <v>2.6830434782608701</v>
      </c>
      <c r="AT71" s="11">
        <f t="shared" si="45"/>
        <v>2.4373684210526294</v>
      </c>
      <c r="AU71" s="11">
        <f t="shared" si="45"/>
        <v>2.7800000000000002</v>
      </c>
      <c r="AV71" s="11">
        <f t="shared" si="45"/>
        <v>2.9180851063829798</v>
      </c>
      <c r="AW71" s="11">
        <f t="shared" si="45"/>
        <v>0.33217391304347998</v>
      </c>
      <c r="AX71" s="12">
        <f t="shared" si="45"/>
        <v>-0.53857142857141982</v>
      </c>
      <c r="BT71" s="52" t="s">
        <v>539</v>
      </c>
      <c r="BU71" s="11">
        <f>BU70-BU68</f>
        <v>3.35</v>
      </c>
      <c r="BV71" s="11">
        <f t="shared" ref="BV71:CB71" si="46">BV70-BV68</f>
        <v>5.5274545454545461</v>
      </c>
      <c r="BW71" s="11">
        <f t="shared" si="46"/>
        <v>3.471090909090909</v>
      </c>
      <c r="BX71" s="11">
        <f t="shared" si="46"/>
        <v>3.8057777777777804</v>
      </c>
      <c r="BY71" s="11">
        <f t="shared" si="46"/>
        <v>3.4061702127659603</v>
      </c>
      <c r="BZ71" s="11">
        <f t="shared" si="46"/>
        <v>1.1190909090909091</v>
      </c>
      <c r="CA71" s="11">
        <f t="shared" si="46"/>
        <v>3.4585714285714286</v>
      </c>
      <c r="CB71" s="12">
        <f t="shared" si="46"/>
        <v>0.64312500000001016</v>
      </c>
    </row>
    <row r="72" spans="2:80" ht="15.75" thickBot="1">
      <c r="AP72" s="53" t="s">
        <v>544</v>
      </c>
      <c r="AQ72" s="14">
        <f>(AQ71/AQ68)*100</f>
        <v>28.856382978723399</v>
      </c>
      <c r="AR72" s="14">
        <f t="shared" ref="AR72:AX72" si="47">(AR71/AR68)*100</f>
        <v>242.73504273504273</v>
      </c>
      <c r="AS72" s="14">
        <f t="shared" si="47"/>
        <v>104.93113416085703</v>
      </c>
      <c r="AT72" s="14">
        <f t="shared" si="47"/>
        <v>73.136449778900712</v>
      </c>
      <c r="AU72" s="14">
        <f t="shared" si="47"/>
        <v>197.1631205673759</v>
      </c>
      <c r="AV72" s="14">
        <f t="shared" si="47"/>
        <v>199.60704409838473</v>
      </c>
      <c r="AW72" s="14">
        <f t="shared" si="47"/>
        <v>27.275972866833452</v>
      </c>
      <c r="AX72" s="15">
        <f t="shared" si="47"/>
        <v>-18.265503875968751</v>
      </c>
      <c r="BT72" s="53" t="s">
        <v>544</v>
      </c>
      <c r="BU72" s="14">
        <f>(BU71/BU68)*100</f>
        <v>394.11764705882354</v>
      </c>
      <c r="BV72" s="14">
        <f t="shared" ref="BV72:CB72" si="48">(BV71/BV68)*100</f>
        <v>1000.361961171439</v>
      </c>
      <c r="BW72" s="14">
        <f>(BW71/BW68)*100</f>
        <v>2331.0134310134299</v>
      </c>
      <c r="BX72" s="14">
        <f t="shared" si="48"/>
        <v>244.8670288818993</v>
      </c>
      <c r="BY72" s="14">
        <f t="shared" si="48"/>
        <v>167.4756773721104</v>
      </c>
      <c r="BZ72" s="14">
        <f t="shared" si="48"/>
        <v>159.662775616083</v>
      </c>
      <c r="CA72" s="14">
        <f t="shared" si="48"/>
        <v>1147.3933649289115</v>
      </c>
      <c r="CB72" s="15">
        <f t="shared" si="48"/>
        <v>28.880157170923965</v>
      </c>
    </row>
    <row r="73" spans="2:80" ht="15.75" thickBot="1">
      <c r="AP73" s="1"/>
      <c r="AQ73" s="1"/>
      <c r="AR73" s="1"/>
      <c r="AS73" s="1"/>
      <c r="AT73" s="1"/>
      <c r="AU73" s="1"/>
      <c r="AV73" s="1"/>
      <c r="AW73" s="1"/>
      <c r="AX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2:80" ht="30">
      <c r="AP74" s="82" t="s">
        <v>553</v>
      </c>
      <c r="AQ74" s="8">
        <v>2.99</v>
      </c>
      <c r="AR74" s="8">
        <v>4.18</v>
      </c>
      <c r="AS74" s="8">
        <v>5.28</v>
      </c>
      <c r="AT74" s="8">
        <v>5.69</v>
      </c>
      <c r="AU74" s="8">
        <v>4.22</v>
      </c>
      <c r="AV74" s="8">
        <v>4.3899999999999997</v>
      </c>
      <c r="AW74" s="8">
        <v>1.62</v>
      </c>
      <c r="AX74" s="9">
        <v>2.44</v>
      </c>
      <c r="BT74" s="82" t="s">
        <v>553</v>
      </c>
      <c r="BU74" s="8">
        <v>4.1399999999999997</v>
      </c>
      <c r="BV74" s="8">
        <v>6.08</v>
      </c>
      <c r="BW74" s="8">
        <v>3.66</v>
      </c>
      <c r="BX74" s="8">
        <v>5.32</v>
      </c>
      <c r="BY74" s="8">
        <v>5.44</v>
      </c>
      <c r="BZ74" s="8">
        <v>1.83</v>
      </c>
      <c r="CA74" s="8">
        <v>3.76</v>
      </c>
      <c r="CB74" s="9">
        <v>2.91</v>
      </c>
    </row>
    <row r="75" spans="2:80">
      <c r="AP75" s="52" t="s">
        <v>539</v>
      </c>
      <c r="AQ75" s="11">
        <f>AQ74-AQ68</f>
        <v>0.63078431372549026</v>
      </c>
      <c r="AR75" s="11">
        <f t="shared" ref="AR75:AX75" si="49">AR74-AR68</f>
        <v>3.01</v>
      </c>
      <c r="AS75" s="11">
        <f t="shared" si="49"/>
        <v>2.7230434782608701</v>
      </c>
      <c r="AT75" s="11">
        <f t="shared" si="49"/>
        <v>2.3573684210526302</v>
      </c>
      <c r="AU75" s="11">
        <f t="shared" si="49"/>
        <v>2.8099999999999996</v>
      </c>
      <c r="AV75" s="11">
        <f t="shared" si="49"/>
        <v>2.9280851063829796</v>
      </c>
      <c r="AW75" s="11">
        <f t="shared" si="49"/>
        <v>0.40217391304348005</v>
      </c>
      <c r="AX75" s="12">
        <f t="shared" si="49"/>
        <v>-0.50857142857142001</v>
      </c>
      <c r="BT75" s="52" t="s">
        <v>539</v>
      </c>
      <c r="BU75" s="11">
        <f>BU74-BU68</f>
        <v>3.2899999999999996</v>
      </c>
      <c r="BV75" s="11">
        <f t="shared" ref="BV75:CB75" si="50">BV74-BV68</f>
        <v>5.5274545454545461</v>
      </c>
      <c r="BW75" s="11">
        <f t="shared" si="50"/>
        <v>3.511090909090909</v>
      </c>
      <c r="BX75" s="11">
        <f t="shared" si="50"/>
        <v>3.7657777777777803</v>
      </c>
      <c r="BY75" s="11">
        <f t="shared" si="50"/>
        <v>3.4061702127659603</v>
      </c>
      <c r="BZ75" s="11">
        <f t="shared" si="50"/>
        <v>1.1290909090909089</v>
      </c>
      <c r="CA75" s="11">
        <f t="shared" si="50"/>
        <v>3.4585714285714286</v>
      </c>
      <c r="CB75" s="12">
        <f t="shared" si="50"/>
        <v>0.6831250000000102</v>
      </c>
    </row>
    <row r="76" spans="2:80" ht="15.75" thickBot="1">
      <c r="AP76" s="53" t="s">
        <v>544</v>
      </c>
      <c r="AQ76" s="14">
        <f>(AQ75/AQ68)*100</f>
        <v>26.737034574468087</v>
      </c>
      <c r="AR76" s="14">
        <f t="shared" ref="AR76:AX76" si="51">(AR75/AR68)*100</f>
        <v>257.26495726495727</v>
      </c>
      <c r="AS76" s="14">
        <f t="shared" si="51"/>
        <v>106.49549396361166</v>
      </c>
      <c r="AT76" s="14">
        <f t="shared" si="51"/>
        <v>70.735944409349258</v>
      </c>
      <c r="AU76" s="14">
        <f t="shared" si="51"/>
        <v>199.29078014184395</v>
      </c>
      <c r="AV76" s="14">
        <f t="shared" si="51"/>
        <v>200.29107844564132</v>
      </c>
      <c r="AW76" s="14">
        <f t="shared" si="51"/>
        <v>33.02392002856142</v>
      </c>
      <c r="AX76" s="15">
        <f t="shared" si="51"/>
        <v>-17.248062015503638</v>
      </c>
      <c r="BT76" s="53" t="s">
        <v>544</v>
      </c>
      <c r="BU76" s="14">
        <f>(BU75/BU68)*100</f>
        <v>387.05882352941171</v>
      </c>
      <c r="BV76" s="14">
        <f t="shared" ref="BV76:CB76" si="52">(BV75/BV68)*100</f>
        <v>1000.361961171439</v>
      </c>
      <c r="BW76" s="14">
        <f t="shared" si="52"/>
        <v>2357.8754578754565</v>
      </c>
      <c r="BX76" s="14">
        <f t="shared" si="52"/>
        <v>242.29339433800453</v>
      </c>
      <c r="BY76" s="14">
        <f t="shared" si="52"/>
        <v>167.4756773721104</v>
      </c>
      <c r="BZ76" s="14">
        <f t="shared" si="52"/>
        <v>161.08949416342406</v>
      </c>
      <c r="CA76" s="14">
        <f t="shared" si="52"/>
        <v>1147.3933649289115</v>
      </c>
      <c r="CB76" s="15">
        <f t="shared" si="52"/>
        <v>30.676396295257401</v>
      </c>
    </row>
    <row r="77" spans="2:80" ht="15.75" thickBot="1"/>
    <row r="78" spans="2:80" ht="30">
      <c r="AP78" s="82" t="s">
        <v>568</v>
      </c>
      <c r="AQ78" s="8">
        <v>2.99</v>
      </c>
      <c r="AR78" s="8">
        <v>4.1900000000000004</v>
      </c>
      <c r="AS78" s="8">
        <v>5.3</v>
      </c>
      <c r="AT78" s="8">
        <v>5.73</v>
      </c>
      <c r="AU78" s="8">
        <v>4.24</v>
      </c>
      <c r="AV78" s="8">
        <v>4.45</v>
      </c>
      <c r="AW78" s="8">
        <v>1.61</v>
      </c>
      <c r="AX78" s="9">
        <v>2.42</v>
      </c>
      <c r="BT78" s="82" t="s">
        <v>568</v>
      </c>
      <c r="BU78" s="8">
        <v>4.1900000000000004</v>
      </c>
      <c r="BV78" s="8">
        <v>6.13</v>
      </c>
      <c r="BW78" s="8">
        <v>3.69</v>
      </c>
      <c r="BX78" s="8">
        <v>5.35</v>
      </c>
      <c r="BY78" s="8">
        <v>5.49</v>
      </c>
      <c r="BZ78" s="8">
        <v>1.85</v>
      </c>
      <c r="CA78" s="8">
        <v>3.72</v>
      </c>
      <c r="CB78" s="9">
        <v>2.9</v>
      </c>
    </row>
    <row r="79" spans="2:80">
      <c r="AP79" s="52" t="s">
        <v>539</v>
      </c>
      <c r="AQ79" s="11">
        <f>AQ78-AQ68</f>
        <v>0.63078431372549026</v>
      </c>
      <c r="AR79" s="11">
        <f t="shared" ref="AR79" si="53">AR78-AR68</f>
        <v>3.0200000000000005</v>
      </c>
      <c r="AS79" s="11">
        <f>AS78-AS68</f>
        <v>2.7430434782608697</v>
      </c>
      <c r="AT79" s="11">
        <f t="shared" ref="AT79" si="54">AT78-AT68</f>
        <v>2.3973684210526303</v>
      </c>
      <c r="AU79" s="11">
        <f>AU78-AU68</f>
        <v>2.83</v>
      </c>
      <c r="AV79" s="11">
        <f t="shared" ref="AV79" si="55">AV78-AV68</f>
        <v>2.9880851063829801</v>
      </c>
      <c r="AW79" s="11">
        <f>AW78-AW68</f>
        <v>0.39217391304348004</v>
      </c>
      <c r="AX79" s="12">
        <f t="shared" ref="AX79" si="56">AX78-AX68</f>
        <v>-0.52857142857142003</v>
      </c>
      <c r="BT79" s="52" t="s">
        <v>539</v>
      </c>
      <c r="BU79" s="11">
        <f>BU78-BU68</f>
        <v>3.3400000000000003</v>
      </c>
      <c r="BV79" s="11">
        <f t="shared" ref="BV79:CB79" si="57">BV78-BV68</f>
        <v>5.5774545454545459</v>
      </c>
      <c r="BW79" s="11">
        <f t="shared" si="57"/>
        <v>3.5410909090909088</v>
      </c>
      <c r="BX79" s="11">
        <f t="shared" si="57"/>
        <v>3.7957777777777797</v>
      </c>
      <c r="BY79" s="11">
        <f t="shared" si="57"/>
        <v>3.4561702127659601</v>
      </c>
      <c r="BZ79" s="11">
        <f t="shared" si="57"/>
        <v>1.1490909090909089</v>
      </c>
      <c r="CA79" s="11">
        <f t="shared" si="57"/>
        <v>3.418571428571429</v>
      </c>
      <c r="CB79" s="12">
        <f t="shared" si="57"/>
        <v>0.67312500000000997</v>
      </c>
    </row>
    <row r="80" spans="2:80" ht="15.75" thickBot="1">
      <c r="AP80" s="53" t="s">
        <v>544</v>
      </c>
      <c r="AQ80" s="14">
        <f>(AQ79/AQ68)*100</f>
        <v>26.737034574468087</v>
      </c>
      <c r="AR80" s="14">
        <f t="shared" ref="AR80" si="58">(AR79/AR68)*100</f>
        <v>258.1196581196582</v>
      </c>
      <c r="AS80" s="14">
        <f>(AS79/AS68)*100</f>
        <v>107.27767386498897</v>
      </c>
      <c r="AT80" s="14">
        <f t="shared" ref="AT80:AU80" si="59">(AT79/AT68)*100</f>
        <v>71.936197094124992</v>
      </c>
      <c r="AU80" s="14">
        <f t="shared" si="59"/>
        <v>200.70921985815608</v>
      </c>
      <c r="AV80" s="14">
        <f>(AV79/AV68)*100</f>
        <v>204.39528452918086</v>
      </c>
      <c r="AW80" s="14">
        <f t="shared" ref="AW80" si="60">(AW79/AW68)*100</f>
        <v>32.202784719743136</v>
      </c>
      <c r="AX80" s="15">
        <f>(AX79/AX68)*100</f>
        <v>-17.926356589147048</v>
      </c>
      <c r="BT80" s="53" t="s">
        <v>544</v>
      </c>
      <c r="BU80" s="14">
        <f>(BU79/BU68)*100</f>
        <v>392.94117647058829</v>
      </c>
      <c r="BV80" s="14">
        <f t="shared" ref="BV80:CB80" si="61">(BV79/BV68)*100</f>
        <v>1009.4109904573884</v>
      </c>
      <c r="BW80" s="14">
        <f t="shared" si="61"/>
        <v>2378.0219780219768</v>
      </c>
      <c r="BX80" s="14">
        <f t="shared" si="61"/>
        <v>244.22362024592553</v>
      </c>
      <c r="BY80" s="14">
        <f t="shared" si="61"/>
        <v>169.9340935244276</v>
      </c>
      <c r="BZ80" s="14">
        <f t="shared" si="61"/>
        <v>163.94293125810631</v>
      </c>
      <c r="CA80" s="14">
        <f t="shared" si="61"/>
        <v>1134.1232227488169</v>
      </c>
      <c r="CB80" s="15">
        <f t="shared" si="61"/>
        <v>30.227336514174034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279"/>
  <sheetViews>
    <sheetView topLeftCell="AI1" zoomScale="130" zoomScaleNormal="130" workbookViewId="0">
      <pane ySplit="3" topLeftCell="A55" activePane="bottomLeft" state="frozen"/>
      <selection pane="bottomLeft" activeCell="AQ63" sqref="AQ63:AX63"/>
    </sheetView>
  </sheetViews>
  <sheetFormatPr defaultColWidth="8.85546875" defaultRowHeight="15"/>
  <cols>
    <col min="1" max="1" width="8.85546875" style="40"/>
    <col min="2" max="2" width="27.140625" style="40" bestFit="1" customWidth="1"/>
    <col min="3" max="5" width="6" style="40" bestFit="1" customWidth="1"/>
    <col min="6" max="6" width="5.28515625" style="40" bestFit="1" customWidth="1"/>
    <col min="7" max="8" width="6" style="40" bestFit="1" customWidth="1"/>
    <col min="9" max="9" width="7" style="40" bestFit="1" customWidth="1"/>
    <col min="10" max="10" width="6" style="40" bestFit="1" customWidth="1"/>
    <col min="11" max="11" width="8.85546875" style="40"/>
    <col min="12" max="12" width="27.140625" style="40" bestFit="1" customWidth="1"/>
    <col min="13" max="13" width="5.28515625" style="40" bestFit="1" customWidth="1"/>
    <col min="14" max="16" width="6" style="40" bestFit="1" customWidth="1"/>
    <col min="17" max="17" width="5.28515625" style="40" bestFit="1" customWidth="1"/>
    <col min="18" max="19" width="6" style="40" bestFit="1" customWidth="1"/>
    <col min="20" max="20" width="7" style="40" bestFit="1" customWidth="1"/>
    <col min="21" max="21" width="8.85546875" style="40"/>
    <col min="22" max="22" width="27.140625" style="40" bestFit="1" customWidth="1"/>
    <col min="23" max="24" width="6" style="40" bestFit="1" customWidth="1"/>
    <col min="25" max="25" width="7" style="40" bestFit="1" customWidth="1"/>
    <col min="26" max="27" width="6" style="40" bestFit="1" customWidth="1"/>
    <col min="28" max="29" width="5.28515625" style="40" bestFit="1" customWidth="1"/>
    <col min="30" max="30" width="7" style="40" bestFit="1" customWidth="1"/>
    <col min="31" max="31" width="8.85546875" style="40"/>
    <col min="32" max="32" width="27.140625" style="40" bestFit="1" customWidth="1"/>
    <col min="33" max="35" width="6" style="40" bestFit="1" customWidth="1"/>
    <col min="36" max="37" width="5.28515625" style="40" bestFit="1" customWidth="1"/>
    <col min="38" max="40" width="6" style="40" bestFit="1" customWidth="1"/>
    <col min="41" max="41" width="8.85546875" style="40"/>
    <col min="42" max="42" width="27.140625" style="40" bestFit="1" customWidth="1"/>
    <col min="43" max="43" width="6.42578125" style="40" bestFit="1" customWidth="1"/>
    <col min="44" max="45" width="7.5703125" style="40" bestFit="1" customWidth="1"/>
    <col min="46" max="46" width="6.42578125" style="40" bestFit="1" customWidth="1"/>
    <col min="47" max="48" width="7.5703125" style="40" bestFit="1" customWidth="1"/>
    <col min="49" max="50" width="6.42578125" style="40" bestFit="1" customWidth="1"/>
    <col min="51" max="51" width="8.85546875" style="40"/>
    <col min="52" max="52" width="27.140625" style="40" bestFit="1" customWidth="1"/>
    <col min="53" max="53" width="7.5703125" style="40" bestFit="1" customWidth="1"/>
    <col min="54" max="54" width="6.42578125" style="40" bestFit="1" customWidth="1"/>
    <col min="55" max="55" width="9" style="40" bestFit="1" customWidth="1"/>
    <col min="56" max="57" width="7.5703125" style="40" bestFit="1" customWidth="1"/>
    <col min="58" max="58" width="6.42578125" style="40" bestFit="1" customWidth="1"/>
    <col min="59" max="60" width="7.5703125" style="40" bestFit="1" customWidth="1"/>
    <col min="61" max="61" width="8.85546875" style="40"/>
    <col min="62" max="62" width="27.140625" style="40" bestFit="1" customWidth="1"/>
    <col min="63" max="63" width="7" style="40" bestFit="1" customWidth="1"/>
    <col min="64" max="65" width="7.5703125" style="40" bestFit="1" customWidth="1"/>
    <col min="66" max="66" width="6.42578125" style="40" bestFit="1" customWidth="1"/>
    <col min="67" max="67" width="7.5703125" style="40" bestFit="1" customWidth="1"/>
    <col min="68" max="68" width="6.42578125" style="40" bestFit="1" customWidth="1"/>
    <col min="69" max="70" width="7.5703125" style="40" bestFit="1" customWidth="1"/>
    <col min="71" max="71" width="8.85546875" style="40"/>
    <col min="72" max="72" width="27.140625" style="40" bestFit="1" customWidth="1"/>
    <col min="73" max="74" width="7.5703125" style="40" bestFit="1" customWidth="1"/>
    <col min="75" max="75" width="9" style="40" bestFit="1" customWidth="1"/>
    <col min="76" max="78" width="7.5703125" style="40" bestFit="1" customWidth="1"/>
    <col min="79" max="79" width="9" style="40" bestFit="1" customWidth="1"/>
    <col min="80" max="80" width="6.42578125" style="40" bestFit="1" customWidth="1"/>
    <col min="81" max="16384" width="8.85546875" style="40"/>
  </cols>
  <sheetData>
    <row r="1" spans="2:80" ht="15.75" thickBot="1"/>
    <row r="2" spans="2:80" s="1" customFormat="1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7"/>
      <c r="L2" s="85" t="s">
        <v>2</v>
      </c>
      <c r="M2" s="86"/>
      <c r="N2" s="86"/>
      <c r="O2" s="86"/>
      <c r="P2" s="86"/>
      <c r="Q2" s="86"/>
      <c r="R2" s="86"/>
      <c r="S2" s="86"/>
      <c r="T2" s="87"/>
      <c r="V2" s="85" t="s">
        <v>3</v>
      </c>
      <c r="W2" s="86"/>
      <c r="X2" s="86"/>
      <c r="Y2" s="86"/>
      <c r="Z2" s="86"/>
      <c r="AA2" s="86"/>
      <c r="AB2" s="86"/>
      <c r="AC2" s="86"/>
      <c r="AD2" s="87"/>
      <c r="AF2" s="85" t="s">
        <v>4</v>
      </c>
      <c r="AG2" s="86"/>
      <c r="AH2" s="86"/>
      <c r="AI2" s="86"/>
      <c r="AJ2" s="86"/>
      <c r="AK2" s="86"/>
      <c r="AL2" s="86"/>
      <c r="AM2" s="86"/>
      <c r="AN2" s="87"/>
      <c r="AP2" s="85" t="s">
        <v>5</v>
      </c>
      <c r="AQ2" s="86"/>
      <c r="AR2" s="86"/>
      <c r="AS2" s="86"/>
      <c r="AT2" s="86"/>
      <c r="AU2" s="86"/>
      <c r="AV2" s="86"/>
      <c r="AW2" s="86"/>
      <c r="AX2" s="87"/>
      <c r="AZ2" s="85" t="s">
        <v>6</v>
      </c>
      <c r="BA2" s="86"/>
      <c r="BB2" s="86"/>
      <c r="BC2" s="86"/>
      <c r="BD2" s="86"/>
      <c r="BE2" s="86"/>
      <c r="BF2" s="86"/>
      <c r="BG2" s="86"/>
      <c r="BH2" s="87"/>
      <c r="BJ2" s="85" t="s">
        <v>7</v>
      </c>
      <c r="BK2" s="86"/>
      <c r="BL2" s="86"/>
      <c r="BM2" s="86"/>
      <c r="BN2" s="86"/>
      <c r="BO2" s="86"/>
      <c r="BP2" s="86"/>
      <c r="BQ2" s="86"/>
      <c r="BR2" s="87"/>
      <c r="BT2" s="85" t="s">
        <v>8</v>
      </c>
      <c r="BU2" s="86"/>
      <c r="BV2" s="86"/>
      <c r="BW2" s="86"/>
      <c r="BX2" s="86"/>
      <c r="BY2" s="86"/>
      <c r="BZ2" s="86"/>
      <c r="CA2" s="86"/>
      <c r="CB2" s="87"/>
    </row>
    <row r="3" spans="2:80" s="1" customFormat="1" ht="15.75" thickBot="1">
      <c r="B3" s="28" t="s">
        <v>9</v>
      </c>
      <c r="C3" s="29" t="s">
        <v>10</v>
      </c>
      <c r="D3" s="29" t="s">
        <v>13</v>
      </c>
      <c r="E3" s="29" t="s">
        <v>16</v>
      </c>
      <c r="F3" s="29" t="s">
        <v>19</v>
      </c>
      <c r="G3" s="29" t="s">
        <v>22</v>
      </c>
      <c r="H3" s="29" t="s">
        <v>25</v>
      </c>
      <c r="I3" s="29" t="s">
        <v>28</v>
      </c>
      <c r="J3" s="30" t="s">
        <v>31</v>
      </c>
      <c r="L3" s="28" t="s">
        <v>9</v>
      </c>
      <c r="M3" s="29" t="s">
        <v>10</v>
      </c>
      <c r="N3" s="29" t="s">
        <v>13</v>
      </c>
      <c r="O3" s="29" t="s">
        <v>16</v>
      </c>
      <c r="P3" s="29" t="s">
        <v>19</v>
      </c>
      <c r="Q3" s="29" t="s">
        <v>22</v>
      </c>
      <c r="R3" s="29" t="s">
        <v>25</v>
      </c>
      <c r="S3" s="29" t="s">
        <v>28</v>
      </c>
      <c r="T3" s="30" t="s">
        <v>31</v>
      </c>
      <c r="V3" s="28" t="s">
        <v>9</v>
      </c>
      <c r="W3" s="29" t="s">
        <v>10</v>
      </c>
      <c r="X3" s="29" t="s">
        <v>13</v>
      </c>
      <c r="Y3" s="29" t="s">
        <v>16</v>
      </c>
      <c r="Z3" s="29" t="s">
        <v>19</v>
      </c>
      <c r="AA3" s="29" t="s">
        <v>22</v>
      </c>
      <c r="AB3" s="29" t="s">
        <v>25</v>
      </c>
      <c r="AC3" s="29" t="s">
        <v>28</v>
      </c>
      <c r="AD3" s="30" t="s">
        <v>31</v>
      </c>
      <c r="AF3" s="28" t="s">
        <v>9</v>
      </c>
      <c r="AG3" s="29" t="s">
        <v>10</v>
      </c>
      <c r="AH3" s="29" t="s">
        <v>13</v>
      </c>
      <c r="AI3" s="29" t="s">
        <v>16</v>
      </c>
      <c r="AJ3" s="29" t="s">
        <v>19</v>
      </c>
      <c r="AK3" s="29" t="s">
        <v>22</v>
      </c>
      <c r="AL3" s="29" t="s">
        <v>25</v>
      </c>
      <c r="AM3" s="29" t="s">
        <v>28</v>
      </c>
      <c r="AN3" s="30" t="s">
        <v>31</v>
      </c>
      <c r="AP3" s="28" t="s">
        <v>9</v>
      </c>
      <c r="AQ3" s="29" t="s">
        <v>10</v>
      </c>
      <c r="AR3" s="29" t="s">
        <v>13</v>
      </c>
      <c r="AS3" s="29" t="s">
        <v>16</v>
      </c>
      <c r="AT3" s="29" t="s">
        <v>19</v>
      </c>
      <c r="AU3" s="29" t="s">
        <v>22</v>
      </c>
      <c r="AV3" s="29" t="s">
        <v>25</v>
      </c>
      <c r="AW3" s="29" t="s">
        <v>28</v>
      </c>
      <c r="AX3" s="30" t="s">
        <v>31</v>
      </c>
      <c r="AZ3" s="28" t="s">
        <v>9</v>
      </c>
      <c r="BA3" s="29" t="s">
        <v>10</v>
      </c>
      <c r="BB3" s="29" t="s">
        <v>13</v>
      </c>
      <c r="BC3" s="29" t="s">
        <v>16</v>
      </c>
      <c r="BD3" s="29" t="s">
        <v>19</v>
      </c>
      <c r="BE3" s="29" t="s">
        <v>22</v>
      </c>
      <c r="BF3" s="29" t="s">
        <v>25</v>
      </c>
      <c r="BG3" s="29" t="s">
        <v>28</v>
      </c>
      <c r="BH3" s="30" t="s">
        <v>31</v>
      </c>
      <c r="BJ3" s="28" t="s">
        <v>9</v>
      </c>
      <c r="BK3" s="29" t="s">
        <v>10</v>
      </c>
      <c r="BL3" s="29" t="s">
        <v>13</v>
      </c>
      <c r="BM3" s="29" t="s">
        <v>16</v>
      </c>
      <c r="BN3" s="29" t="s">
        <v>19</v>
      </c>
      <c r="BO3" s="29" t="s">
        <v>22</v>
      </c>
      <c r="BP3" s="29" t="s">
        <v>25</v>
      </c>
      <c r="BQ3" s="29" t="s">
        <v>28</v>
      </c>
      <c r="BR3" s="30" t="s">
        <v>31</v>
      </c>
      <c r="BT3" s="28" t="s">
        <v>9</v>
      </c>
      <c r="BU3" s="29" t="s">
        <v>10</v>
      </c>
      <c r="BV3" s="29" t="s">
        <v>13</v>
      </c>
      <c r="BW3" s="29" t="s">
        <v>16</v>
      </c>
      <c r="BX3" s="29" t="s">
        <v>19</v>
      </c>
      <c r="BY3" s="29" t="s">
        <v>22</v>
      </c>
      <c r="BZ3" s="29" t="s">
        <v>25</v>
      </c>
      <c r="CA3" s="29" t="s">
        <v>28</v>
      </c>
      <c r="CB3" s="30" t="s">
        <v>31</v>
      </c>
    </row>
    <row r="4" spans="2:80">
      <c r="B4" s="43" t="s">
        <v>1768</v>
      </c>
      <c r="C4" s="57">
        <v>3</v>
      </c>
      <c r="D4" s="57">
        <v>4.41</v>
      </c>
      <c r="E4" s="57">
        <v>5.28</v>
      </c>
      <c r="F4" s="57">
        <v>5.61</v>
      </c>
      <c r="G4" s="57">
        <v>4.34</v>
      </c>
      <c r="H4" s="57">
        <v>4.84</v>
      </c>
      <c r="I4" s="57">
        <v>1.76</v>
      </c>
      <c r="J4" s="58">
        <v>2.23</v>
      </c>
      <c r="L4" s="43" t="s">
        <v>1769</v>
      </c>
      <c r="M4" s="57">
        <v>2.79</v>
      </c>
      <c r="N4" s="57">
        <v>5.43</v>
      </c>
      <c r="O4" s="57">
        <v>5.16</v>
      </c>
      <c r="P4" s="57">
        <v>6.12</v>
      </c>
      <c r="Q4" s="57">
        <v>0</v>
      </c>
      <c r="R4" s="57">
        <v>3.74</v>
      </c>
      <c r="S4" s="57">
        <v>3.04</v>
      </c>
      <c r="T4" s="58">
        <v>3.48</v>
      </c>
      <c r="V4" s="43" t="s">
        <v>1770</v>
      </c>
      <c r="W4" s="57">
        <v>3.89</v>
      </c>
      <c r="X4" s="57">
        <v>4.26</v>
      </c>
      <c r="Y4" s="57">
        <v>4.1900000000000004</v>
      </c>
      <c r="Z4" s="57">
        <v>4.3499999999999996</v>
      </c>
      <c r="AA4" s="57">
        <v>3.57</v>
      </c>
      <c r="AB4" s="57">
        <v>3.11</v>
      </c>
      <c r="AC4" s="57">
        <v>1.65</v>
      </c>
      <c r="AD4" s="58">
        <v>1.24</v>
      </c>
      <c r="AF4" s="43" t="s">
        <v>1771</v>
      </c>
      <c r="AG4" s="57">
        <v>4.17</v>
      </c>
      <c r="AH4" s="57">
        <v>6.07</v>
      </c>
      <c r="AI4" s="57">
        <v>3.78</v>
      </c>
      <c r="AJ4" s="57">
        <v>5.13</v>
      </c>
      <c r="AK4" s="57">
        <v>5.47</v>
      </c>
      <c r="AL4" s="57">
        <v>1.84</v>
      </c>
      <c r="AM4" s="57">
        <v>3.77</v>
      </c>
      <c r="AN4" s="58">
        <v>3.1</v>
      </c>
      <c r="AP4" s="43" t="s">
        <v>1772</v>
      </c>
      <c r="AQ4" s="57">
        <v>0.85</v>
      </c>
      <c r="AR4" s="57">
        <v>0</v>
      </c>
      <c r="AS4" s="57">
        <v>7.88</v>
      </c>
      <c r="AT4" s="57">
        <v>3.04</v>
      </c>
      <c r="AU4" s="57">
        <v>1.61</v>
      </c>
      <c r="AV4" s="57">
        <v>6.72</v>
      </c>
      <c r="AW4" s="57">
        <v>0.33</v>
      </c>
      <c r="AX4" s="58">
        <v>2.59</v>
      </c>
      <c r="AZ4" s="43" t="s">
        <v>1773</v>
      </c>
      <c r="BA4" s="57">
        <v>0.53</v>
      </c>
      <c r="BB4" s="57">
        <v>4.18</v>
      </c>
      <c r="BC4" s="57">
        <v>0.39</v>
      </c>
      <c r="BD4" s="57">
        <v>1.61</v>
      </c>
      <c r="BE4" s="57">
        <v>2.21</v>
      </c>
      <c r="BF4" s="57">
        <v>1.89</v>
      </c>
      <c r="BG4" s="57">
        <v>0.62</v>
      </c>
      <c r="BH4" s="58">
        <v>1.17</v>
      </c>
      <c r="BJ4" s="43" t="s">
        <v>1774</v>
      </c>
      <c r="BK4" s="57">
        <v>12.69</v>
      </c>
      <c r="BL4" s="57">
        <v>1.37</v>
      </c>
      <c r="BM4" s="57">
        <v>1.61</v>
      </c>
      <c r="BN4" s="57">
        <v>3.56</v>
      </c>
      <c r="BO4" s="57">
        <v>1.17</v>
      </c>
      <c r="BP4" s="57">
        <v>2.59</v>
      </c>
      <c r="BQ4" s="57">
        <v>0.24</v>
      </c>
      <c r="BR4" s="58">
        <v>0.24</v>
      </c>
      <c r="BT4" s="43" t="s">
        <v>1775</v>
      </c>
      <c r="BU4" s="57">
        <v>0.85</v>
      </c>
      <c r="BV4" s="57">
        <v>0.45</v>
      </c>
      <c r="BW4" s="57">
        <v>0.15</v>
      </c>
      <c r="BX4" s="57">
        <v>0</v>
      </c>
      <c r="BY4" s="57">
        <v>2.21</v>
      </c>
      <c r="BZ4" s="57">
        <v>0.33</v>
      </c>
      <c r="CA4" s="57">
        <v>0.28000000000000003</v>
      </c>
      <c r="CB4" s="58">
        <v>2.21</v>
      </c>
    </row>
    <row r="5" spans="2:80">
      <c r="B5" s="44" t="s">
        <v>1776</v>
      </c>
      <c r="C5" s="42">
        <v>0.5</v>
      </c>
      <c r="D5" s="42">
        <v>4.41</v>
      </c>
      <c r="E5" s="42">
        <v>5.3</v>
      </c>
      <c r="F5" s="42">
        <v>3.98</v>
      </c>
      <c r="G5" s="42">
        <v>4.32</v>
      </c>
      <c r="H5" s="42">
        <v>4.83</v>
      </c>
      <c r="I5" s="42">
        <v>1.75</v>
      </c>
      <c r="J5" s="46">
        <v>0.85</v>
      </c>
      <c r="L5" s="44" t="s">
        <v>1777</v>
      </c>
      <c r="M5" s="42">
        <v>2.85</v>
      </c>
      <c r="N5" s="42">
        <v>0.1</v>
      </c>
      <c r="O5" s="42">
        <v>5.15</v>
      </c>
      <c r="P5" s="42">
        <v>2.84</v>
      </c>
      <c r="Q5" s="42">
        <v>0</v>
      </c>
      <c r="R5" s="42">
        <v>3.73</v>
      </c>
      <c r="S5" s="42">
        <v>3.06</v>
      </c>
      <c r="T5" s="46">
        <v>3.46</v>
      </c>
      <c r="V5" s="44" t="s">
        <v>1778</v>
      </c>
      <c r="W5" s="42">
        <v>3.91</v>
      </c>
      <c r="X5" s="42">
        <v>4.2699999999999996</v>
      </c>
      <c r="Y5" s="42">
        <v>4.18</v>
      </c>
      <c r="Z5" s="42">
        <v>4.32</v>
      </c>
      <c r="AA5" s="42">
        <v>3.58</v>
      </c>
      <c r="AB5" s="42">
        <v>3.12</v>
      </c>
      <c r="AC5" s="42">
        <v>1.66</v>
      </c>
      <c r="AD5" s="46">
        <v>1.28</v>
      </c>
      <c r="AF5" s="44" t="s">
        <v>1779</v>
      </c>
      <c r="AG5" s="42">
        <v>4.1500000000000004</v>
      </c>
      <c r="AH5" s="42">
        <v>6.1</v>
      </c>
      <c r="AI5" s="42">
        <v>3.78</v>
      </c>
      <c r="AJ5" s="42">
        <v>1</v>
      </c>
      <c r="AK5" s="42">
        <v>5.45</v>
      </c>
      <c r="AL5" s="42">
        <v>1.84</v>
      </c>
      <c r="AM5" s="42">
        <v>3.72</v>
      </c>
      <c r="AN5" s="46">
        <v>3.18</v>
      </c>
      <c r="AP5" s="44" t="s">
        <v>1780</v>
      </c>
      <c r="AQ5" s="42">
        <v>2.59</v>
      </c>
      <c r="AR5" s="42">
        <v>1.17</v>
      </c>
      <c r="AS5" s="42">
        <v>2.59</v>
      </c>
      <c r="AT5" s="42">
        <v>3.56</v>
      </c>
      <c r="AU5" s="42">
        <v>1.17</v>
      </c>
      <c r="AV5" s="42">
        <v>1.17</v>
      </c>
      <c r="AW5" s="42">
        <v>1.37</v>
      </c>
      <c r="AX5" s="46">
        <v>2.59</v>
      </c>
      <c r="AZ5" s="44" t="s">
        <v>1781</v>
      </c>
      <c r="BA5" s="42">
        <v>0.53</v>
      </c>
      <c r="BB5" s="42">
        <v>4.18</v>
      </c>
      <c r="BC5" s="42">
        <v>0.39</v>
      </c>
      <c r="BD5" s="42">
        <v>1.61</v>
      </c>
      <c r="BE5" s="42">
        <v>2.21</v>
      </c>
      <c r="BF5" s="42">
        <v>1.89</v>
      </c>
      <c r="BG5" s="42">
        <v>0.73</v>
      </c>
      <c r="BH5" s="46">
        <v>1.17</v>
      </c>
      <c r="BJ5" s="44" t="s">
        <v>1782</v>
      </c>
      <c r="BK5" s="42">
        <v>12.69</v>
      </c>
      <c r="BL5" s="42">
        <v>1.61</v>
      </c>
      <c r="BM5" s="42">
        <v>1.61</v>
      </c>
      <c r="BN5" s="42">
        <v>1.61</v>
      </c>
      <c r="BO5" s="42">
        <v>1.89</v>
      </c>
      <c r="BP5" s="42">
        <v>2.59</v>
      </c>
      <c r="BQ5" s="42">
        <v>0.24</v>
      </c>
      <c r="BR5" s="46">
        <v>0.24</v>
      </c>
      <c r="BT5" s="44" t="s">
        <v>1783</v>
      </c>
      <c r="BU5" s="42">
        <v>0.85</v>
      </c>
      <c r="BV5" s="42">
        <v>0.45</v>
      </c>
      <c r="BW5" s="42">
        <v>0.15</v>
      </c>
      <c r="BX5" s="42">
        <v>1.17</v>
      </c>
      <c r="BY5" s="42">
        <v>2.21</v>
      </c>
      <c r="BZ5" s="42">
        <v>0.62</v>
      </c>
      <c r="CA5" s="42">
        <v>0.24</v>
      </c>
      <c r="CB5" s="46">
        <v>2.21</v>
      </c>
    </row>
    <row r="6" spans="2:80">
      <c r="B6" s="44" t="s">
        <v>1784</v>
      </c>
      <c r="C6" s="42">
        <v>2.0299999999999998</v>
      </c>
      <c r="D6" s="42">
        <v>4.37</v>
      </c>
      <c r="E6" s="42">
        <v>5.28</v>
      </c>
      <c r="F6" s="42">
        <v>5.62</v>
      </c>
      <c r="G6" s="42">
        <v>4.33</v>
      </c>
      <c r="H6" s="42">
        <v>4.83</v>
      </c>
      <c r="I6" s="42">
        <v>1.74</v>
      </c>
      <c r="J6" s="46">
        <v>2.27</v>
      </c>
      <c r="L6" s="44" t="s">
        <v>1785</v>
      </c>
      <c r="M6" s="42">
        <v>2.82</v>
      </c>
      <c r="N6" s="42">
        <v>5.5</v>
      </c>
      <c r="O6" s="42">
        <v>5.17</v>
      </c>
      <c r="P6" s="42">
        <v>0.04</v>
      </c>
      <c r="Q6" s="42">
        <v>0</v>
      </c>
      <c r="R6" s="42">
        <v>2.52</v>
      </c>
      <c r="S6" s="42">
        <v>3.08</v>
      </c>
      <c r="T6" s="46">
        <v>3.5</v>
      </c>
      <c r="V6" s="44" t="s">
        <v>1786</v>
      </c>
      <c r="W6" s="42">
        <v>3.93</v>
      </c>
      <c r="X6" s="42">
        <v>4.28</v>
      </c>
      <c r="Y6" s="42">
        <v>4.1500000000000004</v>
      </c>
      <c r="Z6" s="42">
        <v>4.32</v>
      </c>
      <c r="AA6" s="42">
        <v>3.62</v>
      </c>
      <c r="AB6" s="42">
        <v>3.1</v>
      </c>
      <c r="AC6" s="42">
        <v>1.61</v>
      </c>
      <c r="AD6" s="46">
        <v>1.23</v>
      </c>
      <c r="AF6" s="44" t="s">
        <v>1787</v>
      </c>
      <c r="AG6" s="42">
        <v>4.1500000000000004</v>
      </c>
      <c r="AH6" s="42">
        <v>6.06</v>
      </c>
      <c r="AI6" s="42">
        <v>3.78</v>
      </c>
      <c r="AJ6" s="42">
        <v>0.83</v>
      </c>
      <c r="AK6" s="42">
        <v>5.48</v>
      </c>
      <c r="AL6" s="42">
        <v>1.85</v>
      </c>
      <c r="AM6" s="42">
        <v>2.74</v>
      </c>
      <c r="AN6" s="46">
        <v>3.15</v>
      </c>
      <c r="AP6" s="44" t="s">
        <v>1788</v>
      </c>
      <c r="AQ6" s="42">
        <v>2.59</v>
      </c>
      <c r="AR6" s="42">
        <v>3.04</v>
      </c>
      <c r="AS6" s="42">
        <v>2.59</v>
      </c>
      <c r="AT6" s="42">
        <v>3.56</v>
      </c>
      <c r="AU6" s="42">
        <v>1.37</v>
      </c>
      <c r="AV6" s="42">
        <v>1.37</v>
      </c>
      <c r="AW6" s="42">
        <v>1.17</v>
      </c>
      <c r="AX6" s="46">
        <v>0</v>
      </c>
      <c r="AZ6" s="44" t="s">
        <v>1789</v>
      </c>
      <c r="BA6" s="42">
        <v>0.53</v>
      </c>
      <c r="BB6" s="42">
        <v>4.18</v>
      </c>
      <c r="BC6" s="42">
        <v>0.39</v>
      </c>
      <c r="BD6" s="42">
        <v>1.61</v>
      </c>
      <c r="BE6" s="42">
        <v>2.21</v>
      </c>
      <c r="BF6" s="42">
        <v>1.89</v>
      </c>
      <c r="BG6" s="42">
        <v>0.73</v>
      </c>
      <c r="BH6" s="46">
        <v>1.17</v>
      </c>
      <c r="BJ6" s="44" t="s">
        <v>1790</v>
      </c>
      <c r="BK6" s="42">
        <v>7.88</v>
      </c>
      <c r="BL6" s="42">
        <v>0</v>
      </c>
      <c r="BM6" s="42">
        <v>0.2</v>
      </c>
      <c r="BN6" s="42">
        <v>1.89</v>
      </c>
      <c r="BO6" s="42">
        <v>1.61</v>
      </c>
      <c r="BP6" s="42">
        <v>3.04</v>
      </c>
      <c r="BQ6" s="42">
        <v>0.2</v>
      </c>
      <c r="BR6" s="46">
        <v>0.45</v>
      </c>
      <c r="BT6" s="44" t="s">
        <v>1791</v>
      </c>
      <c r="BU6" s="42">
        <v>0.73</v>
      </c>
      <c r="BV6" s="42">
        <v>1.17</v>
      </c>
      <c r="BW6" s="42">
        <v>0.15</v>
      </c>
      <c r="BX6" s="42">
        <v>1.17</v>
      </c>
      <c r="BY6" s="42">
        <v>2.21</v>
      </c>
      <c r="BZ6" s="42">
        <v>0.73</v>
      </c>
      <c r="CA6" s="42">
        <v>0.33</v>
      </c>
      <c r="CB6" s="46">
        <v>2.21</v>
      </c>
    </row>
    <row r="7" spans="2:80">
      <c r="B7" s="44" t="s">
        <v>1792</v>
      </c>
      <c r="C7" s="42">
        <v>3.01</v>
      </c>
      <c r="D7" s="42">
        <v>4.4000000000000004</v>
      </c>
      <c r="E7" s="42">
        <v>5.27</v>
      </c>
      <c r="F7" s="42">
        <v>5.64</v>
      </c>
      <c r="G7" s="42">
        <v>4.32</v>
      </c>
      <c r="H7" s="42">
        <v>4.8099999999999996</v>
      </c>
      <c r="I7" s="42">
        <v>1.74</v>
      </c>
      <c r="J7" s="46">
        <v>2.27</v>
      </c>
      <c r="L7" s="44" t="s">
        <v>1793</v>
      </c>
      <c r="M7" s="42">
        <v>2.79</v>
      </c>
      <c r="N7" s="42">
        <v>5.42</v>
      </c>
      <c r="O7" s="42">
        <v>5.16</v>
      </c>
      <c r="P7" s="42">
        <v>6.04</v>
      </c>
      <c r="Q7" s="42">
        <v>0</v>
      </c>
      <c r="R7" s="42">
        <v>3.73</v>
      </c>
      <c r="S7" s="42">
        <v>3.08</v>
      </c>
      <c r="T7" s="46">
        <v>3.35</v>
      </c>
      <c r="V7" s="44" t="s">
        <v>1794</v>
      </c>
      <c r="W7" s="42">
        <v>3.92</v>
      </c>
      <c r="X7" s="42">
        <v>4.3099999999999996</v>
      </c>
      <c r="Y7" s="42">
        <v>4.1399999999999997</v>
      </c>
      <c r="Z7" s="42">
        <v>4.29</v>
      </c>
      <c r="AA7" s="42">
        <v>3.58</v>
      </c>
      <c r="AB7" s="42">
        <v>3.15</v>
      </c>
      <c r="AC7" s="42">
        <v>1.63</v>
      </c>
      <c r="AD7" s="46">
        <v>1.18</v>
      </c>
      <c r="AF7" s="44" t="s">
        <v>1795</v>
      </c>
      <c r="AG7" s="42">
        <v>4.12</v>
      </c>
      <c r="AH7" s="42">
        <v>6.09</v>
      </c>
      <c r="AI7" s="42">
        <v>3.76</v>
      </c>
      <c r="AJ7" s="42">
        <v>6.25</v>
      </c>
      <c r="AK7" s="42">
        <v>5.55</v>
      </c>
      <c r="AL7" s="42">
        <v>1.84</v>
      </c>
      <c r="AM7" s="42">
        <v>3.76</v>
      </c>
      <c r="AN7" s="46">
        <v>3.17</v>
      </c>
      <c r="AP7" s="44" t="s">
        <v>1796</v>
      </c>
      <c r="AQ7" s="42">
        <v>2.59</v>
      </c>
      <c r="AR7" s="42">
        <v>1.17</v>
      </c>
      <c r="AS7" s="42">
        <v>2.59</v>
      </c>
      <c r="AT7" s="42">
        <v>3.56</v>
      </c>
      <c r="AU7" s="42">
        <v>1.37</v>
      </c>
      <c r="AV7" s="42">
        <v>99.99</v>
      </c>
      <c r="AW7" s="42">
        <v>1.37</v>
      </c>
      <c r="AX7" s="46">
        <v>1.37</v>
      </c>
      <c r="AZ7" s="44" t="s">
        <v>1797</v>
      </c>
      <c r="BA7" s="42">
        <v>0.45</v>
      </c>
      <c r="BB7" s="42">
        <v>0.39</v>
      </c>
      <c r="BC7" s="42">
        <v>0.33</v>
      </c>
      <c r="BD7" s="42">
        <v>1.61</v>
      </c>
      <c r="BE7" s="42">
        <v>14.87</v>
      </c>
      <c r="BF7" s="42">
        <v>9.24</v>
      </c>
      <c r="BG7" s="42">
        <v>0.45</v>
      </c>
      <c r="BH7" s="46">
        <v>1.37</v>
      </c>
      <c r="BJ7" s="44" t="s">
        <v>1798</v>
      </c>
      <c r="BK7" s="42">
        <v>9.24</v>
      </c>
      <c r="BL7" s="42">
        <v>1.37</v>
      </c>
      <c r="BM7" s="42">
        <v>0.2</v>
      </c>
      <c r="BN7" s="42">
        <v>1.89</v>
      </c>
      <c r="BO7" s="42">
        <v>1.37</v>
      </c>
      <c r="BP7" s="42">
        <v>2.59</v>
      </c>
      <c r="BQ7" s="42">
        <v>0.2</v>
      </c>
      <c r="BR7" s="46">
        <v>0.45</v>
      </c>
      <c r="BT7" s="44" t="s">
        <v>1799</v>
      </c>
      <c r="BU7" s="42">
        <v>0.85</v>
      </c>
      <c r="BV7" s="42">
        <v>0.45</v>
      </c>
      <c r="BW7" s="42">
        <v>0.15</v>
      </c>
      <c r="BX7" s="42">
        <v>1.17</v>
      </c>
      <c r="BY7" s="42">
        <v>1.89</v>
      </c>
      <c r="BZ7" s="42">
        <v>0.62</v>
      </c>
      <c r="CA7" s="42">
        <v>0.28000000000000003</v>
      </c>
      <c r="CB7" s="46">
        <v>1.89</v>
      </c>
    </row>
    <row r="8" spans="2:80">
      <c r="B8" s="44" t="s">
        <v>1800</v>
      </c>
      <c r="C8" s="42">
        <v>2.98</v>
      </c>
      <c r="D8" s="42">
        <v>4.3899999999999997</v>
      </c>
      <c r="E8" s="42">
        <v>5.27</v>
      </c>
      <c r="F8" s="42">
        <v>4.17</v>
      </c>
      <c r="G8" s="42">
        <v>4.3</v>
      </c>
      <c r="H8" s="42">
        <v>3.56</v>
      </c>
      <c r="I8" s="42">
        <v>1.74</v>
      </c>
      <c r="J8" s="46">
        <v>2.25</v>
      </c>
      <c r="L8" s="44" t="s">
        <v>1801</v>
      </c>
      <c r="M8" s="42">
        <v>2.82</v>
      </c>
      <c r="N8" s="42">
        <v>5.42</v>
      </c>
      <c r="O8" s="42">
        <v>5.22</v>
      </c>
      <c r="P8" s="42">
        <v>4.92</v>
      </c>
      <c r="Q8" s="42">
        <v>0</v>
      </c>
      <c r="R8" s="42">
        <v>3.7</v>
      </c>
      <c r="S8" s="42">
        <v>3.04</v>
      </c>
      <c r="T8" s="46">
        <v>3.54</v>
      </c>
      <c r="V8" s="44" t="s">
        <v>1802</v>
      </c>
      <c r="W8" s="42">
        <v>3.92</v>
      </c>
      <c r="X8" s="42">
        <v>4.2699999999999996</v>
      </c>
      <c r="Y8" s="42">
        <v>4.05</v>
      </c>
      <c r="Z8" s="42">
        <v>4.3</v>
      </c>
      <c r="AA8" s="42">
        <v>3.61</v>
      </c>
      <c r="AB8" s="42">
        <v>3.13</v>
      </c>
      <c r="AC8" s="42">
        <v>1.63</v>
      </c>
      <c r="AD8" s="46">
        <v>1.19</v>
      </c>
      <c r="AF8" s="44" t="s">
        <v>1803</v>
      </c>
      <c r="AG8" s="42">
        <v>4.1399999999999997</v>
      </c>
      <c r="AH8" s="42">
        <v>3.32</v>
      </c>
      <c r="AI8" s="42">
        <v>3.75</v>
      </c>
      <c r="AJ8" s="42">
        <v>5.21</v>
      </c>
      <c r="AK8" s="42">
        <v>5.48</v>
      </c>
      <c r="AL8" s="42">
        <v>1.83</v>
      </c>
      <c r="AM8" s="42">
        <v>3.76</v>
      </c>
      <c r="AN8" s="46">
        <v>0</v>
      </c>
      <c r="AP8" s="44" t="s">
        <v>1804</v>
      </c>
      <c r="AQ8" s="42">
        <v>2.21</v>
      </c>
      <c r="AR8" s="42">
        <v>0</v>
      </c>
      <c r="AS8" s="42">
        <v>2.59</v>
      </c>
      <c r="AT8" s="42">
        <v>3.04</v>
      </c>
      <c r="AU8" s="42">
        <v>1.17</v>
      </c>
      <c r="AV8" s="42">
        <v>1.37</v>
      </c>
      <c r="AW8" s="42">
        <v>0.33</v>
      </c>
      <c r="AX8" s="46">
        <v>0</v>
      </c>
      <c r="AZ8" s="44" t="s">
        <v>1805</v>
      </c>
      <c r="BA8" s="42">
        <v>0.45</v>
      </c>
      <c r="BB8" s="42">
        <v>0.45</v>
      </c>
      <c r="BC8" s="42">
        <v>0.15</v>
      </c>
      <c r="BD8" s="42">
        <v>3.56</v>
      </c>
      <c r="BE8" s="42">
        <v>17.43</v>
      </c>
      <c r="BF8" s="42">
        <v>7.88</v>
      </c>
      <c r="BG8" s="42">
        <v>0.39</v>
      </c>
      <c r="BH8" s="46">
        <v>1.17</v>
      </c>
      <c r="BJ8" s="44" t="s">
        <v>1806</v>
      </c>
      <c r="BK8" s="42">
        <v>14.87</v>
      </c>
      <c r="BL8" s="42">
        <v>1.37</v>
      </c>
      <c r="BM8" s="42">
        <v>1.61</v>
      </c>
      <c r="BN8" s="42">
        <v>3.56</v>
      </c>
      <c r="BO8" s="42">
        <v>1.89</v>
      </c>
      <c r="BP8" s="42">
        <v>2.59</v>
      </c>
      <c r="BQ8" s="42">
        <v>0.24</v>
      </c>
      <c r="BR8" s="46">
        <v>0.2</v>
      </c>
      <c r="BT8" s="44" t="s">
        <v>1807</v>
      </c>
      <c r="BU8" s="42">
        <v>0</v>
      </c>
      <c r="BV8" s="42">
        <v>1.17</v>
      </c>
      <c r="BW8" s="42">
        <v>0.11</v>
      </c>
      <c r="BX8" s="42">
        <v>3.04</v>
      </c>
      <c r="BY8" s="42">
        <v>0.85</v>
      </c>
      <c r="BZ8" s="42">
        <v>0.28000000000000003</v>
      </c>
      <c r="CA8" s="42">
        <v>0.39</v>
      </c>
      <c r="CB8" s="46">
        <v>2.59</v>
      </c>
    </row>
    <row r="9" spans="2:80">
      <c r="B9" s="44" t="s">
        <v>1808</v>
      </c>
      <c r="C9" s="42">
        <v>3.01</v>
      </c>
      <c r="D9" s="42">
        <v>4.4000000000000004</v>
      </c>
      <c r="E9" s="42">
        <v>1.55</v>
      </c>
      <c r="F9" s="42">
        <v>5.65</v>
      </c>
      <c r="G9" s="42">
        <v>4.34</v>
      </c>
      <c r="H9" s="42">
        <v>4.8899999999999997</v>
      </c>
      <c r="I9" s="42">
        <v>1.77</v>
      </c>
      <c r="J9" s="46">
        <v>2.2599999999999998</v>
      </c>
      <c r="L9" s="44" t="s">
        <v>1809</v>
      </c>
      <c r="M9" s="42">
        <v>2.86</v>
      </c>
      <c r="N9" s="42">
        <v>5.45</v>
      </c>
      <c r="O9" s="42">
        <v>5.25</v>
      </c>
      <c r="P9" s="42">
        <v>5.81</v>
      </c>
      <c r="Q9" s="42">
        <v>0</v>
      </c>
      <c r="R9" s="42">
        <v>3.7</v>
      </c>
      <c r="S9" s="42">
        <v>1.1299999999999999</v>
      </c>
      <c r="T9" s="46">
        <v>3.48</v>
      </c>
      <c r="V9" s="44" t="s">
        <v>1810</v>
      </c>
      <c r="W9" s="42">
        <v>3.89</v>
      </c>
      <c r="X9" s="42">
        <v>4.25</v>
      </c>
      <c r="Y9" s="42">
        <v>4.1500000000000004</v>
      </c>
      <c r="Z9" s="42">
        <v>4.33</v>
      </c>
      <c r="AA9" s="42">
        <v>1.37</v>
      </c>
      <c r="AB9" s="42">
        <v>3.14</v>
      </c>
      <c r="AC9" s="42">
        <v>1.62</v>
      </c>
      <c r="AD9" s="46">
        <v>1.21</v>
      </c>
      <c r="AF9" s="44" t="s">
        <v>1811</v>
      </c>
      <c r="AG9" s="42">
        <v>3.76</v>
      </c>
      <c r="AH9" s="42">
        <v>6.11</v>
      </c>
      <c r="AI9" s="42">
        <v>3.79</v>
      </c>
      <c r="AJ9" s="42">
        <v>5.23</v>
      </c>
      <c r="AK9" s="42">
        <v>5.42</v>
      </c>
      <c r="AL9" s="42">
        <v>1.84</v>
      </c>
      <c r="AM9" s="42">
        <v>3.75</v>
      </c>
      <c r="AN9" s="46">
        <v>3.17</v>
      </c>
      <c r="AP9" s="44" t="s">
        <v>1812</v>
      </c>
      <c r="AQ9" s="42">
        <v>2.59</v>
      </c>
      <c r="AR9" s="42">
        <v>1.17</v>
      </c>
      <c r="AS9" s="42">
        <v>2.59</v>
      </c>
      <c r="AT9" s="42">
        <v>3.56</v>
      </c>
      <c r="AU9" s="42">
        <v>1.37</v>
      </c>
      <c r="AV9" s="42">
        <v>1.37</v>
      </c>
      <c r="AW9" s="42">
        <v>1.17</v>
      </c>
      <c r="AX9" s="46">
        <v>0</v>
      </c>
      <c r="AZ9" s="44" t="s">
        <v>1813</v>
      </c>
      <c r="BA9" s="42">
        <v>0.53</v>
      </c>
      <c r="BB9" s="42">
        <v>4.18</v>
      </c>
      <c r="BC9" s="42">
        <v>0.33</v>
      </c>
      <c r="BD9" s="42">
        <v>1.61</v>
      </c>
      <c r="BE9" s="42">
        <v>2.21</v>
      </c>
      <c r="BF9" s="42">
        <v>1.89</v>
      </c>
      <c r="BG9" s="42">
        <v>0.62</v>
      </c>
      <c r="BH9" s="46">
        <v>1.17</v>
      </c>
      <c r="BJ9" s="44" t="s">
        <v>1814</v>
      </c>
      <c r="BK9" s="42">
        <v>14.87</v>
      </c>
      <c r="BL9" s="42">
        <v>1.37</v>
      </c>
      <c r="BM9" s="42">
        <v>1.61</v>
      </c>
      <c r="BN9" s="42">
        <v>1.89</v>
      </c>
      <c r="BO9" s="42">
        <v>1.89</v>
      </c>
      <c r="BP9" s="42">
        <v>3.04</v>
      </c>
      <c r="BQ9" s="42">
        <v>0.24</v>
      </c>
      <c r="BR9" s="46">
        <v>0.24</v>
      </c>
      <c r="BT9" s="44" t="s">
        <v>1815</v>
      </c>
      <c r="BU9" s="42">
        <v>0.85</v>
      </c>
      <c r="BV9" s="42">
        <v>1.17</v>
      </c>
      <c r="BW9" s="42">
        <v>0.13</v>
      </c>
      <c r="BX9" s="42">
        <v>0</v>
      </c>
      <c r="BY9" s="42">
        <v>0</v>
      </c>
      <c r="BZ9" s="42">
        <v>0.28000000000000003</v>
      </c>
      <c r="CA9" s="42">
        <v>0.53</v>
      </c>
      <c r="CB9" s="46">
        <v>3.56</v>
      </c>
    </row>
    <row r="10" spans="2:80">
      <c r="B10" s="44" t="s">
        <v>1816</v>
      </c>
      <c r="C10" s="42">
        <v>2.99</v>
      </c>
      <c r="D10" s="42">
        <v>4.3899999999999997</v>
      </c>
      <c r="E10" s="42">
        <v>5.29</v>
      </c>
      <c r="F10" s="42">
        <v>5.63</v>
      </c>
      <c r="G10" s="42">
        <v>4.32</v>
      </c>
      <c r="H10" s="42">
        <v>4.8099999999999996</v>
      </c>
      <c r="I10" s="42">
        <v>1.74</v>
      </c>
      <c r="J10" s="46">
        <v>2.2000000000000002</v>
      </c>
      <c r="L10" s="44" t="s">
        <v>1817</v>
      </c>
      <c r="M10" s="42">
        <v>2.82</v>
      </c>
      <c r="N10" s="42">
        <v>5.38</v>
      </c>
      <c r="O10" s="42">
        <v>0</v>
      </c>
      <c r="P10" s="42">
        <v>6.09</v>
      </c>
      <c r="Q10" s="42">
        <v>0</v>
      </c>
      <c r="R10" s="42">
        <v>3.73</v>
      </c>
      <c r="S10" s="42">
        <v>3.08</v>
      </c>
      <c r="T10" s="46">
        <v>0</v>
      </c>
      <c r="V10" s="44" t="s">
        <v>1818</v>
      </c>
      <c r="W10" s="42">
        <v>3.91</v>
      </c>
      <c r="X10" s="42">
        <v>2.87</v>
      </c>
      <c r="Y10" s="42">
        <v>4.16</v>
      </c>
      <c r="Z10" s="42">
        <v>4.34</v>
      </c>
      <c r="AA10" s="42">
        <v>3.58</v>
      </c>
      <c r="AB10" s="42">
        <v>3.15</v>
      </c>
      <c r="AC10" s="42">
        <v>1.65</v>
      </c>
      <c r="AD10" s="46">
        <v>1.2</v>
      </c>
      <c r="AF10" s="44" t="s">
        <v>1819</v>
      </c>
      <c r="AG10" s="42">
        <v>4.16</v>
      </c>
      <c r="AH10" s="42">
        <v>6.07</v>
      </c>
      <c r="AI10" s="42">
        <v>3.76</v>
      </c>
      <c r="AJ10" s="42">
        <v>5.16</v>
      </c>
      <c r="AK10" s="42">
        <v>5.48</v>
      </c>
      <c r="AL10" s="42">
        <v>1.88</v>
      </c>
      <c r="AM10" s="42">
        <v>0.56999999999999995</v>
      </c>
      <c r="AN10" s="46">
        <v>3.17</v>
      </c>
      <c r="AP10" s="44" t="s">
        <v>1820</v>
      </c>
      <c r="AQ10" s="42">
        <v>2.21</v>
      </c>
      <c r="AR10" s="42">
        <v>1.17</v>
      </c>
      <c r="AS10" s="42">
        <v>2.21</v>
      </c>
      <c r="AT10" s="42">
        <v>17.43</v>
      </c>
      <c r="AU10" s="42">
        <v>1.37</v>
      </c>
      <c r="AV10" s="42">
        <v>1.37</v>
      </c>
      <c r="AW10" s="42">
        <v>1.37</v>
      </c>
      <c r="AX10" s="46">
        <v>0</v>
      </c>
      <c r="AZ10" s="44" t="s">
        <v>1821</v>
      </c>
      <c r="BA10" s="42">
        <v>0.53</v>
      </c>
      <c r="BB10" s="42">
        <v>4.18</v>
      </c>
      <c r="BC10" s="42">
        <v>0.39</v>
      </c>
      <c r="BD10" s="42">
        <v>1.89</v>
      </c>
      <c r="BE10" s="42">
        <v>20.43</v>
      </c>
      <c r="BF10" s="42">
        <v>1.61</v>
      </c>
      <c r="BG10" s="42">
        <v>0.62</v>
      </c>
      <c r="BH10" s="46">
        <v>1.17</v>
      </c>
      <c r="BJ10" s="44" t="s">
        <v>1822</v>
      </c>
      <c r="BK10" s="42">
        <v>9.24</v>
      </c>
      <c r="BL10" s="42">
        <v>1.61</v>
      </c>
      <c r="BM10" s="42">
        <v>1.89</v>
      </c>
      <c r="BN10" s="42">
        <v>1.89</v>
      </c>
      <c r="BO10" s="42">
        <v>1.89</v>
      </c>
      <c r="BP10" s="42">
        <v>2.59</v>
      </c>
      <c r="BQ10" s="42">
        <v>0.24</v>
      </c>
      <c r="BR10" s="46">
        <v>0.24</v>
      </c>
      <c r="BT10" s="44" t="s">
        <v>1823</v>
      </c>
      <c r="BU10" s="42">
        <v>0.73</v>
      </c>
      <c r="BV10" s="42">
        <v>0.45</v>
      </c>
      <c r="BW10" s="42">
        <v>0.15</v>
      </c>
      <c r="BX10" s="42">
        <v>1.17</v>
      </c>
      <c r="BY10" s="42">
        <v>1.89</v>
      </c>
      <c r="BZ10" s="42">
        <v>0.73</v>
      </c>
      <c r="CA10" s="42">
        <v>0.33</v>
      </c>
      <c r="CB10" s="46">
        <v>2.21</v>
      </c>
    </row>
    <row r="11" spans="2:80">
      <c r="B11" s="44" t="s">
        <v>1824</v>
      </c>
      <c r="C11" s="42">
        <v>2.95</v>
      </c>
      <c r="D11" s="42">
        <v>4.38</v>
      </c>
      <c r="E11" s="42">
        <v>5.3</v>
      </c>
      <c r="F11" s="42">
        <v>5.63</v>
      </c>
      <c r="G11" s="42">
        <v>4.3099999999999996</v>
      </c>
      <c r="H11" s="42">
        <v>4.8899999999999997</v>
      </c>
      <c r="I11" s="42">
        <v>1.83</v>
      </c>
      <c r="J11" s="46">
        <v>2.2599999999999998</v>
      </c>
      <c r="L11" s="44" t="s">
        <v>1825</v>
      </c>
      <c r="M11" s="42">
        <v>2.82</v>
      </c>
      <c r="N11" s="42">
        <v>5.48</v>
      </c>
      <c r="O11" s="42">
        <v>5.19</v>
      </c>
      <c r="P11" s="42">
        <v>6.02</v>
      </c>
      <c r="Q11" s="42">
        <v>0</v>
      </c>
      <c r="R11" s="42">
        <v>3.72</v>
      </c>
      <c r="S11" s="42">
        <v>3.09</v>
      </c>
      <c r="T11" s="46">
        <v>3.46</v>
      </c>
      <c r="V11" s="44" t="s">
        <v>1826</v>
      </c>
      <c r="W11" s="42">
        <v>3.94</v>
      </c>
      <c r="X11" s="42">
        <v>4.25</v>
      </c>
      <c r="Y11" s="42">
        <v>0.74</v>
      </c>
      <c r="Z11" s="42">
        <v>4.3099999999999996</v>
      </c>
      <c r="AA11" s="42">
        <v>3.58</v>
      </c>
      <c r="AB11" s="42">
        <v>3.15</v>
      </c>
      <c r="AC11" s="42">
        <v>1.63</v>
      </c>
      <c r="AD11" s="46">
        <v>1.21</v>
      </c>
      <c r="AF11" s="44" t="s">
        <v>1827</v>
      </c>
      <c r="AG11" s="42">
        <v>4.1500000000000004</v>
      </c>
      <c r="AH11" s="42">
        <v>6.07</v>
      </c>
      <c r="AI11" s="42">
        <v>3.79</v>
      </c>
      <c r="AJ11" s="42">
        <v>5.13</v>
      </c>
      <c r="AK11" s="42">
        <v>5.47</v>
      </c>
      <c r="AL11" s="42">
        <v>1.84</v>
      </c>
      <c r="AM11" s="42">
        <v>3.73</v>
      </c>
      <c r="AN11" s="46">
        <v>3.21</v>
      </c>
      <c r="AP11" s="44" t="s">
        <v>1828</v>
      </c>
      <c r="AQ11" s="42">
        <v>2.21</v>
      </c>
      <c r="AR11" s="42">
        <v>1.17</v>
      </c>
      <c r="AS11" s="42">
        <v>2.59</v>
      </c>
      <c r="AT11" s="42">
        <v>3.04</v>
      </c>
      <c r="AU11" s="42">
        <v>1.37</v>
      </c>
      <c r="AV11" s="42">
        <v>1.17</v>
      </c>
      <c r="AW11" s="42">
        <v>1.37</v>
      </c>
      <c r="AX11" s="46">
        <v>0</v>
      </c>
      <c r="AZ11" s="44" t="s">
        <v>1829</v>
      </c>
      <c r="BA11" s="42">
        <v>0.53</v>
      </c>
      <c r="BB11" s="42">
        <v>4.18</v>
      </c>
      <c r="BC11" s="42">
        <v>0.39</v>
      </c>
      <c r="BD11" s="42">
        <v>1.61</v>
      </c>
      <c r="BE11" s="42">
        <v>2.21</v>
      </c>
      <c r="BF11" s="42">
        <v>1.89</v>
      </c>
      <c r="BG11" s="42">
        <v>0.62</v>
      </c>
      <c r="BH11" s="46">
        <v>1.17</v>
      </c>
      <c r="BJ11" s="44" t="s">
        <v>1830</v>
      </c>
      <c r="BK11" s="42">
        <v>14.87</v>
      </c>
      <c r="BL11" s="42">
        <v>1.61</v>
      </c>
      <c r="BM11" s="42">
        <v>1.89</v>
      </c>
      <c r="BN11" s="42">
        <v>0</v>
      </c>
      <c r="BO11" s="42">
        <v>1.61</v>
      </c>
      <c r="BP11" s="42">
        <v>2.59</v>
      </c>
      <c r="BQ11" s="42">
        <v>0.24</v>
      </c>
      <c r="BR11" s="46">
        <v>0.24</v>
      </c>
      <c r="BT11" s="44" t="s">
        <v>1831</v>
      </c>
      <c r="BU11" s="42">
        <v>0.85</v>
      </c>
      <c r="BV11" s="42">
        <v>0.45</v>
      </c>
      <c r="BW11" s="42">
        <v>0.15</v>
      </c>
      <c r="BX11" s="42">
        <v>1.17</v>
      </c>
      <c r="BY11" s="42">
        <v>0.85</v>
      </c>
      <c r="BZ11" s="42">
        <v>0.53</v>
      </c>
      <c r="CA11" s="42">
        <v>0.33</v>
      </c>
      <c r="CB11" s="46">
        <v>3.56</v>
      </c>
    </row>
    <row r="12" spans="2:80">
      <c r="B12" s="44" t="s">
        <v>1832</v>
      </c>
      <c r="C12" s="42">
        <v>3</v>
      </c>
      <c r="D12" s="42">
        <v>4.3899999999999997</v>
      </c>
      <c r="E12" s="42">
        <v>5.29</v>
      </c>
      <c r="F12" s="42">
        <v>5.65</v>
      </c>
      <c r="G12" s="42">
        <v>4.3099999999999996</v>
      </c>
      <c r="H12" s="42">
        <v>4.84</v>
      </c>
      <c r="I12" s="42">
        <v>1.75</v>
      </c>
      <c r="J12" s="46">
        <v>3.22</v>
      </c>
      <c r="L12" s="44" t="s">
        <v>1833</v>
      </c>
      <c r="M12" s="42">
        <v>2.83</v>
      </c>
      <c r="N12" s="42">
        <v>1.03</v>
      </c>
      <c r="O12" s="42">
        <v>5.14</v>
      </c>
      <c r="P12" s="42">
        <v>6.06</v>
      </c>
      <c r="Q12" s="42">
        <v>0</v>
      </c>
      <c r="R12" s="42">
        <v>2.99</v>
      </c>
      <c r="S12" s="42">
        <v>3.06</v>
      </c>
      <c r="T12" s="46">
        <v>3.46</v>
      </c>
      <c r="V12" s="44" t="s">
        <v>1834</v>
      </c>
      <c r="W12" s="42">
        <v>3.91</v>
      </c>
      <c r="X12" s="42">
        <v>4.29</v>
      </c>
      <c r="Y12" s="42">
        <v>4.1500000000000004</v>
      </c>
      <c r="Z12" s="42">
        <v>4.29</v>
      </c>
      <c r="AA12" s="42">
        <v>3.61</v>
      </c>
      <c r="AB12" s="42">
        <v>3.18</v>
      </c>
      <c r="AC12" s="42">
        <v>1.66</v>
      </c>
      <c r="AD12" s="46">
        <v>1.2</v>
      </c>
      <c r="AF12" s="44" t="s">
        <v>1835</v>
      </c>
      <c r="AG12" s="42">
        <v>4.1900000000000004</v>
      </c>
      <c r="AH12" s="42">
        <v>6.08</v>
      </c>
      <c r="AI12" s="42">
        <v>3.78</v>
      </c>
      <c r="AJ12" s="42">
        <v>5.34</v>
      </c>
      <c r="AK12" s="42">
        <v>5.43</v>
      </c>
      <c r="AL12" s="42">
        <v>1.85</v>
      </c>
      <c r="AM12" s="42">
        <v>3.76</v>
      </c>
      <c r="AN12" s="46">
        <v>0</v>
      </c>
      <c r="AP12" s="44" t="s">
        <v>1836</v>
      </c>
      <c r="AQ12" s="42">
        <v>2.59</v>
      </c>
      <c r="AR12" s="42">
        <v>1.17</v>
      </c>
      <c r="AS12" s="42">
        <v>2.59</v>
      </c>
      <c r="AT12" s="42">
        <v>3.04</v>
      </c>
      <c r="AU12" s="42">
        <v>1.37</v>
      </c>
      <c r="AV12" s="42">
        <v>1.37</v>
      </c>
      <c r="AW12" s="42">
        <v>1.37</v>
      </c>
      <c r="AX12" s="46">
        <v>6.72</v>
      </c>
      <c r="AZ12" s="44" t="s">
        <v>1837</v>
      </c>
      <c r="BA12" s="42">
        <v>0.62</v>
      </c>
      <c r="BB12" s="42">
        <v>0.45</v>
      </c>
      <c r="BC12" s="42">
        <v>0.39</v>
      </c>
      <c r="BD12" s="42">
        <v>1.61</v>
      </c>
      <c r="BE12" s="42">
        <v>2.59</v>
      </c>
      <c r="BF12" s="42">
        <v>1.89</v>
      </c>
      <c r="BG12" s="42">
        <v>0.62</v>
      </c>
      <c r="BH12" s="46">
        <v>4.18</v>
      </c>
      <c r="BJ12" s="44" t="s">
        <v>1838</v>
      </c>
      <c r="BK12" s="42">
        <v>14.87</v>
      </c>
      <c r="BL12" s="42">
        <v>1.61</v>
      </c>
      <c r="BM12" s="42">
        <v>1.61</v>
      </c>
      <c r="BN12" s="42">
        <v>3.56</v>
      </c>
      <c r="BO12" s="42">
        <v>1.61</v>
      </c>
      <c r="BP12" s="42">
        <v>2.21</v>
      </c>
      <c r="BQ12" s="42">
        <v>0.24</v>
      </c>
      <c r="BR12" s="46">
        <v>0.24</v>
      </c>
      <c r="BT12" s="44" t="s">
        <v>1839</v>
      </c>
      <c r="BU12" s="42">
        <v>0.85</v>
      </c>
      <c r="BV12" s="42">
        <v>0.39</v>
      </c>
      <c r="BW12" s="42">
        <v>0.15</v>
      </c>
      <c r="BX12" s="42">
        <v>1.17</v>
      </c>
      <c r="BY12" s="42">
        <v>2.21</v>
      </c>
      <c r="BZ12" s="42">
        <v>0.73</v>
      </c>
      <c r="CA12" s="42">
        <v>0.33</v>
      </c>
      <c r="CB12" s="46">
        <v>2.21</v>
      </c>
    </row>
    <row r="13" spans="2:80">
      <c r="B13" s="44" t="s">
        <v>1840</v>
      </c>
      <c r="C13" s="42">
        <v>3.01</v>
      </c>
      <c r="D13" s="42">
        <v>4.37</v>
      </c>
      <c r="E13" s="42">
        <v>5.27</v>
      </c>
      <c r="F13" s="42">
        <v>5.61</v>
      </c>
      <c r="G13" s="42">
        <v>4.33</v>
      </c>
      <c r="H13" s="42">
        <v>4.83</v>
      </c>
      <c r="I13" s="42">
        <v>1.76</v>
      </c>
      <c r="J13" s="46">
        <v>2.25</v>
      </c>
      <c r="L13" s="44" t="s">
        <v>1841</v>
      </c>
      <c r="M13" s="42">
        <v>2.85</v>
      </c>
      <c r="N13" s="42">
        <v>5.49</v>
      </c>
      <c r="O13" s="42">
        <v>5.15</v>
      </c>
      <c r="P13" s="42">
        <v>6.06</v>
      </c>
      <c r="Q13" s="42">
        <v>0</v>
      </c>
      <c r="R13" s="42">
        <v>3.71</v>
      </c>
      <c r="S13" s="42">
        <v>3.05</v>
      </c>
      <c r="T13" s="46">
        <v>3.45</v>
      </c>
      <c r="V13" s="44" t="s">
        <v>1842</v>
      </c>
      <c r="W13" s="42">
        <v>3.92</v>
      </c>
      <c r="X13" s="42">
        <v>4.26</v>
      </c>
      <c r="Y13" s="42">
        <v>4.2300000000000004</v>
      </c>
      <c r="Z13" s="42">
        <v>4.2699999999999996</v>
      </c>
      <c r="AA13" s="42">
        <v>3.62</v>
      </c>
      <c r="AB13" s="42">
        <v>3.14</v>
      </c>
      <c r="AC13" s="42">
        <v>1.62</v>
      </c>
      <c r="AD13" s="46">
        <v>1.3</v>
      </c>
      <c r="AF13" s="44" t="s">
        <v>1843</v>
      </c>
      <c r="AG13" s="42">
        <v>2.84</v>
      </c>
      <c r="AH13" s="42">
        <v>6.12</v>
      </c>
      <c r="AI13" s="42">
        <v>3.79</v>
      </c>
      <c r="AJ13" s="42">
        <v>5.18</v>
      </c>
      <c r="AK13" s="42">
        <v>5.5</v>
      </c>
      <c r="AL13" s="42">
        <v>1.83</v>
      </c>
      <c r="AM13" s="42">
        <v>3.75</v>
      </c>
      <c r="AN13" s="46">
        <v>3.17</v>
      </c>
      <c r="AP13" s="44" t="s">
        <v>1844</v>
      </c>
      <c r="AQ13" s="42">
        <v>2.21</v>
      </c>
      <c r="AR13" s="42">
        <v>1.17</v>
      </c>
      <c r="AS13" s="42">
        <v>2.59</v>
      </c>
      <c r="AT13" s="42">
        <v>3.56</v>
      </c>
      <c r="AU13" s="42">
        <v>1.37</v>
      </c>
      <c r="AV13" s="42">
        <v>1.17</v>
      </c>
      <c r="AW13" s="42">
        <v>0.28000000000000003</v>
      </c>
      <c r="AX13" s="46">
        <v>0</v>
      </c>
      <c r="AZ13" s="44" t="s">
        <v>1845</v>
      </c>
      <c r="BA13" s="42">
        <v>0.53</v>
      </c>
      <c r="BB13" s="42">
        <v>0.45</v>
      </c>
      <c r="BC13" s="42">
        <v>0.39</v>
      </c>
      <c r="BD13" s="42">
        <v>1.61</v>
      </c>
      <c r="BE13" s="42">
        <v>2.21</v>
      </c>
      <c r="BF13" s="42">
        <v>1.89</v>
      </c>
      <c r="BG13" s="42">
        <v>0.73</v>
      </c>
      <c r="BH13" s="46">
        <v>1.17</v>
      </c>
      <c r="BJ13" s="44" t="s">
        <v>1846</v>
      </c>
      <c r="BK13" s="42">
        <v>14.87</v>
      </c>
      <c r="BL13" s="42">
        <v>1.37</v>
      </c>
      <c r="BM13" s="42">
        <v>1.61</v>
      </c>
      <c r="BN13" s="42">
        <v>4.18</v>
      </c>
      <c r="BO13" s="42">
        <v>1.89</v>
      </c>
      <c r="BP13" s="42">
        <v>2.59</v>
      </c>
      <c r="BQ13" s="42">
        <v>0.24</v>
      </c>
      <c r="BR13" s="46">
        <v>0.53</v>
      </c>
      <c r="BT13" s="44" t="s">
        <v>1847</v>
      </c>
      <c r="BU13" s="42">
        <v>0.85</v>
      </c>
      <c r="BV13" s="42">
        <v>7.88</v>
      </c>
      <c r="BW13" s="42">
        <v>0.15</v>
      </c>
      <c r="BX13" s="42">
        <v>2.21</v>
      </c>
      <c r="BY13" s="42">
        <v>2.21</v>
      </c>
      <c r="BZ13" s="42">
        <v>0.73</v>
      </c>
      <c r="CA13" s="42">
        <v>0.28000000000000003</v>
      </c>
      <c r="CB13" s="46">
        <v>2.21</v>
      </c>
    </row>
    <row r="14" spans="2:80">
      <c r="B14" s="44" t="s">
        <v>1848</v>
      </c>
      <c r="C14" s="42">
        <v>2.99</v>
      </c>
      <c r="D14" s="42">
        <v>4.4000000000000004</v>
      </c>
      <c r="E14" s="42">
        <v>5.3</v>
      </c>
      <c r="F14" s="42">
        <v>4.08</v>
      </c>
      <c r="G14" s="42">
        <v>2.74</v>
      </c>
      <c r="H14" s="42">
        <v>4.8</v>
      </c>
      <c r="I14" s="42">
        <v>1.76</v>
      </c>
      <c r="J14" s="46">
        <v>2.2400000000000002</v>
      </c>
      <c r="L14" s="44" t="s">
        <v>1849</v>
      </c>
      <c r="M14" s="42">
        <v>2.86</v>
      </c>
      <c r="N14" s="42">
        <v>5.43</v>
      </c>
      <c r="O14" s="42">
        <v>5.14</v>
      </c>
      <c r="P14" s="42">
        <v>6.04</v>
      </c>
      <c r="Q14" s="42">
        <v>0</v>
      </c>
      <c r="R14" s="42">
        <v>3.73</v>
      </c>
      <c r="S14" s="42">
        <v>0.23</v>
      </c>
      <c r="T14" s="46">
        <v>3.01</v>
      </c>
      <c r="V14" s="44" t="s">
        <v>1850</v>
      </c>
      <c r="W14" s="42">
        <v>0.12</v>
      </c>
      <c r="X14" s="42">
        <v>4.29</v>
      </c>
      <c r="Y14" s="42">
        <v>4.18</v>
      </c>
      <c r="Z14" s="42">
        <v>4.3</v>
      </c>
      <c r="AA14" s="42">
        <v>3.58</v>
      </c>
      <c r="AB14" s="42">
        <v>3.13</v>
      </c>
      <c r="AC14" s="42">
        <v>1.6</v>
      </c>
      <c r="AD14" s="46">
        <v>1.25</v>
      </c>
      <c r="AF14" s="44" t="s">
        <v>1851</v>
      </c>
      <c r="AG14" s="42">
        <v>4.1500000000000004</v>
      </c>
      <c r="AH14" s="42">
        <v>6.08</v>
      </c>
      <c r="AI14" s="42">
        <v>3.79</v>
      </c>
      <c r="AJ14" s="42">
        <v>5.59</v>
      </c>
      <c r="AK14" s="42">
        <v>5.46</v>
      </c>
      <c r="AL14" s="42">
        <v>1.83</v>
      </c>
      <c r="AM14" s="42">
        <v>3.74</v>
      </c>
      <c r="AN14" s="46">
        <v>3.24</v>
      </c>
      <c r="AP14" s="44" t="s">
        <v>1852</v>
      </c>
      <c r="AQ14" s="42">
        <v>0</v>
      </c>
      <c r="AR14" s="42">
        <v>1.17</v>
      </c>
      <c r="AS14" s="42">
        <v>0</v>
      </c>
      <c r="AT14" s="42">
        <v>17.43</v>
      </c>
      <c r="AU14" s="42">
        <v>1.61</v>
      </c>
      <c r="AV14" s="42">
        <v>99.99</v>
      </c>
      <c r="AW14" s="42">
        <v>1.17</v>
      </c>
      <c r="AX14" s="46">
        <v>6.72</v>
      </c>
      <c r="AZ14" s="44" t="s">
        <v>1853</v>
      </c>
      <c r="BA14" s="42">
        <v>0.53</v>
      </c>
      <c r="BB14" s="42">
        <v>4.8899999999999997</v>
      </c>
      <c r="BC14" s="42">
        <v>0.39</v>
      </c>
      <c r="BD14" s="42">
        <v>3.56</v>
      </c>
      <c r="BE14" s="42">
        <v>2.59</v>
      </c>
      <c r="BF14" s="42">
        <v>1.89</v>
      </c>
      <c r="BG14" s="42">
        <v>0.73</v>
      </c>
      <c r="BH14" s="46">
        <v>4.18</v>
      </c>
      <c r="BJ14" s="44" t="s">
        <v>1854</v>
      </c>
      <c r="BK14" s="42">
        <v>10.83</v>
      </c>
      <c r="BL14" s="42">
        <v>1.37</v>
      </c>
      <c r="BM14" s="42">
        <v>1.89</v>
      </c>
      <c r="BN14" s="42">
        <v>3.56</v>
      </c>
      <c r="BO14" s="42">
        <v>1.37</v>
      </c>
      <c r="BP14" s="42">
        <v>2.59</v>
      </c>
      <c r="BQ14" s="42">
        <v>0.24</v>
      </c>
      <c r="BR14" s="46">
        <v>0.62</v>
      </c>
      <c r="BT14" s="44" t="s">
        <v>1855</v>
      </c>
      <c r="BU14" s="42">
        <v>0.85</v>
      </c>
      <c r="BV14" s="42">
        <v>0.45</v>
      </c>
      <c r="BW14" s="42">
        <v>0.15</v>
      </c>
      <c r="BX14" s="42">
        <v>4.18</v>
      </c>
      <c r="BY14" s="42">
        <v>2.21</v>
      </c>
      <c r="BZ14" s="42">
        <v>0.73</v>
      </c>
      <c r="CA14" s="42">
        <v>0.28000000000000003</v>
      </c>
      <c r="CB14" s="46">
        <v>2.21</v>
      </c>
    </row>
    <row r="15" spans="2:80">
      <c r="B15" s="44" t="s">
        <v>1856</v>
      </c>
      <c r="C15" s="42">
        <v>3</v>
      </c>
      <c r="D15" s="42">
        <v>4.37</v>
      </c>
      <c r="E15" s="42">
        <v>5.26</v>
      </c>
      <c r="F15" s="42">
        <v>5.65</v>
      </c>
      <c r="G15" s="42">
        <v>4.3600000000000003</v>
      </c>
      <c r="H15" s="42">
        <v>1.91</v>
      </c>
      <c r="I15" s="42">
        <v>1.73</v>
      </c>
      <c r="J15" s="46">
        <v>2.23</v>
      </c>
      <c r="L15" s="44" t="s">
        <v>1857</v>
      </c>
      <c r="M15" s="42">
        <v>2.85</v>
      </c>
      <c r="N15" s="42">
        <v>5.41</v>
      </c>
      <c r="O15" s="42">
        <v>5.18</v>
      </c>
      <c r="P15" s="42">
        <v>4.8499999999999996</v>
      </c>
      <c r="Q15" s="42">
        <v>0</v>
      </c>
      <c r="R15" s="42">
        <v>3.73</v>
      </c>
      <c r="S15" s="42">
        <v>3.1</v>
      </c>
      <c r="T15" s="46">
        <v>3.42</v>
      </c>
      <c r="V15" s="44" t="s">
        <v>1858</v>
      </c>
      <c r="W15" s="42">
        <v>3.93</v>
      </c>
      <c r="X15" s="42">
        <v>4.2699999999999996</v>
      </c>
      <c r="Y15" s="42">
        <v>4.17</v>
      </c>
      <c r="Z15" s="42">
        <v>4.28</v>
      </c>
      <c r="AA15" s="42">
        <v>3.62</v>
      </c>
      <c r="AB15" s="42">
        <v>3.12</v>
      </c>
      <c r="AC15" s="42">
        <v>1.66</v>
      </c>
      <c r="AD15" s="46">
        <v>1.27</v>
      </c>
      <c r="AF15" s="44" t="s">
        <v>1859</v>
      </c>
      <c r="AG15" s="42">
        <v>1.64</v>
      </c>
      <c r="AH15" s="42">
        <v>6.02</v>
      </c>
      <c r="AI15" s="42">
        <v>3.77</v>
      </c>
      <c r="AJ15" s="42">
        <v>5.19</v>
      </c>
      <c r="AK15" s="42">
        <v>5.45</v>
      </c>
      <c r="AL15" s="42">
        <v>1.83</v>
      </c>
      <c r="AM15" s="42">
        <v>3.8</v>
      </c>
      <c r="AN15" s="46">
        <v>3.03</v>
      </c>
      <c r="AP15" s="44" t="s">
        <v>1860</v>
      </c>
      <c r="AQ15" s="42">
        <v>2.21</v>
      </c>
      <c r="AR15" s="42">
        <v>1.17</v>
      </c>
      <c r="AS15" s="42">
        <v>2.59</v>
      </c>
      <c r="AT15" s="42">
        <v>3.56</v>
      </c>
      <c r="AU15" s="42">
        <v>1.37</v>
      </c>
      <c r="AV15" s="42">
        <v>1.37</v>
      </c>
      <c r="AW15" s="42">
        <v>1.37</v>
      </c>
      <c r="AX15" s="46">
        <v>1.17</v>
      </c>
      <c r="AZ15" s="44" t="s">
        <v>1861</v>
      </c>
      <c r="BA15" s="42">
        <v>0.53</v>
      </c>
      <c r="BB15" s="42">
        <v>4.18</v>
      </c>
      <c r="BC15" s="42">
        <v>0.39</v>
      </c>
      <c r="BD15" s="42">
        <v>1.61</v>
      </c>
      <c r="BE15" s="42">
        <v>0.73</v>
      </c>
      <c r="BF15" s="42">
        <v>1.89</v>
      </c>
      <c r="BG15" s="42">
        <v>0.73</v>
      </c>
      <c r="BH15" s="46">
        <v>1.17</v>
      </c>
      <c r="BJ15" s="44" t="s">
        <v>1862</v>
      </c>
      <c r="BK15" s="42">
        <v>14.87</v>
      </c>
      <c r="BL15" s="42">
        <v>0.73</v>
      </c>
      <c r="BM15" s="42">
        <v>1.89</v>
      </c>
      <c r="BN15" s="42">
        <v>0</v>
      </c>
      <c r="BO15" s="42">
        <v>1.61</v>
      </c>
      <c r="BP15" s="42">
        <v>2.59</v>
      </c>
      <c r="BQ15" s="42">
        <v>0.24</v>
      </c>
      <c r="BR15" s="46">
        <v>0.2</v>
      </c>
      <c r="BT15" s="44" t="s">
        <v>1863</v>
      </c>
      <c r="BU15" s="42">
        <v>0.85</v>
      </c>
      <c r="BV15" s="42">
        <v>0.45</v>
      </c>
      <c r="BW15" s="42">
        <v>0.15</v>
      </c>
      <c r="BX15" s="42">
        <v>1.17</v>
      </c>
      <c r="BY15" s="42">
        <v>2.21</v>
      </c>
      <c r="BZ15" s="42">
        <v>0.73</v>
      </c>
      <c r="CA15" s="42">
        <v>0.28000000000000003</v>
      </c>
      <c r="CB15" s="46">
        <v>1.89</v>
      </c>
    </row>
    <row r="16" spans="2:80">
      <c r="B16" s="44" t="s">
        <v>1864</v>
      </c>
      <c r="C16" s="42">
        <v>3</v>
      </c>
      <c r="D16" s="42">
        <v>4.37</v>
      </c>
      <c r="E16" s="42">
        <v>5.3</v>
      </c>
      <c r="F16" s="42">
        <v>5.62</v>
      </c>
      <c r="G16" s="42">
        <v>4.3</v>
      </c>
      <c r="H16" s="42">
        <v>4.84</v>
      </c>
      <c r="I16" s="42">
        <v>1.72</v>
      </c>
      <c r="J16" s="46">
        <v>2.2400000000000002</v>
      </c>
      <c r="L16" s="44" t="s">
        <v>1865</v>
      </c>
      <c r="M16" s="42">
        <v>2.81</v>
      </c>
      <c r="N16" s="42">
        <v>5.42</v>
      </c>
      <c r="O16" s="42">
        <v>0</v>
      </c>
      <c r="P16" s="42">
        <v>4.96</v>
      </c>
      <c r="Q16" s="42">
        <v>0</v>
      </c>
      <c r="R16" s="42">
        <v>3.74</v>
      </c>
      <c r="S16" s="42">
        <v>3.05</v>
      </c>
      <c r="T16" s="46">
        <v>3.42</v>
      </c>
      <c r="V16" s="44" t="s">
        <v>1866</v>
      </c>
      <c r="W16" s="42">
        <v>2.92</v>
      </c>
      <c r="X16" s="42">
        <v>4.28</v>
      </c>
      <c r="Y16" s="42">
        <v>4.2300000000000004</v>
      </c>
      <c r="Z16" s="42">
        <v>4.29</v>
      </c>
      <c r="AA16" s="42">
        <v>3.58</v>
      </c>
      <c r="AB16" s="42">
        <v>3.15</v>
      </c>
      <c r="AC16" s="42">
        <v>1.63</v>
      </c>
      <c r="AD16" s="46">
        <v>1.26</v>
      </c>
      <c r="AF16" s="44" t="s">
        <v>1867</v>
      </c>
      <c r="AG16" s="42">
        <v>4.17</v>
      </c>
      <c r="AH16" s="42">
        <v>0</v>
      </c>
      <c r="AI16" s="42">
        <v>3.74</v>
      </c>
      <c r="AJ16" s="42">
        <v>5.22</v>
      </c>
      <c r="AK16" s="42">
        <v>5.48</v>
      </c>
      <c r="AL16" s="42">
        <v>1.83</v>
      </c>
      <c r="AM16" s="42">
        <v>3.76</v>
      </c>
      <c r="AN16" s="46">
        <v>0</v>
      </c>
      <c r="AP16" s="44" t="s">
        <v>1868</v>
      </c>
      <c r="AQ16" s="42">
        <v>0</v>
      </c>
      <c r="AR16" s="42">
        <v>1.17</v>
      </c>
      <c r="AS16" s="42">
        <v>2.59</v>
      </c>
      <c r="AT16" s="42">
        <v>3.56</v>
      </c>
      <c r="AU16" s="42">
        <v>1.37</v>
      </c>
      <c r="AV16" s="42">
        <v>1.37</v>
      </c>
      <c r="AW16" s="42">
        <v>1.17</v>
      </c>
      <c r="AX16" s="46">
        <v>0</v>
      </c>
      <c r="AZ16" s="44" t="s">
        <v>1869</v>
      </c>
      <c r="BA16" s="42">
        <v>0.53</v>
      </c>
      <c r="BB16" s="42">
        <v>0.45</v>
      </c>
      <c r="BC16" s="42">
        <v>0.33</v>
      </c>
      <c r="BD16" s="42">
        <v>1.61</v>
      </c>
      <c r="BE16" s="42">
        <v>2.21</v>
      </c>
      <c r="BF16" s="42">
        <v>1.89</v>
      </c>
      <c r="BG16" s="42">
        <v>0.73</v>
      </c>
      <c r="BH16" s="46">
        <v>1.17</v>
      </c>
      <c r="BJ16" s="44" t="s">
        <v>1870</v>
      </c>
      <c r="BK16" s="42">
        <v>10.83</v>
      </c>
      <c r="BL16" s="42">
        <v>0</v>
      </c>
      <c r="BM16" s="42">
        <v>0.2</v>
      </c>
      <c r="BN16" s="42">
        <v>1.89</v>
      </c>
      <c r="BO16" s="42">
        <v>1.37</v>
      </c>
      <c r="BP16" s="42">
        <v>3.56</v>
      </c>
      <c r="BQ16" s="42">
        <v>0.2</v>
      </c>
      <c r="BR16" s="46">
        <v>0.62</v>
      </c>
      <c r="BT16" s="44" t="s">
        <v>1871</v>
      </c>
      <c r="BU16" s="42">
        <v>0.85</v>
      </c>
      <c r="BV16" s="42">
        <v>0.45</v>
      </c>
      <c r="BW16" s="42">
        <v>0.15</v>
      </c>
      <c r="BX16" s="42">
        <v>1.17</v>
      </c>
      <c r="BY16" s="42">
        <v>2.21</v>
      </c>
      <c r="BZ16" s="42">
        <v>0.73</v>
      </c>
      <c r="CA16" s="42">
        <v>0.28000000000000003</v>
      </c>
      <c r="CB16" s="46">
        <v>2.21</v>
      </c>
    </row>
    <row r="17" spans="2:80">
      <c r="B17" s="44" t="s">
        <v>1872</v>
      </c>
      <c r="C17" s="42">
        <v>2.95</v>
      </c>
      <c r="D17" s="42">
        <v>4.3600000000000003</v>
      </c>
      <c r="E17" s="42">
        <v>5.32</v>
      </c>
      <c r="F17" s="42">
        <v>5.64</v>
      </c>
      <c r="G17" s="42">
        <v>4.32</v>
      </c>
      <c r="H17" s="42">
        <v>4.88</v>
      </c>
      <c r="I17" s="42">
        <v>1.68</v>
      </c>
      <c r="J17" s="46">
        <v>2.2400000000000002</v>
      </c>
      <c r="L17" s="44" t="s">
        <v>1873</v>
      </c>
      <c r="M17" s="42">
        <v>2.87</v>
      </c>
      <c r="N17" s="42">
        <v>5.46</v>
      </c>
      <c r="O17" s="42">
        <v>5.22</v>
      </c>
      <c r="P17" s="42">
        <v>6.08</v>
      </c>
      <c r="Q17" s="42">
        <v>5.0999999999999996</v>
      </c>
      <c r="R17" s="42">
        <v>3.74</v>
      </c>
      <c r="S17" s="42">
        <v>3.04</v>
      </c>
      <c r="T17" s="46">
        <v>3.38</v>
      </c>
      <c r="V17" s="44" t="s">
        <v>1874</v>
      </c>
      <c r="W17" s="42">
        <v>3.95</v>
      </c>
      <c r="X17" s="42">
        <v>4.32</v>
      </c>
      <c r="Y17" s="42">
        <v>4.1500000000000004</v>
      </c>
      <c r="Z17" s="42">
        <v>0.68</v>
      </c>
      <c r="AA17" s="42">
        <v>0.93</v>
      </c>
      <c r="AB17" s="42">
        <v>3.16</v>
      </c>
      <c r="AC17" s="42">
        <v>1.61</v>
      </c>
      <c r="AD17" s="46">
        <v>1.28</v>
      </c>
      <c r="AF17" s="44" t="s">
        <v>1875</v>
      </c>
      <c r="AG17" s="42">
        <v>4.13</v>
      </c>
      <c r="AH17" s="42">
        <v>6.06</v>
      </c>
      <c r="AI17" s="42">
        <v>3.78</v>
      </c>
      <c r="AJ17" s="42">
        <v>5.13</v>
      </c>
      <c r="AK17" s="42">
        <v>5.43</v>
      </c>
      <c r="AL17" s="42">
        <v>1.86</v>
      </c>
      <c r="AM17" s="42">
        <v>1.29</v>
      </c>
      <c r="AN17" s="46">
        <v>3.1</v>
      </c>
      <c r="AP17" s="44" t="s">
        <v>1876</v>
      </c>
      <c r="AQ17" s="42">
        <v>2.21</v>
      </c>
      <c r="AR17" s="42">
        <v>0</v>
      </c>
      <c r="AS17" s="42">
        <v>2.59</v>
      </c>
      <c r="AT17" s="42">
        <v>3.56</v>
      </c>
      <c r="AU17" s="42">
        <v>1.37</v>
      </c>
      <c r="AV17" s="42">
        <v>1.37</v>
      </c>
      <c r="AW17" s="42">
        <v>1.17</v>
      </c>
      <c r="AX17" s="46">
        <v>0.85</v>
      </c>
      <c r="AZ17" s="44" t="s">
        <v>1877</v>
      </c>
      <c r="BA17" s="42">
        <v>0.53</v>
      </c>
      <c r="BB17" s="42">
        <v>4.8899999999999997</v>
      </c>
      <c r="BC17" s="42">
        <v>0.39</v>
      </c>
      <c r="BD17" s="42">
        <v>1.61</v>
      </c>
      <c r="BE17" s="42">
        <v>17.43</v>
      </c>
      <c r="BF17" s="42">
        <v>1.61</v>
      </c>
      <c r="BG17" s="42">
        <v>0.62</v>
      </c>
      <c r="BH17" s="46">
        <v>1.17</v>
      </c>
      <c r="BJ17" s="44" t="s">
        <v>1878</v>
      </c>
      <c r="BK17" s="42">
        <v>10.83</v>
      </c>
      <c r="BL17" s="42">
        <v>0.85</v>
      </c>
      <c r="BM17" s="42">
        <v>0.2</v>
      </c>
      <c r="BN17" s="42">
        <v>0</v>
      </c>
      <c r="BO17" s="42">
        <v>1.61</v>
      </c>
      <c r="BP17" s="42">
        <v>3.04</v>
      </c>
      <c r="BQ17" s="42">
        <v>0.17</v>
      </c>
      <c r="BR17" s="46">
        <v>0.45</v>
      </c>
      <c r="BT17" s="44" t="s">
        <v>1879</v>
      </c>
      <c r="BU17" s="42">
        <v>0.73</v>
      </c>
      <c r="BV17" s="42">
        <v>0.39</v>
      </c>
      <c r="BW17" s="42">
        <v>0.15</v>
      </c>
      <c r="BX17" s="42">
        <v>1.17</v>
      </c>
      <c r="BY17" s="42">
        <v>2.21</v>
      </c>
      <c r="BZ17" s="42">
        <v>0.73</v>
      </c>
      <c r="CA17" s="42">
        <v>0.28000000000000003</v>
      </c>
      <c r="CB17" s="46">
        <v>3.56</v>
      </c>
    </row>
    <row r="18" spans="2:80">
      <c r="B18" s="44" t="s">
        <v>1880</v>
      </c>
      <c r="C18" s="42">
        <v>2.99</v>
      </c>
      <c r="D18" s="42">
        <v>4.4000000000000004</v>
      </c>
      <c r="E18" s="42">
        <v>5.29</v>
      </c>
      <c r="F18" s="42">
        <v>5.61</v>
      </c>
      <c r="G18" s="42">
        <v>4.32</v>
      </c>
      <c r="H18" s="42">
        <v>4.8</v>
      </c>
      <c r="I18" s="42">
        <v>1.77</v>
      </c>
      <c r="J18" s="46">
        <v>1.51</v>
      </c>
      <c r="L18" s="44" t="s">
        <v>1881</v>
      </c>
      <c r="M18" s="42">
        <v>2.84</v>
      </c>
      <c r="N18" s="42">
        <v>3.74</v>
      </c>
      <c r="O18" s="42">
        <v>5.15</v>
      </c>
      <c r="P18" s="42">
        <v>6.08</v>
      </c>
      <c r="Q18" s="42">
        <v>0</v>
      </c>
      <c r="R18" s="42">
        <v>3.72</v>
      </c>
      <c r="S18" s="42">
        <v>3.06</v>
      </c>
      <c r="T18" s="46">
        <v>4.17</v>
      </c>
      <c r="V18" s="44" t="s">
        <v>1882</v>
      </c>
      <c r="W18" s="42">
        <v>3.92</v>
      </c>
      <c r="X18" s="42">
        <v>4.28</v>
      </c>
      <c r="Y18" s="42">
        <v>4.16</v>
      </c>
      <c r="Z18" s="42">
        <v>4.2699999999999996</v>
      </c>
      <c r="AA18" s="42">
        <v>3.58</v>
      </c>
      <c r="AB18" s="42">
        <v>0.53</v>
      </c>
      <c r="AC18" s="42">
        <v>1.61</v>
      </c>
      <c r="AD18" s="46">
        <v>1.21</v>
      </c>
      <c r="AF18" s="44" t="s">
        <v>1883</v>
      </c>
      <c r="AG18" s="42">
        <v>4.1500000000000004</v>
      </c>
      <c r="AH18" s="42">
        <v>6.12</v>
      </c>
      <c r="AI18" s="42">
        <v>3.78</v>
      </c>
      <c r="AJ18" s="42">
        <v>5.19</v>
      </c>
      <c r="AK18" s="42">
        <v>5.46</v>
      </c>
      <c r="AL18" s="42">
        <v>1.85</v>
      </c>
      <c r="AM18" s="42">
        <v>3.76</v>
      </c>
      <c r="AN18" s="46">
        <v>0</v>
      </c>
      <c r="AP18" s="44" t="s">
        <v>1884</v>
      </c>
      <c r="AQ18" s="42">
        <v>2.21</v>
      </c>
      <c r="AR18" s="42">
        <v>1.17</v>
      </c>
      <c r="AS18" s="42">
        <v>2.59</v>
      </c>
      <c r="AT18" s="42">
        <v>2.59</v>
      </c>
      <c r="AU18" s="42">
        <v>1.37</v>
      </c>
      <c r="AV18" s="42">
        <v>99.99</v>
      </c>
      <c r="AW18" s="42">
        <v>1.17</v>
      </c>
      <c r="AX18" s="46">
        <v>0</v>
      </c>
      <c r="AZ18" s="44" t="s">
        <v>1885</v>
      </c>
      <c r="BA18" s="42">
        <v>1.37</v>
      </c>
      <c r="BB18" s="42">
        <v>0.39</v>
      </c>
      <c r="BC18" s="42">
        <v>0.17</v>
      </c>
      <c r="BD18" s="42">
        <v>3.04</v>
      </c>
      <c r="BE18" s="42">
        <v>9.24</v>
      </c>
      <c r="BF18" s="42">
        <v>1.89</v>
      </c>
      <c r="BG18" s="42">
        <v>0.62</v>
      </c>
      <c r="BH18" s="46">
        <v>1.37</v>
      </c>
      <c r="BJ18" s="44" t="s">
        <v>1886</v>
      </c>
      <c r="BK18" s="42">
        <v>14.87</v>
      </c>
      <c r="BL18" s="42">
        <v>1.61</v>
      </c>
      <c r="BM18" s="42">
        <v>1.61</v>
      </c>
      <c r="BN18" s="42">
        <v>3.04</v>
      </c>
      <c r="BO18" s="42">
        <v>1.89</v>
      </c>
      <c r="BP18" s="42">
        <v>0.85</v>
      </c>
      <c r="BQ18" s="42">
        <v>0.24</v>
      </c>
      <c r="BR18" s="46">
        <v>0.2</v>
      </c>
      <c r="BT18" s="44" t="s">
        <v>1887</v>
      </c>
      <c r="BU18" s="42">
        <v>0.73</v>
      </c>
      <c r="BV18" s="42">
        <v>0.45</v>
      </c>
      <c r="BW18" s="42">
        <v>0.13</v>
      </c>
      <c r="BX18" s="42">
        <v>0</v>
      </c>
      <c r="BY18" s="42">
        <v>1.89</v>
      </c>
      <c r="BZ18" s="42">
        <v>0.73</v>
      </c>
      <c r="CA18" s="42">
        <v>0.24</v>
      </c>
      <c r="CB18" s="46">
        <v>2.21</v>
      </c>
    </row>
    <row r="19" spans="2:80">
      <c r="B19" s="44" t="s">
        <v>1888</v>
      </c>
      <c r="C19" s="42">
        <v>3.02</v>
      </c>
      <c r="D19" s="42">
        <v>4.41</v>
      </c>
      <c r="E19" s="42">
        <v>5.3</v>
      </c>
      <c r="F19" s="42">
        <v>5.66</v>
      </c>
      <c r="G19" s="42">
        <v>4.3499999999999996</v>
      </c>
      <c r="H19" s="42">
        <v>2.54</v>
      </c>
      <c r="I19" s="42">
        <v>1.76</v>
      </c>
      <c r="J19" s="46">
        <v>2.2200000000000002</v>
      </c>
      <c r="L19" s="44" t="s">
        <v>1889</v>
      </c>
      <c r="M19" s="42">
        <v>2.87</v>
      </c>
      <c r="N19" s="42">
        <v>5.49</v>
      </c>
      <c r="O19" s="42">
        <v>5.18</v>
      </c>
      <c r="P19" s="42">
        <v>6.12</v>
      </c>
      <c r="Q19" s="42">
        <v>5.43</v>
      </c>
      <c r="R19" s="42">
        <v>3.72</v>
      </c>
      <c r="S19" s="42">
        <v>3.03</v>
      </c>
      <c r="T19" s="46">
        <v>3.39</v>
      </c>
      <c r="V19" s="44" t="s">
        <v>1890</v>
      </c>
      <c r="W19" s="42">
        <v>3.93</v>
      </c>
      <c r="X19" s="42">
        <v>4.2699999999999996</v>
      </c>
      <c r="Y19" s="42">
        <v>4.17</v>
      </c>
      <c r="Z19" s="42">
        <v>4.3</v>
      </c>
      <c r="AA19" s="42">
        <v>3.62</v>
      </c>
      <c r="AB19" s="42">
        <v>3.13</v>
      </c>
      <c r="AC19" s="42">
        <v>1.63</v>
      </c>
      <c r="AD19" s="46">
        <v>1.25</v>
      </c>
      <c r="AF19" s="44" t="s">
        <v>1891</v>
      </c>
      <c r="AG19" s="42">
        <v>0.08</v>
      </c>
      <c r="AH19" s="42">
        <v>6.09</v>
      </c>
      <c r="AI19" s="42">
        <v>3.78</v>
      </c>
      <c r="AJ19" s="42">
        <v>5.15</v>
      </c>
      <c r="AK19" s="42">
        <v>5.08</v>
      </c>
      <c r="AL19" s="42">
        <v>1.83</v>
      </c>
      <c r="AM19" s="42">
        <v>0.7</v>
      </c>
      <c r="AN19" s="46">
        <v>3.14</v>
      </c>
      <c r="AP19" s="44" t="s">
        <v>1892</v>
      </c>
      <c r="AQ19" s="42">
        <v>2.21</v>
      </c>
      <c r="AR19" s="42">
        <v>1.17</v>
      </c>
      <c r="AS19" s="42">
        <v>2.59</v>
      </c>
      <c r="AT19" s="42">
        <v>3.56</v>
      </c>
      <c r="AU19" s="42">
        <v>1.37</v>
      </c>
      <c r="AV19" s="42">
        <v>5.74</v>
      </c>
      <c r="AW19" s="42">
        <v>0.39</v>
      </c>
      <c r="AX19" s="46">
        <v>0</v>
      </c>
      <c r="AZ19" s="44" t="s">
        <v>1893</v>
      </c>
      <c r="BA19" s="42">
        <v>0.53</v>
      </c>
      <c r="BB19" s="42">
        <v>4.18</v>
      </c>
      <c r="BC19" s="42">
        <v>0.39</v>
      </c>
      <c r="BD19" s="42">
        <v>1.61</v>
      </c>
      <c r="BE19" s="42">
        <v>2.59</v>
      </c>
      <c r="BF19" s="42">
        <v>1.89</v>
      </c>
      <c r="BG19" s="42">
        <v>0.73</v>
      </c>
      <c r="BH19" s="46">
        <v>1.37</v>
      </c>
      <c r="BJ19" s="44" t="s">
        <v>1894</v>
      </c>
      <c r="BK19" s="42">
        <v>14.87</v>
      </c>
      <c r="BL19" s="42">
        <v>1.61</v>
      </c>
      <c r="BM19" s="42">
        <v>0.2</v>
      </c>
      <c r="BN19" s="42">
        <v>1.89</v>
      </c>
      <c r="BO19" s="42">
        <v>1.89</v>
      </c>
      <c r="BP19" s="42">
        <v>2.59</v>
      </c>
      <c r="BQ19" s="42">
        <v>0.24</v>
      </c>
      <c r="BR19" s="46">
        <v>0.2</v>
      </c>
      <c r="BT19" s="44" t="s">
        <v>1895</v>
      </c>
      <c r="BU19" s="42">
        <v>0.85</v>
      </c>
      <c r="BV19" s="42">
        <v>0.45</v>
      </c>
      <c r="BW19" s="42">
        <v>0.15</v>
      </c>
      <c r="BX19" s="42">
        <v>4.18</v>
      </c>
      <c r="BY19" s="42">
        <v>1.89</v>
      </c>
      <c r="BZ19" s="42">
        <v>0.73</v>
      </c>
      <c r="CA19" s="42">
        <v>0.24</v>
      </c>
      <c r="CB19" s="46">
        <v>1.89</v>
      </c>
    </row>
    <row r="20" spans="2:80">
      <c r="B20" s="44" t="s">
        <v>1896</v>
      </c>
      <c r="C20" s="42">
        <v>2.97</v>
      </c>
      <c r="D20" s="42">
        <v>2.94</v>
      </c>
      <c r="E20" s="42">
        <v>5.3</v>
      </c>
      <c r="F20" s="42">
        <v>5.62</v>
      </c>
      <c r="G20" s="42">
        <v>4.32</v>
      </c>
      <c r="H20" s="42">
        <v>2.35</v>
      </c>
      <c r="I20" s="42">
        <v>1.75</v>
      </c>
      <c r="J20" s="46">
        <v>2.29</v>
      </c>
      <c r="L20" s="44" t="s">
        <v>1897</v>
      </c>
      <c r="M20" s="42">
        <v>2.83</v>
      </c>
      <c r="N20" s="42">
        <v>5.46</v>
      </c>
      <c r="O20" s="42">
        <v>5.2</v>
      </c>
      <c r="P20" s="42">
        <v>3.04</v>
      </c>
      <c r="Q20" s="42">
        <v>0</v>
      </c>
      <c r="R20" s="42">
        <v>3.75</v>
      </c>
      <c r="S20" s="42">
        <v>3.08</v>
      </c>
      <c r="T20" s="46">
        <v>3.49</v>
      </c>
      <c r="V20" s="44" t="s">
        <v>1898</v>
      </c>
      <c r="W20" s="42">
        <v>3.92</v>
      </c>
      <c r="X20" s="42">
        <v>4.2699999999999996</v>
      </c>
      <c r="Y20" s="42">
        <v>4.16</v>
      </c>
      <c r="Z20" s="42">
        <v>4.33</v>
      </c>
      <c r="AA20" s="42">
        <v>3.63</v>
      </c>
      <c r="AB20" s="42">
        <v>3.16</v>
      </c>
      <c r="AC20" s="42">
        <v>1.65</v>
      </c>
      <c r="AD20" s="46">
        <v>1.29</v>
      </c>
      <c r="AF20" s="44" t="s">
        <v>1899</v>
      </c>
      <c r="AG20" s="42">
        <v>4.1399999999999997</v>
      </c>
      <c r="AH20" s="42">
        <v>6.15</v>
      </c>
      <c r="AI20" s="42">
        <v>3.79</v>
      </c>
      <c r="AJ20" s="42">
        <v>5.1100000000000003</v>
      </c>
      <c r="AK20" s="42">
        <v>5.41</v>
      </c>
      <c r="AL20" s="42">
        <v>1.83</v>
      </c>
      <c r="AM20" s="42">
        <v>3.73</v>
      </c>
      <c r="AN20" s="46">
        <v>3.16</v>
      </c>
      <c r="AP20" s="44" t="s">
        <v>1900</v>
      </c>
      <c r="AQ20" s="42">
        <v>0</v>
      </c>
      <c r="AR20" s="42">
        <v>1.17</v>
      </c>
      <c r="AS20" s="42">
        <v>9.24</v>
      </c>
      <c r="AT20" s="42">
        <v>3.56</v>
      </c>
      <c r="AU20" s="42">
        <v>1.61</v>
      </c>
      <c r="AV20" s="42">
        <v>1.17</v>
      </c>
      <c r="AW20" s="42">
        <v>1.37</v>
      </c>
      <c r="AX20" s="46">
        <v>0</v>
      </c>
      <c r="AZ20" s="44" t="s">
        <v>1901</v>
      </c>
      <c r="BA20" s="42">
        <v>0.53</v>
      </c>
      <c r="BB20" s="42">
        <v>0.62</v>
      </c>
      <c r="BC20" s="42">
        <v>0.39</v>
      </c>
      <c r="BD20" s="42">
        <v>1.61</v>
      </c>
      <c r="BE20" s="42">
        <v>2.59</v>
      </c>
      <c r="BF20" s="42">
        <v>1.89</v>
      </c>
      <c r="BG20" s="42">
        <v>0.73</v>
      </c>
      <c r="BH20" s="46">
        <v>1.37</v>
      </c>
      <c r="BJ20" s="44" t="s">
        <v>1902</v>
      </c>
      <c r="BK20" s="42">
        <v>14.87</v>
      </c>
      <c r="BL20" s="42">
        <v>1.17</v>
      </c>
      <c r="BM20" s="42">
        <v>1.61</v>
      </c>
      <c r="BN20" s="42">
        <v>1.89</v>
      </c>
      <c r="BO20" s="42">
        <v>1.61</v>
      </c>
      <c r="BP20" s="42">
        <v>3.56</v>
      </c>
      <c r="BQ20" s="42">
        <v>0.2</v>
      </c>
      <c r="BR20" s="46">
        <v>0.2</v>
      </c>
      <c r="BT20" s="44" t="s">
        <v>1903</v>
      </c>
      <c r="BU20" s="42">
        <v>0</v>
      </c>
      <c r="BV20" s="42">
        <v>1.17</v>
      </c>
      <c r="BW20" s="42">
        <v>0.11</v>
      </c>
      <c r="BX20" s="42">
        <v>2.21</v>
      </c>
      <c r="BY20" s="42">
        <v>0.85</v>
      </c>
      <c r="BZ20" s="42">
        <v>0.73</v>
      </c>
      <c r="CA20" s="42">
        <v>0.33</v>
      </c>
      <c r="CB20" s="46">
        <v>3.04</v>
      </c>
    </row>
    <row r="21" spans="2:80">
      <c r="B21" s="44" t="s">
        <v>1904</v>
      </c>
      <c r="C21" s="42">
        <v>3.02</v>
      </c>
      <c r="D21" s="42">
        <v>0</v>
      </c>
      <c r="E21" s="42">
        <v>5.32</v>
      </c>
      <c r="F21" s="42">
        <v>5.6</v>
      </c>
      <c r="G21" s="42">
        <v>4.3099999999999996</v>
      </c>
      <c r="H21" s="42">
        <v>4.8499999999999996</v>
      </c>
      <c r="I21" s="42">
        <v>1.76</v>
      </c>
      <c r="J21" s="46">
        <v>2.2400000000000002</v>
      </c>
      <c r="L21" s="44" t="s">
        <v>1905</v>
      </c>
      <c r="M21" s="42">
        <v>2.83</v>
      </c>
      <c r="N21" s="42">
        <v>5.55</v>
      </c>
      <c r="O21" s="42">
        <v>5.21</v>
      </c>
      <c r="P21" s="42">
        <v>3.69</v>
      </c>
      <c r="Q21" s="42">
        <v>0</v>
      </c>
      <c r="R21" s="42">
        <v>3.76</v>
      </c>
      <c r="S21" s="42">
        <v>3.08</v>
      </c>
      <c r="T21" s="46">
        <v>2.77</v>
      </c>
      <c r="V21" s="44" t="s">
        <v>1906</v>
      </c>
      <c r="W21" s="42">
        <v>3.93</v>
      </c>
      <c r="X21" s="42">
        <v>4.2699999999999996</v>
      </c>
      <c r="Y21" s="42">
        <v>4.17</v>
      </c>
      <c r="Z21" s="42">
        <v>4.34</v>
      </c>
      <c r="AA21" s="42">
        <v>3.63</v>
      </c>
      <c r="AB21" s="42">
        <v>3.12</v>
      </c>
      <c r="AC21" s="42">
        <v>1.65</v>
      </c>
      <c r="AD21" s="46">
        <v>1.21</v>
      </c>
      <c r="AF21" s="44" t="s">
        <v>1907</v>
      </c>
      <c r="AG21" s="42">
        <v>4.13</v>
      </c>
      <c r="AH21" s="42">
        <v>6.11</v>
      </c>
      <c r="AI21" s="42">
        <v>3.75</v>
      </c>
      <c r="AJ21" s="42">
        <v>5.61</v>
      </c>
      <c r="AK21" s="42">
        <v>5.45</v>
      </c>
      <c r="AL21" s="42">
        <v>1.83</v>
      </c>
      <c r="AM21" s="42">
        <v>3.75</v>
      </c>
      <c r="AN21" s="46">
        <v>3.05</v>
      </c>
      <c r="AP21" s="44" t="s">
        <v>1908</v>
      </c>
      <c r="AQ21" s="42">
        <v>2.59</v>
      </c>
      <c r="AR21" s="42">
        <v>1.17</v>
      </c>
      <c r="AS21" s="42">
        <v>0</v>
      </c>
      <c r="AT21" s="42">
        <v>3.56</v>
      </c>
      <c r="AU21" s="42">
        <v>6.72</v>
      </c>
      <c r="AV21" s="42">
        <v>72.790000000000006</v>
      </c>
      <c r="AW21" s="42">
        <v>1.17</v>
      </c>
      <c r="AX21" s="46">
        <v>0</v>
      </c>
      <c r="AZ21" s="44" t="s">
        <v>1909</v>
      </c>
      <c r="BA21" s="42">
        <v>0.62</v>
      </c>
      <c r="BB21" s="42">
        <v>4.18</v>
      </c>
      <c r="BC21" s="42">
        <v>4.8899999999999997</v>
      </c>
      <c r="BD21" s="42">
        <v>1.61</v>
      </c>
      <c r="BE21" s="42">
        <v>2.21</v>
      </c>
      <c r="BF21" s="42">
        <v>1.89</v>
      </c>
      <c r="BG21" s="42">
        <v>0.73</v>
      </c>
      <c r="BH21" s="46">
        <v>1.17</v>
      </c>
      <c r="BJ21" s="44" t="s">
        <v>1910</v>
      </c>
      <c r="BK21" s="42">
        <v>14.87</v>
      </c>
      <c r="BL21" s="42">
        <v>0.85</v>
      </c>
      <c r="BM21" s="42">
        <v>9.24</v>
      </c>
      <c r="BN21" s="42">
        <v>3.56</v>
      </c>
      <c r="BO21" s="42">
        <v>1.61</v>
      </c>
      <c r="BP21" s="42">
        <v>2.59</v>
      </c>
      <c r="BQ21" s="42">
        <v>0.24</v>
      </c>
      <c r="BR21" s="46">
        <v>0.24</v>
      </c>
      <c r="BT21" s="44" t="s">
        <v>1911</v>
      </c>
      <c r="BU21" s="42">
        <v>0</v>
      </c>
      <c r="BV21" s="42">
        <v>1.37</v>
      </c>
      <c r="BW21" s="42">
        <v>0.15</v>
      </c>
      <c r="BX21" s="42">
        <v>2.21</v>
      </c>
      <c r="BY21" s="42">
        <v>1.61</v>
      </c>
      <c r="BZ21" s="42">
        <v>0.53</v>
      </c>
      <c r="CA21" s="42">
        <v>0.39</v>
      </c>
      <c r="CB21" s="46">
        <v>3.04</v>
      </c>
    </row>
    <row r="22" spans="2:80">
      <c r="B22" s="44" t="s">
        <v>1912</v>
      </c>
      <c r="C22" s="42">
        <v>2.98</v>
      </c>
      <c r="D22" s="42">
        <v>4.3600000000000003</v>
      </c>
      <c r="E22" s="42">
        <v>5.31</v>
      </c>
      <c r="F22" s="42">
        <v>5.65</v>
      </c>
      <c r="G22" s="42">
        <v>3.04</v>
      </c>
      <c r="H22" s="42">
        <v>4.8499999999999996</v>
      </c>
      <c r="I22" s="42">
        <v>1.75</v>
      </c>
      <c r="J22" s="46">
        <v>2.2599999999999998</v>
      </c>
      <c r="L22" s="44" t="s">
        <v>1913</v>
      </c>
      <c r="M22" s="42">
        <v>2.84</v>
      </c>
      <c r="N22" s="42">
        <v>5.45</v>
      </c>
      <c r="O22" s="42">
        <v>5.12</v>
      </c>
      <c r="P22" s="42">
        <v>6.08</v>
      </c>
      <c r="Q22" s="42">
        <v>0</v>
      </c>
      <c r="R22" s="42">
        <v>3.71</v>
      </c>
      <c r="S22" s="42">
        <v>3.03</v>
      </c>
      <c r="T22" s="46">
        <v>3.47</v>
      </c>
      <c r="V22" s="44" t="s">
        <v>1914</v>
      </c>
      <c r="W22" s="42">
        <v>3.89</v>
      </c>
      <c r="X22" s="42">
        <v>4.3</v>
      </c>
      <c r="Y22" s="42">
        <v>4.21</v>
      </c>
      <c r="Z22" s="42">
        <v>4.29</v>
      </c>
      <c r="AA22" s="42">
        <v>3.6</v>
      </c>
      <c r="AB22" s="42">
        <v>3.13</v>
      </c>
      <c r="AC22" s="42">
        <v>1.63</v>
      </c>
      <c r="AD22" s="46">
        <v>1.25</v>
      </c>
      <c r="AF22" s="44" t="s">
        <v>1915</v>
      </c>
      <c r="AG22" s="42">
        <v>4.1399999999999997</v>
      </c>
      <c r="AH22" s="42">
        <v>6.09</v>
      </c>
      <c r="AI22" s="42">
        <v>3.76</v>
      </c>
      <c r="AJ22" s="42">
        <v>4.07</v>
      </c>
      <c r="AK22" s="42">
        <v>5.45</v>
      </c>
      <c r="AL22" s="42">
        <v>1.86</v>
      </c>
      <c r="AM22" s="42">
        <v>3.72</v>
      </c>
      <c r="AN22" s="46">
        <v>3.18</v>
      </c>
      <c r="AP22" s="44" t="s">
        <v>1916</v>
      </c>
      <c r="AQ22" s="42">
        <v>2.59</v>
      </c>
      <c r="AR22" s="42">
        <v>0</v>
      </c>
      <c r="AS22" s="42">
        <v>9.24</v>
      </c>
      <c r="AT22" s="42">
        <v>3.04</v>
      </c>
      <c r="AU22" s="42">
        <v>1.37</v>
      </c>
      <c r="AV22" s="42">
        <v>1.37</v>
      </c>
      <c r="AW22" s="42">
        <v>1.37</v>
      </c>
      <c r="AX22" s="46">
        <v>0</v>
      </c>
      <c r="AZ22" s="44" t="s">
        <v>1917</v>
      </c>
      <c r="BA22" s="42">
        <v>0.53</v>
      </c>
      <c r="BB22" s="42">
        <v>4.18</v>
      </c>
      <c r="BC22" s="42">
        <v>4.8899999999999997</v>
      </c>
      <c r="BD22" s="42">
        <v>1.61</v>
      </c>
      <c r="BE22" s="42">
        <v>2.21</v>
      </c>
      <c r="BF22" s="42">
        <v>1.61</v>
      </c>
      <c r="BG22" s="42">
        <v>0.73</v>
      </c>
      <c r="BH22" s="46">
        <v>1.17</v>
      </c>
      <c r="BJ22" s="44" t="s">
        <v>1918</v>
      </c>
      <c r="BK22" s="42">
        <v>12.69</v>
      </c>
      <c r="BL22" s="42">
        <v>1.37</v>
      </c>
      <c r="BM22" s="42">
        <v>1.61</v>
      </c>
      <c r="BN22" s="42">
        <v>3.56</v>
      </c>
      <c r="BO22" s="42">
        <v>1.61</v>
      </c>
      <c r="BP22" s="42">
        <v>2.21</v>
      </c>
      <c r="BQ22" s="42">
        <v>0.24</v>
      </c>
      <c r="BR22" s="46">
        <v>0.2</v>
      </c>
      <c r="BT22" s="44" t="s">
        <v>1919</v>
      </c>
      <c r="BU22" s="42">
        <v>0.85</v>
      </c>
      <c r="BV22" s="42">
        <v>0.45</v>
      </c>
      <c r="BW22" s="42">
        <v>0.15</v>
      </c>
      <c r="BX22" s="42">
        <v>0</v>
      </c>
      <c r="BY22" s="42">
        <v>1.89</v>
      </c>
      <c r="BZ22" s="42">
        <v>0.62</v>
      </c>
      <c r="CA22" s="42">
        <v>0.33</v>
      </c>
      <c r="CB22" s="46">
        <v>2.21</v>
      </c>
    </row>
    <row r="23" spans="2:80">
      <c r="B23" s="44" t="s">
        <v>1920</v>
      </c>
      <c r="C23" s="42">
        <v>3.01</v>
      </c>
      <c r="D23" s="42">
        <v>4.3899999999999997</v>
      </c>
      <c r="E23" s="42">
        <v>5.28</v>
      </c>
      <c r="F23" s="42">
        <v>5.2</v>
      </c>
      <c r="G23" s="42">
        <v>4.33</v>
      </c>
      <c r="H23" s="42">
        <v>4.8499999999999996</v>
      </c>
      <c r="I23" s="42">
        <v>0.71</v>
      </c>
      <c r="J23" s="46">
        <v>2.23</v>
      </c>
      <c r="L23" s="44" t="s">
        <v>1921</v>
      </c>
      <c r="M23" s="42">
        <v>2.81</v>
      </c>
      <c r="N23" s="42">
        <v>5.43</v>
      </c>
      <c r="O23" s="42">
        <v>5.2</v>
      </c>
      <c r="P23" s="42">
        <v>6.08</v>
      </c>
      <c r="Q23" s="42">
        <v>0</v>
      </c>
      <c r="R23" s="42">
        <v>2.0699999999999998</v>
      </c>
      <c r="S23" s="42">
        <v>3.02</v>
      </c>
      <c r="T23" s="46">
        <v>3.44</v>
      </c>
      <c r="V23" s="44" t="s">
        <v>1922</v>
      </c>
      <c r="W23" s="42">
        <v>3.92</v>
      </c>
      <c r="X23" s="42">
        <v>4.2699999999999996</v>
      </c>
      <c r="Y23" s="42">
        <v>4.1900000000000004</v>
      </c>
      <c r="Z23" s="42">
        <v>4.29</v>
      </c>
      <c r="AA23" s="42">
        <v>3.6</v>
      </c>
      <c r="AB23" s="42">
        <v>3.11</v>
      </c>
      <c r="AC23" s="42">
        <v>1.64</v>
      </c>
      <c r="AD23" s="46">
        <v>0.64</v>
      </c>
      <c r="AF23" s="44" t="s">
        <v>1923</v>
      </c>
      <c r="AG23" s="42">
        <v>4.18</v>
      </c>
      <c r="AH23" s="42">
        <v>2.95</v>
      </c>
      <c r="AI23" s="42">
        <v>3.79</v>
      </c>
      <c r="AJ23" s="42">
        <v>1.81</v>
      </c>
      <c r="AK23" s="42">
        <v>5.49</v>
      </c>
      <c r="AL23" s="42">
        <v>1.85</v>
      </c>
      <c r="AM23" s="42">
        <v>3.77</v>
      </c>
      <c r="AN23" s="46">
        <v>3.18</v>
      </c>
      <c r="AP23" s="44" t="s">
        <v>1924</v>
      </c>
      <c r="AQ23" s="42">
        <v>2.21</v>
      </c>
      <c r="AR23" s="42">
        <v>0</v>
      </c>
      <c r="AS23" s="42">
        <v>2.59</v>
      </c>
      <c r="AT23" s="42">
        <v>3.04</v>
      </c>
      <c r="AU23" s="42">
        <v>1.37</v>
      </c>
      <c r="AV23" s="42">
        <v>99.99</v>
      </c>
      <c r="AW23" s="42">
        <v>1.37</v>
      </c>
      <c r="AX23" s="46">
        <v>0</v>
      </c>
      <c r="AZ23" s="44" t="s">
        <v>1925</v>
      </c>
      <c r="BA23" s="42">
        <v>1.17</v>
      </c>
      <c r="BB23" s="42">
        <v>4.18</v>
      </c>
      <c r="BC23" s="42">
        <v>0.39</v>
      </c>
      <c r="BD23" s="42">
        <v>1.61</v>
      </c>
      <c r="BE23" s="42">
        <v>2.21</v>
      </c>
      <c r="BF23" s="42">
        <v>1.89</v>
      </c>
      <c r="BG23" s="42">
        <v>0.62</v>
      </c>
      <c r="BH23" s="46">
        <v>1.17</v>
      </c>
      <c r="BJ23" s="44" t="s">
        <v>1926</v>
      </c>
      <c r="BK23" s="42">
        <v>14.87</v>
      </c>
      <c r="BL23" s="42">
        <v>1.61</v>
      </c>
      <c r="BM23" s="42">
        <v>1.61</v>
      </c>
      <c r="BN23" s="42">
        <v>1.89</v>
      </c>
      <c r="BO23" s="42">
        <v>1.89</v>
      </c>
      <c r="BP23" s="42">
        <v>2.59</v>
      </c>
      <c r="BQ23" s="42">
        <v>0.24</v>
      </c>
      <c r="BR23" s="46">
        <v>0.2</v>
      </c>
      <c r="BT23" s="44" t="s">
        <v>1927</v>
      </c>
      <c r="BU23" s="42">
        <v>0.85</v>
      </c>
      <c r="BV23" s="42">
        <v>1.17</v>
      </c>
      <c r="BW23" s="42">
        <v>0.13</v>
      </c>
      <c r="BX23" s="42">
        <v>2.21</v>
      </c>
      <c r="BY23" s="42">
        <v>2.21</v>
      </c>
      <c r="BZ23" s="42">
        <v>0.62</v>
      </c>
      <c r="CA23" s="42">
        <v>0.33</v>
      </c>
      <c r="CB23" s="46">
        <v>2.21</v>
      </c>
    </row>
    <row r="24" spans="2:80">
      <c r="B24" s="44" t="s">
        <v>1928</v>
      </c>
      <c r="C24" s="42">
        <v>2.96</v>
      </c>
      <c r="D24" s="42">
        <v>4.3899999999999997</v>
      </c>
      <c r="E24" s="42">
        <v>5.29</v>
      </c>
      <c r="F24" s="42">
        <v>5.69</v>
      </c>
      <c r="G24" s="42">
        <v>4.3499999999999996</v>
      </c>
      <c r="H24" s="42">
        <v>4.84</v>
      </c>
      <c r="I24" s="42">
        <v>1.79</v>
      </c>
      <c r="J24" s="46">
        <v>2.2400000000000002</v>
      </c>
      <c r="L24" s="44" t="s">
        <v>1929</v>
      </c>
      <c r="M24" s="42">
        <v>2.84</v>
      </c>
      <c r="N24" s="42">
        <v>5.47</v>
      </c>
      <c r="O24" s="42">
        <v>5.15</v>
      </c>
      <c r="P24" s="42">
        <v>6.08</v>
      </c>
      <c r="Q24" s="42">
        <v>0</v>
      </c>
      <c r="R24" s="42">
        <v>3.76</v>
      </c>
      <c r="S24" s="42">
        <v>3.05</v>
      </c>
      <c r="T24" s="46">
        <v>3.48</v>
      </c>
      <c r="V24" s="44" t="s">
        <v>1930</v>
      </c>
      <c r="W24" s="42">
        <v>3.9</v>
      </c>
      <c r="X24" s="42">
        <v>4.26</v>
      </c>
      <c r="Y24" s="42">
        <v>4.16</v>
      </c>
      <c r="Z24" s="42">
        <v>4.32</v>
      </c>
      <c r="AA24" s="42">
        <v>3.59</v>
      </c>
      <c r="AB24" s="42">
        <v>3.12</v>
      </c>
      <c r="AC24" s="42">
        <v>1.63</v>
      </c>
      <c r="AD24" s="46">
        <v>1.21</v>
      </c>
      <c r="AF24" s="44" t="s">
        <v>1931</v>
      </c>
      <c r="AG24" s="42">
        <v>4.13</v>
      </c>
      <c r="AH24" s="42">
        <v>6.11</v>
      </c>
      <c r="AI24" s="42">
        <v>3.78</v>
      </c>
      <c r="AJ24" s="42">
        <v>5.2</v>
      </c>
      <c r="AK24" s="42">
        <v>5.46</v>
      </c>
      <c r="AL24" s="42">
        <v>1.84</v>
      </c>
      <c r="AM24" s="42">
        <v>3.75</v>
      </c>
      <c r="AN24" s="46">
        <v>0</v>
      </c>
      <c r="AP24" s="44" t="s">
        <v>1932</v>
      </c>
      <c r="AQ24" s="42">
        <v>2.21</v>
      </c>
      <c r="AR24" s="42">
        <v>0</v>
      </c>
      <c r="AS24" s="42">
        <v>2.59</v>
      </c>
      <c r="AT24" s="42">
        <v>3.56</v>
      </c>
      <c r="AU24" s="42">
        <v>1.37</v>
      </c>
      <c r="AV24" s="42">
        <v>99.99</v>
      </c>
      <c r="AW24" s="42">
        <v>1.17</v>
      </c>
      <c r="AX24" s="46">
        <v>0</v>
      </c>
      <c r="AZ24" s="44" t="s">
        <v>1933</v>
      </c>
      <c r="BA24" s="42">
        <v>0.62</v>
      </c>
      <c r="BB24" s="42">
        <v>4.18</v>
      </c>
      <c r="BC24" s="42">
        <v>0.39</v>
      </c>
      <c r="BD24" s="42">
        <v>1.37</v>
      </c>
      <c r="BE24" s="42">
        <v>2.59</v>
      </c>
      <c r="BF24" s="42">
        <v>1.89</v>
      </c>
      <c r="BG24" s="42">
        <v>0.73</v>
      </c>
      <c r="BH24" s="46">
        <v>1.17</v>
      </c>
      <c r="BJ24" s="44" t="s">
        <v>1934</v>
      </c>
      <c r="BK24" s="42">
        <v>10.83</v>
      </c>
      <c r="BL24" s="42">
        <v>0</v>
      </c>
      <c r="BM24" s="42">
        <v>1.61</v>
      </c>
      <c r="BN24" s="42">
        <v>3.56</v>
      </c>
      <c r="BO24" s="42">
        <v>1.89</v>
      </c>
      <c r="BP24" s="42">
        <v>2.59</v>
      </c>
      <c r="BQ24" s="42">
        <v>0.24</v>
      </c>
      <c r="BR24" s="46">
        <v>0.2</v>
      </c>
      <c r="BT24" s="44" t="s">
        <v>1935</v>
      </c>
      <c r="BU24" s="42">
        <v>0.85</v>
      </c>
      <c r="BV24" s="42">
        <v>0.45</v>
      </c>
      <c r="BW24" s="42">
        <v>0.33</v>
      </c>
      <c r="BX24" s="42">
        <v>1.17</v>
      </c>
      <c r="BY24" s="42">
        <v>2.21</v>
      </c>
      <c r="BZ24" s="42">
        <v>0.73</v>
      </c>
      <c r="CA24" s="42">
        <v>0.33</v>
      </c>
      <c r="CB24" s="46">
        <v>2.21</v>
      </c>
    </row>
    <row r="25" spans="2:80">
      <c r="B25" s="44" t="s">
        <v>1936</v>
      </c>
      <c r="C25" s="42">
        <v>3.02</v>
      </c>
      <c r="D25" s="42">
        <v>4.4000000000000004</v>
      </c>
      <c r="E25" s="42">
        <v>5.3</v>
      </c>
      <c r="F25" s="42">
        <v>5.6</v>
      </c>
      <c r="G25" s="42">
        <v>4.32</v>
      </c>
      <c r="H25" s="42">
        <v>2.87</v>
      </c>
      <c r="I25" s="42">
        <v>1.72</v>
      </c>
      <c r="J25" s="46">
        <v>2.23</v>
      </c>
      <c r="L25" s="44" t="s">
        <v>1937</v>
      </c>
      <c r="M25" s="42">
        <v>2.83</v>
      </c>
      <c r="N25" s="42">
        <v>5.5</v>
      </c>
      <c r="O25" s="42">
        <v>5.21</v>
      </c>
      <c r="P25" s="42">
        <v>6.05</v>
      </c>
      <c r="Q25" s="42">
        <v>5.12</v>
      </c>
      <c r="R25" s="42">
        <v>3.72</v>
      </c>
      <c r="S25" s="42">
        <v>99.99</v>
      </c>
      <c r="T25" s="46">
        <v>4.1500000000000004</v>
      </c>
      <c r="V25" s="44" t="s">
        <v>1938</v>
      </c>
      <c r="W25" s="42">
        <v>3.92</v>
      </c>
      <c r="X25" s="42">
        <v>4.29</v>
      </c>
      <c r="Y25" s="42">
        <v>4.18</v>
      </c>
      <c r="Z25" s="42">
        <v>4.3099999999999996</v>
      </c>
      <c r="AA25" s="42">
        <v>3.63</v>
      </c>
      <c r="AB25" s="42">
        <v>3.1</v>
      </c>
      <c r="AC25" s="42">
        <v>1.6</v>
      </c>
      <c r="AD25" s="46">
        <v>1.28</v>
      </c>
      <c r="AF25" s="44" t="s">
        <v>1939</v>
      </c>
      <c r="AG25" s="42">
        <v>4.16</v>
      </c>
      <c r="AH25" s="42">
        <v>6.07</v>
      </c>
      <c r="AI25" s="42">
        <v>3.77</v>
      </c>
      <c r="AJ25" s="42">
        <v>5.0599999999999996</v>
      </c>
      <c r="AK25" s="42">
        <v>5.48</v>
      </c>
      <c r="AL25" s="42">
        <v>1.83</v>
      </c>
      <c r="AM25" s="42">
        <v>0.69</v>
      </c>
      <c r="AN25" s="46">
        <v>2.99</v>
      </c>
      <c r="AP25" s="44" t="s">
        <v>1940</v>
      </c>
      <c r="AQ25" s="42">
        <v>0</v>
      </c>
      <c r="AR25" s="42">
        <v>3.56</v>
      </c>
      <c r="AS25" s="42">
        <v>0</v>
      </c>
      <c r="AT25" s="42">
        <v>14.87</v>
      </c>
      <c r="AU25" s="42">
        <v>1.61</v>
      </c>
      <c r="AV25" s="42">
        <v>99.99</v>
      </c>
      <c r="AW25" s="42">
        <v>0.53</v>
      </c>
      <c r="AX25" s="46">
        <v>3.04</v>
      </c>
      <c r="AZ25" s="44" t="s">
        <v>1941</v>
      </c>
      <c r="BA25" s="42">
        <v>1.17</v>
      </c>
      <c r="BB25" s="42">
        <v>4.18</v>
      </c>
      <c r="BC25" s="42">
        <v>0.39</v>
      </c>
      <c r="BD25" s="42">
        <v>1.61</v>
      </c>
      <c r="BE25" s="42">
        <v>2.21</v>
      </c>
      <c r="BF25" s="42">
        <v>1.89</v>
      </c>
      <c r="BG25" s="42">
        <v>0.73</v>
      </c>
      <c r="BH25" s="46">
        <v>1.17</v>
      </c>
      <c r="BJ25" s="44" t="s">
        <v>1942</v>
      </c>
      <c r="BK25" s="42">
        <v>14.87</v>
      </c>
      <c r="BL25" s="42">
        <v>1.61</v>
      </c>
      <c r="BM25" s="42">
        <v>1.89</v>
      </c>
      <c r="BN25" s="42">
        <v>3.56</v>
      </c>
      <c r="BO25" s="42">
        <v>1.61</v>
      </c>
      <c r="BP25" s="42">
        <v>2.59</v>
      </c>
      <c r="BQ25" s="42">
        <v>0.24</v>
      </c>
      <c r="BR25" s="46">
        <v>0.24</v>
      </c>
      <c r="BT25" s="44" t="s">
        <v>1943</v>
      </c>
      <c r="BU25" s="42">
        <v>0.73</v>
      </c>
      <c r="BV25" s="42">
        <v>0.45</v>
      </c>
      <c r="BW25" s="42">
        <v>0.15</v>
      </c>
      <c r="BX25" s="42">
        <v>0</v>
      </c>
      <c r="BY25" s="42">
        <v>0</v>
      </c>
      <c r="BZ25" s="42">
        <v>0.73</v>
      </c>
      <c r="CA25" s="42">
        <v>0.33</v>
      </c>
      <c r="CB25" s="46">
        <v>2.21</v>
      </c>
    </row>
    <row r="26" spans="2:80">
      <c r="B26" s="44" t="s">
        <v>1944</v>
      </c>
      <c r="C26" s="42">
        <v>3.01</v>
      </c>
      <c r="D26" s="42">
        <v>4.3600000000000003</v>
      </c>
      <c r="E26" s="42">
        <v>5.27</v>
      </c>
      <c r="F26" s="42">
        <v>5.63</v>
      </c>
      <c r="G26" s="42">
        <v>4.32</v>
      </c>
      <c r="H26" s="42">
        <v>4.91</v>
      </c>
      <c r="I26" s="42">
        <v>1.76</v>
      </c>
      <c r="J26" s="46">
        <v>2.25</v>
      </c>
      <c r="L26" s="44" t="s">
        <v>1945</v>
      </c>
      <c r="M26" s="42">
        <v>2.84</v>
      </c>
      <c r="N26" s="42">
        <v>5.49</v>
      </c>
      <c r="O26" s="42">
        <v>5.17</v>
      </c>
      <c r="P26" s="42">
        <v>3.96</v>
      </c>
      <c r="Q26" s="42">
        <v>0</v>
      </c>
      <c r="R26" s="42">
        <v>3.75</v>
      </c>
      <c r="S26" s="42">
        <v>3.08</v>
      </c>
      <c r="T26" s="46">
        <v>3.47</v>
      </c>
      <c r="V26" s="44" t="s">
        <v>1946</v>
      </c>
      <c r="W26" s="42">
        <v>3.91</v>
      </c>
      <c r="X26" s="42">
        <v>4.2699999999999996</v>
      </c>
      <c r="Y26" s="42">
        <v>4.16</v>
      </c>
      <c r="Z26" s="42">
        <v>4.2699999999999996</v>
      </c>
      <c r="AA26" s="42">
        <v>3.56</v>
      </c>
      <c r="AB26" s="42">
        <v>3.15</v>
      </c>
      <c r="AC26" s="42">
        <v>1.63</v>
      </c>
      <c r="AD26" s="46">
        <v>1.23</v>
      </c>
      <c r="AF26" s="44" t="s">
        <v>1947</v>
      </c>
      <c r="AG26" s="42">
        <v>4.12</v>
      </c>
      <c r="AH26" s="42">
        <v>6.09</v>
      </c>
      <c r="AI26" s="42">
        <v>3.81</v>
      </c>
      <c r="AJ26" s="42">
        <v>5.17</v>
      </c>
      <c r="AK26" s="42">
        <v>5.5</v>
      </c>
      <c r="AL26" s="42">
        <v>1.85</v>
      </c>
      <c r="AM26" s="42">
        <v>3.75</v>
      </c>
      <c r="AN26" s="46">
        <v>3.24</v>
      </c>
      <c r="AP26" s="44" t="s">
        <v>1948</v>
      </c>
      <c r="AQ26" s="42">
        <v>0</v>
      </c>
      <c r="AR26" s="42">
        <v>0</v>
      </c>
      <c r="AS26" s="42">
        <v>2.59</v>
      </c>
      <c r="AT26" s="42">
        <v>17.43</v>
      </c>
      <c r="AU26" s="42">
        <v>1.37</v>
      </c>
      <c r="AV26" s="42">
        <v>1.17</v>
      </c>
      <c r="AW26" s="42">
        <v>1.61</v>
      </c>
      <c r="AX26" s="46">
        <v>2.59</v>
      </c>
      <c r="AZ26" s="44" t="s">
        <v>1949</v>
      </c>
      <c r="BA26" s="42">
        <v>0.53</v>
      </c>
      <c r="BB26" s="42">
        <v>4.18</v>
      </c>
      <c r="BC26" s="42">
        <v>0.39</v>
      </c>
      <c r="BD26" s="42">
        <v>1.61</v>
      </c>
      <c r="BE26" s="42">
        <v>2.21</v>
      </c>
      <c r="BF26" s="42">
        <v>1.89</v>
      </c>
      <c r="BG26" s="42">
        <v>0.73</v>
      </c>
      <c r="BH26" s="46">
        <v>1.37</v>
      </c>
      <c r="BJ26" s="44" t="s">
        <v>1950</v>
      </c>
      <c r="BK26" s="42">
        <v>14.87</v>
      </c>
      <c r="BL26" s="42">
        <v>1.37</v>
      </c>
      <c r="BM26" s="42">
        <v>1.61</v>
      </c>
      <c r="BN26" s="42">
        <v>3.56</v>
      </c>
      <c r="BO26" s="42">
        <v>1.37</v>
      </c>
      <c r="BP26" s="42">
        <v>3.56</v>
      </c>
      <c r="BQ26" s="42">
        <v>0.24</v>
      </c>
      <c r="BR26" s="46">
        <v>0.2</v>
      </c>
      <c r="BT26" s="44" t="s">
        <v>1951</v>
      </c>
      <c r="BU26" s="42">
        <v>0.85</v>
      </c>
      <c r="BV26" s="42">
        <v>0.45</v>
      </c>
      <c r="BW26" s="42">
        <v>0.15</v>
      </c>
      <c r="BX26" s="42">
        <v>2.21</v>
      </c>
      <c r="BY26" s="42">
        <v>1.89</v>
      </c>
      <c r="BZ26" s="42">
        <v>0.73</v>
      </c>
      <c r="CA26" s="42">
        <v>0.33</v>
      </c>
      <c r="CB26" s="46">
        <v>2.21</v>
      </c>
    </row>
    <row r="27" spans="2:80">
      <c r="B27" s="44" t="s">
        <v>1952</v>
      </c>
      <c r="C27" s="42">
        <v>3</v>
      </c>
      <c r="D27" s="42">
        <v>4.38</v>
      </c>
      <c r="E27" s="42">
        <v>5.29</v>
      </c>
      <c r="F27" s="42">
        <v>5.62</v>
      </c>
      <c r="G27" s="42">
        <v>4.32</v>
      </c>
      <c r="H27" s="42">
        <v>4.78</v>
      </c>
      <c r="I27" s="42">
        <v>1.76</v>
      </c>
      <c r="J27" s="46">
        <v>2.29</v>
      </c>
      <c r="L27" s="44" t="s">
        <v>1953</v>
      </c>
      <c r="M27" s="42">
        <v>2.82</v>
      </c>
      <c r="N27" s="42">
        <v>5.5</v>
      </c>
      <c r="O27" s="42">
        <v>5.14</v>
      </c>
      <c r="P27" s="42">
        <v>6.1</v>
      </c>
      <c r="Q27" s="42">
        <v>0</v>
      </c>
      <c r="R27" s="42">
        <v>1.22</v>
      </c>
      <c r="S27" s="42">
        <v>3.04</v>
      </c>
      <c r="T27" s="46">
        <v>3.49</v>
      </c>
      <c r="V27" s="44" t="s">
        <v>1954</v>
      </c>
      <c r="W27" s="42">
        <v>3.9</v>
      </c>
      <c r="X27" s="42">
        <v>4.26</v>
      </c>
      <c r="Y27" s="42">
        <v>4.16</v>
      </c>
      <c r="Z27" s="42">
        <v>0</v>
      </c>
      <c r="AA27" s="42">
        <v>3.63</v>
      </c>
      <c r="AB27" s="42">
        <v>3.1</v>
      </c>
      <c r="AC27" s="42">
        <v>1.64</v>
      </c>
      <c r="AD27" s="46">
        <v>1.27</v>
      </c>
      <c r="AF27" s="44" t="s">
        <v>1955</v>
      </c>
      <c r="AG27" s="42">
        <v>3.86</v>
      </c>
      <c r="AH27" s="42">
        <v>6.07</v>
      </c>
      <c r="AI27" s="42">
        <v>3.78</v>
      </c>
      <c r="AJ27" s="42">
        <v>5.15</v>
      </c>
      <c r="AK27" s="42">
        <v>5.49</v>
      </c>
      <c r="AL27" s="42">
        <v>1.84</v>
      </c>
      <c r="AM27" s="42">
        <v>3.76</v>
      </c>
      <c r="AN27" s="46">
        <v>0</v>
      </c>
      <c r="AP27" s="44" t="s">
        <v>1956</v>
      </c>
      <c r="AQ27" s="42">
        <v>2.21</v>
      </c>
      <c r="AR27" s="42">
        <v>1.17</v>
      </c>
      <c r="AS27" s="42">
        <v>2.59</v>
      </c>
      <c r="AT27" s="42">
        <v>3.56</v>
      </c>
      <c r="AU27" s="42">
        <v>1.61</v>
      </c>
      <c r="AV27" s="42">
        <v>1.17</v>
      </c>
      <c r="AW27" s="42">
        <v>1.17</v>
      </c>
      <c r="AX27" s="46">
        <v>0</v>
      </c>
      <c r="AZ27" s="44" t="s">
        <v>1957</v>
      </c>
      <c r="BA27" s="42">
        <v>0.53</v>
      </c>
      <c r="BB27" s="42">
        <v>4.18</v>
      </c>
      <c r="BC27" s="42">
        <v>0.39</v>
      </c>
      <c r="BD27" s="42">
        <v>1.61</v>
      </c>
      <c r="BE27" s="42">
        <v>2.21</v>
      </c>
      <c r="BF27" s="42">
        <v>7.88</v>
      </c>
      <c r="BG27" s="42">
        <v>0.73</v>
      </c>
      <c r="BH27" s="46">
        <v>0</v>
      </c>
      <c r="BJ27" s="44" t="s">
        <v>1958</v>
      </c>
      <c r="BK27" s="42">
        <v>9.24</v>
      </c>
      <c r="BL27" s="42">
        <v>0.85</v>
      </c>
      <c r="BM27" s="42">
        <v>0.17</v>
      </c>
      <c r="BN27" s="42">
        <v>1.89</v>
      </c>
      <c r="BO27" s="42">
        <v>1.61</v>
      </c>
      <c r="BP27" s="42">
        <v>2.21</v>
      </c>
      <c r="BQ27" s="42">
        <v>0.17</v>
      </c>
      <c r="BR27" s="46">
        <v>0.53</v>
      </c>
      <c r="BT27" s="44" t="s">
        <v>1959</v>
      </c>
      <c r="BU27" s="42">
        <v>0.73</v>
      </c>
      <c r="BV27" s="42">
        <v>0.45</v>
      </c>
      <c r="BW27" s="42">
        <v>0.11</v>
      </c>
      <c r="BX27" s="42">
        <v>1.17</v>
      </c>
      <c r="BY27" s="42">
        <v>1.89</v>
      </c>
      <c r="BZ27" s="42">
        <v>0.73</v>
      </c>
      <c r="CA27" s="42">
        <v>0.28000000000000003</v>
      </c>
      <c r="CB27" s="46">
        <v>3.04</v>
      </c>
    </row>
    <row r="28" spans="2:80">
      <c r="B28" s="44" t="s">
        <v>1960</v>
      </c>
      <c r="C28" s="42">
        <v>3</v>
      </c>
      <c r="D28" s="42">
        <v>4.38</v>
      </c>
      <c r="E28" s="42">
        <v>5.29</v>
      </c>
      <c r="F28" s="42">
        <v>5.63</v>
      </c>
      <c r="G28" s="42">
        <v>4.3</v>
      </c>
      <c r="H28" s="42">
        <v>4.8499999999999996</v>
      </c>
      <c r="I28" s="42">
        <v>1.75</v>
      </c>
      <c r="J28" s="46">
        <v>2.2400000000000002</v>
      </c>
      <c r="L28" s="44" t="s">
        <v>1961</v>
      </c>
      <c r="M28" s="42">
        <v>2.85</v>
      </c>
      <c r="N28" s="42">
        <v>5.44</v>
      </c>
      <c r="O28" s="42">
        <v>5.13</v>
      </c>
      <c r="P28" s="42">
        <v>5.1100000000000003</v>
      </c>
      <c r="Q28" s="42">
        <v>0</v>
      </c>
      <c r="R28" s="42">
        <v>3.73</v>
      </c>
      <c r="S28" s="42">
        <v>3.05</v>
      </c>
      <c r="T28" s="46">
        <v>3.46</v>
      </c>
      <c r="V28" s="44" t="s">
        <v>1962</v>
      </c>
      <c r="W28" s="42">
        <v>3.94</v>
      </c>
      <c r="X28" s="42">
        <v>4.28</v>
      </c>
      <c r="Y28" s="42">
        <v>4.13</v>
      </c>
      <c r="Z28" s="42">
        <v>4.32</v>
      </c>
      <c r="AA28" s="42">
        <v>3.61</v>
      </c>
      <c r="AB28" s="42">
        <v>3.1</v>
      </c>
      <c r="AC28" s="42">
        <v>1.65</v>
      </c>
      <c r="AD28" s="46">
        <v>1.25</v>
      </c>
      <c r="AF28" s="44" t="s">
        <v>1963</v>
      </c>
      <c r="AG28" s="42">
        <v>4.13</v>
      </c>
      <c r="AH28" s="42">
        <v>6.09</v>
      </c>
      <c r="AI28" s="42">
        <v>3.76</v>
      </c>
      <c r="AJ28" s="42">
        <v>4.13</v>
      </c>
      <c r="AK28" s="42">
        <v>5.44</v>
      </c>
      <c r="AL28" s="42">
        <v>1.85</v>
      </c>
      <c r="AM28" s="42">
        <v>3.75</v>
      </c>
      <c r="AN28" s="46">
        <v>3.2</v>
      </c>
      <c r="AP28" s="44" t="s">
        <v>1964</v>
      </c>
      <c r="AQ28" s="42">
        <v>2.21</v>
      </c>
      <c r="AR28" s="42">
        <v>1.17</v>
      </c>
      <c r="AS28" s="42">
        <v>2.59</v>
      </c>
      <c r="AT28" s="42">
        <v>3.56</v>
      </c>
      <c r="AU28" s="42">
        <v>1.37</v>
      </c>
      <c r="AV28" s="42">
        <v>1.37</v>
      </c>
      <c r="AW28" s="42">
        <v>1.17</v>
      </c>
      <c r="AX28" s="46">
        <v>0</v>
      </c>
      <c r="AZ28" s="44" t="s">
        <v>1965</v>
      </c>
      <c r="BA28" s="42">
        <v>0.62</v>
      </c>
      <c r="BB28" s="42">
        <v>4.18</v>
      </c>
      <c r="BC28" s="42">
        <v>0.39</v>
      </c>
      <c r="BD28" s="42">
        <v>1.61</v>
      </c>
      <c r="BE28" s="42">
        <v>2.21</v>
      </c>
      <c r="BF28" s="42">
        <v>1.89</v>
      </c>
      <c r="BG28" s="42">
        <v>0.62</v>
      </c>
      <c r="BH28" s="46">
        <v>1.17</v>
      </c>
      <c r="BJ28" s="44" t="s">
        <v>1966</v>
      </c>
      <c r="BK28" s="42">
        <v>12.69</v>
      </c>
      <c r="BL28" s="42">
        <v>1.61</v>
      </c>
      <c r="BM28" s="42">
        <v>1.61</v>
      </c>
      <c r="BN28" s="42">
        <v>3.04</v>
      </c>
      <c r="BO28" s="42">
        <v>1.89</v>
      </c>
      <c r="BP28" s="42">
        <v>2.59</v>
      </c>
      <c r="BQ28" s="42">
        <v>0.24</v>
      </c>
      <c r="BR28" s="46">
        <v>0.62</v>
      </c>
      <c r="BT28" s="44" t="s">
        <v>1967</v>
      </c>
      <c r="BU28" s="42">
        <v>0.73</v>
      </c>
      <c r="BV28" s="42">
        <v>0.45</v>
      </c>
      <c r="BW28" s="42">
        <v>0.15</v>
      </c>
      <c r="BX28" s="42">
        <v>10.83</v>
      </c>
      <c r="BY28" s="42">
        <v>0.85</v>
      </c>
      <c r="BZ28" s="42">
        <v>0.73</v>
      </c>
      <c r="CA28" s="42">
        <v>0.45</v>
      </c>
      <c r="CB28" s="46">
        <v>2.21</v>
      </c>
    </row>
    <row r="29" spans="2:80">
      <c r="B29" s="44" t="s">
        <v>1968</v>
      </c>
      <c r="C29" s="42">
        <v>3.01</v>
      </c>
      <c r="D29" s="42">
        <v>4.41</v>
      </c>
      <c r="E29" s="42">
        <v>5.3</v>
      </c>
      <c r="F29" s="42">
        <v>0.26</v>
      </c>
      <c r="G29" s="42">
        <v>4.33</v>
      </c>
      <c r="H29" s="42">
        <v>4.8499999999999996</v>
      </c>
      <c r="I29" s="42">
        <v>1.77</v>
      </c>
      <c r="J29" s="46">
        <v>2.27</v>
      </c>
      <c r="L29" s="44" t="s">
        <v>1969</v>
      </c>
      <c r="M29" s="42">
        <v>2.87</v>
      </c>
      <c r="N29" s="42">
        <v>5.45</v>
      </c>
      <c r="O29" s="42">
        <v>5.14</v>
      </c>
      <c r="P29" s="42">
        <v>6.05</v>
      </c>
      <c r="Q29" s="42">
        <v>0</v>
      </c>
      <c r="R29" s="42">
        <v>2.65</v>
      </c>
      <c r="S29" s="42">
        <v>3.04</v>
      </c>
      <c r="T29" s="46">
        <v>3.48</v>
      </c>
      <c r="V29" s="44" t="s">
        <v>1970</v>
      </c>
      <c r="W29" s="42">
        <v>3.9</v>
      </c>
      <c r="X29" s="42">
        <v>4.2699999999999996</v>
      </c>
      <c r="Y29" s="42">
        <v>4.1399999999999997</v>
      </c>
      <c r="Z29" s="42">
        <v>4.25</v>
      </c>
      <c r="AA29" s="42">
        <v>3.59</v>
      </c>
      <c r="AB29" s="42">
        <v>3.13</v>
      </c>
      <c r="AC29" s="42">
        <v>1.59</v>
      </c>
      <c r="AD29" s="46">
        <v>1.25</v>
      </c>
      <c r="AF29" s="44" t="s">
        <v>1971</v>
      </c>
      <c r="AG29" s="42">
        <v>4.1500000000000004</v>
      </c>
      <c r="AH29" s="42">
        <v>6.08</v>
      </c>
      <c r="AI29" s="42">
        <v>3.74</v>
      </c>
      <c r="AJ29" s="42">
        <v>5.15</v>
      </c>
      <c r="AK29" s="42">
        <v>5.45</v>
      </c>
      <c r="AL29" s="42">
        <v>1.82</v>
      </c>
      <c r="AM29" s="42">
        <v>3.75</v>
      </c>
      <c r="AN29" s="46">
        <v>0</v>
      </c>
      <c r="AP29" s="44" t="s">
        <v>1972</v>
      </c>
      <c r="AQ29" s="42">
        <v>0</v>
      </c>
      <c r="AR29" s="42">
        <v>1.17</v>
      </c>
      <c r="AS29" s="42">
        <v>2.59</v>
      </c>
      <c r="AT29" s="42">
        <v>3.56</v>
      </c>
      <c r="AU29" s="42">
        <v>1.37</v>
      </c>
      <c r="AV29" s="42">
        <v>1.17</v>
      </c>
      <c r="AW29" s="42">
        <v>1.37</v>
      </c>
      <c r="AX29" s="46">
        <v>0</v>
      </c>
      <c r="AZ29" s="44" t="s">
        <v>1973</v>
      </c>
      <c r="BA29" s="42">
        <v>1.17</v>
      </c>
      <c r="BB29" s="42">
        <v>0.39</v>
      </c>
      <c r="BC29" s="42">
        <v>0.39</v>
      </c>
      <c r="BD29" s="42">
        <v>1.61</v>
      </c>
      <c r="BE29" s="42">
        <v>17.43</v>
      </c>
      <c r="BF29" s="42">
        <v>1.89</v>
      </c>
      <c r="BG29" s="42">
        <v>0.39</v>
      </c>
      <c r="BH29" s="46">
        <v>1.37</v>
      </c>
      <c r="BJ29" s="44" t="s">
        <v>1974</v>
      </c>
      <c r="BK29" s="42">
        <v>14.87</v>
      </c>
      <c r="BL29" s="42">
        <v>1.37</v>
      </c>
      <c r="BM29" s="42">
        <v>1.61</v>
      </c>
      <c r="BN29" s="42">
        <v>3.56</v>
      </c>
      <c r="BO29" s="42">
        <v>1.89</v>
      </c>
      <c r="BP29" s="42">
        <v>2.59</v>
      </c>
      <c r="BQ29" s="42">
        <v>0.24</v>
      </c>
      <c r="BR29" s="46">
        <v>0.2</v>
      </c>
      <c r="BT29" s="44" t="s">
        <v>1975</v>
      </c>
      <c r="BU29" s="42">
        <v>0.85</v>
      </c>
      <c r="BV29" s="42">
        <v>0.45</v>
      </c>
      <c r="BW29" s="42">
        <v>0.15</v>
      </c>
      <c r="BX29" s="42">
        <v>1.17</v>
      </c>
      <c r="BY29" s="42">
        <v>2.21</v>
      </c>
      <c r="BZ29" s="42">
        <v>0.73</v>
      </c>
      <c r="CA29" s="42">
        <v>0.45</v>
      </c>
      <c r="CB29" s="46">
        <v>2.59</v>
      </c>
    </row>
    <row r="30" spans="2:80">
      <c r="B30" s="44" t="s">
        <v>1976</v>
      </c>
      <c r="C30" s="42">
        <v>3.01</v>
      </c>
      <c r="D30" s="42">
        <v>4.3600000000000003</v>
      </c>
      <c r="E30" s="42">
        <v>5.31</v>
      </c>
      <c r="F30" s="42">
        <v>5.63</v>
      </c>
      <c r="G30" s="42">
        <v>4.32</v>
      </c>
      <c r="H30" s="42">
        <v>4.88</v>
      </c>
      <c r="I30" s="42">
        <v>1.74</v>
      </c>
      <c r="J30" s="46">
        <v>2.2799999999999998</v>
      </c>
      <c r="L30" s="44" t="s">
        <v>1977</v>
      </c>
      <c r="M30" s="42">
        <v>2.86</v>
      </c>
      <c r="N30" s="42">
        <v>5.49</v>
      </c>
      <c r="O30" s="42">
        <v>5.17</v>
      </c>
      <c r="P30" s="42">
        <v>6.07</v>
      </c>
      <c r="Q30" s="42">
        <v>0</v>
      </c>
      <c r="R30" s="42">
        <v>1.91</v>
      </c>
      <c r="S30" s="42">
        <v>3.05</v>
      </c>
      <c r="T30" s="46">
        <v>3.48</v>
      </c>
      <c r="V30" s="44" t="s">
        <v>1978</v>
      </c>
      <c r="W30" s="42">
        <v>3.92</v>
      </c>
      <c r="X30" s="42">
        <v>4.25</v>
      </c>
      <c r="Y30" s="42">
        <v>4.17</v>
      </c>
      <c r="Z30" s="42">
        <v>4.3099999999999996</v>
      </c>
      <c r="AA30" s="42">
        <v>3.6</v>
      </c>
      <c r="AB30" s="42">
        <v>3.12</v>
      </c>
      <c r="AC30" s="42">
        <v>1.66</v>
      </c>
      <c r="AD30" s="46">
        <v>1.24</v>
      </c>
      <c r="AF30" s="44" t="s">
        <v>1979</v>
      </c>
      <c r="AG30" s="42">
        <v>4.1500000000000004</v>
      </c>
      <c r="AH30" s="42">
        <v>6.13</v>
      </c>
      <c r="AI30" s="42">
        <v>3.76</v>
      </c>
      <c r="AJ30" s="42">
        <v>5.2</v>
      </c>
      <c r="AK30" s="42">
        <v>5.45</v>
      </c>
      <c r="AL30" s="42">
        <v>1.85</v>
      </c>
      <c r="AM30" s="42">
        <v>1.78</v>
      </c>
      <c r="AN30" s="46">
        <v>0</v>
      </c>
      <c r="AP30" s="44" t="s">
        <v>1980</v>
      </c>
      <c r="AQ30" s="42">
        <v>2.21</v>
      </c>
      <c r="AR30" s="42">
        <v>0</v>
      </c>
      <c r="AS30" s="42">
        <v>2.59</v>
      </c>
      <c r="AT30" s="42">
        <v>3.56</v>
      </c>
      <c r="AU30" s="42">
        <v>1.37</v>
      </c>
      <c r="AV30" s="42">
        <v>1.37</v>
      </c>
      <c r="AW30" s="42">
        <v>1.37</v>
      </c>
      <c r="AX30" s="46">
        <v>0</v>
      </c>
      <c r="AZ30" s="44" t="s">
        <v>1981</v>
      </c>
      <c r="BA30" s="42">
        <v>0.53</v>
      </c>
      <c r="BB30" s="42">
        <v>4.8899999999999997</v>
      </c>
      <c r="BC30" s="42">
        <v>0.39</v>
      </c>
      <c r="BD30" s="42">
        <v>1.61</v>
      </c>
      <c r="BE30" s="42">
        <v>2.59</v>
      </c>
      <c r="BF30" s="42">
        <v>1.89</v>
      </c>
      <c r="BG30" s="42">
        <v>0.73</v>
      </c>
      <c r="BH30" s="46">
        <v>1.17</v>
      </c>
      <c r="BJ30" s="44" t="s">
        <v>1982</v>
      </c>
      <c r="BK30" s="42">
        <v>14.87</v>
      </c>
      <c r="BL30" s="42">
        <v>1.37</v>
      </c>
      <c r="BM30" s="42">
        <v>1.61</v>
      </c>
      <c r="BN30" s="42">
        <v>1.89</v>
      </c>
      <c r="BO30" s="42">
        <v>1.89</v>
      </c>
      <c r="BP30" s="42">
        <v>2.59</v>
      </c>
      <c r="BQ30" s="42">
        <v>0.24</v>
      </c>
      <c r="BR30" s="46">
        <v>0.24</v>
      </c>
      <c r="BT30" s="44" t="s">
        <v>1983</v>
      </c>
      <c r="BU30" s="42">
        <v>0.85</v>
      </c>
      <c r="BV30" s="42">
        <v>0.45</v>
      </c>
      <c r="BW30" s="42">
        <v>0.15</v>
      </c>
      <c r="BX30" s="42">
        <v>1.37</v>
      </c>
      <c r="BY30" s="42">
        <v>0</v>
      </c>
      <c r="BZ30" s="42">
        <v>0.73</v>
      </c>
      <c r="CA30" s="42">
        <v>0.24</v>
      </c>
      <c r="CB30" s="46">
        <v>3.56</v>
      </c>
    </row>
    <row r="31" spans="2:80">
      <c r="B31" s="44" t="s">
        <v>1984</v>
      </c>
      <c r="C31" s="42">
        <v>2.99</v>
      </c>
      <c r="D31" s="42">
        <v>4.3899999999999997</v>
      </c>
      <c r="E31" s="42">
        <v>5.29</v>
      </c>
      <c r="F31" s="42">
        <v>5.61</v>
      </c>
      <c r="G31" s="42">
        <v>4.3600000000000003</v>
      </c>
      <c r="H31" s="42">
        <v>4.8499999999999996</v>
      </c>
      <c r="I31" s="42">
        <v>1.74</v>
      </c>
      <c r="J31" s="46">
        <v>2.2999999999999998</v>
      </c>
      <c r="L31" s="44" t="s">
        <v>1985</v>
      </c>
      <c r="M31" s="42">
        <v>2.85</v>
      </c>
      <c r="N31" s="42">
        <v>4.01</v>
      </c>
      <c r="O31" s="42">
        <v>5.17</v>
      </c>
      <c r="P31" s="42">
        <v>0.78</v>
      </c>
      <c r="Q31" s="42">
        <v>5.15</v>
      </c>
      <c r="R31" s="42">
        <v>3.73</v>
      </c>
      <c r="S31" s="42">
        <v>3.03</v>
      </c>
      <c r="T31" s="46">
        <v>2.5099999999999998</v>
      </c>
      <c r="V31" s="44" t="s">
        <v>1986</v>
      </c>
      <c r="W31" s="42">
        <v>3.89</v>
      </c>
      <c r="X31" s="42">
        <v>4.29</v>
      </c>
      <c r="Y31" s="42">
        <v>4.26</v>
      </c>
      <c r="Z31" s="42">
        <v>4.3099999999999996</v>
      </c>
      <c r="AA31" s="42">
        <v>3.62</v>
      </c>
      <c r="AB31" s="42">
        <v>3.15</v>
      </c>
      <c r="AC31" s="42">
        <v>1.64</v>
      </c>
      <c r="AD31" s="46">
        <v>1.23</v>
      </c>
      <c r="AF31" s="44" t="s">
        <v>1987</v>
      </c>
      <c r="AG31" s="42">
        <v>4.1399999999999997</v>
      </c>
      <c r="AH31" s="42">
        <v>6.12</v>
      </c>
      <c r="AI31" s="42">
        <v>3.77</v>
      </c>
      <c r="AJ31" s="42">
        <v>5.31</v>
      </c>
      <c r="AK31" s="42">
        <v>1.35</v>
      </c>
      <c r="AL31" s="42">
        <v>1.83</v>
      </c>
      <c r="AM31" s="42">
        <v>3.72</v>
      </c>
      <c r="AN31" s="46">
        <v>3.1</v>
      </c>
      <c r="AP31" s="44" t="s">
        <v>1988</v>
      </c>
      <c r="AQ31" s="42">
        <v>2.21</v>
      </c>
      <c r="AR31" s="42">
        <v>0</v>
      </c>
      <c r="AS31" s="42">
        <v>0</v>
      </c>
      <c r="AT31" s="42">
        <v>2.59</v>
      </c>
      <c r="AU31" s="42">
        <v>1.37</v>
      </c>
      <c r="AV31" s="42">
        <v>85.32</v>
      </c>
      <c r="AW31" s="42">
        <v>1.37</v>
      </c>
      <c r="AX31" s="46">
        <v>1.17</v>
      </c>
      <c r="AZ31" s="44" t="s">
        <v>1989</v>
      </c>
      <c r="BA31" s="42">
        <v>0.53</v>
      </c>
      <c r="BB31" s="42">
        <v>4.18</v>
      </c>
      <c r="BC31" s="42">
        <v>0.39</v>
      </c>
      <c r="BD31" s="42">
        <v>1.61</v>
      </c>
      <c r="BE31" s="42">
        <v>2.59</v>
      </c>
      <c r="BF31" s="42">
        <v>1.61</v>
      </c>
      <c r="BG31" s="42">
        <v>0.73</v>
      </c>
      <c r="BH31" s="46">
        <v>1.17</v>
      </c>
      <c r="BJ31" s="44" t="s">
        <v>1990</v>
      </c>
      <c r="BK31" s="42">
        <v>14.87</v>
      </c>
      <c r="BL31" s="42">
        <v>1.17</v>
      </c>
      <c r="BM31" s="42">
        <v>1.61</v>
      </c>
      <c r="BN31" s="42">
        <v>3.56</v>
      </c>
      <c r="BO31" s="42">
        <v>1.61</v>
      </c>
      <c r="BP31" s="42">
        <v>4.18</v>
      </c>
      <c r="BQ31" s="42">
        <v>0.24</v>
      </c>
      <c r="BR31" s="46">
        <v>0.2</v>
      </c>
      <c r="BT31" s="44" t="s">
        <v>1991</v>
      </c>
      <c r="BU31" s="42">
        <v>0</v>
      </c>
      <c r="BV31" s="42">
        <v>6.72</v>
      </c>
      <c r="BW31" s="42">
        <v>0.13</v>
      </c>
      <c r="BX31" s="42">
        <v>2.21</v>
      </c>
      <c r="BY31" s="42">
        <v>1.61</v>
      </c>
      <c r="BZ31" s="42">
        <v>0.33</v>
      </c>
      <c r="CA31" s="42">
        <v>0.33</v>
      </c>
      <c r="CB31" s="46">
        <v>3.56</v>
      </c>
    </row>
    <row r="32" spans="2:80">
      <c r="B32" s="44" t="s">
        <v>1992</v>
      </c>
      <c r="C32" s="42">
        <v>3</v>
      </c>
      <c r="D32" s="42">
        <v>4.41</v>
      </c>
      <c r="E32" s="42">
        <v>5.29</v>
      </c>
      <c r="F32" s="42">
        <v>5.63</v>
      </c>
      <c r="G32" s="42">
        <v>4.32</v>
      </c>
      <c r="H32" s="42">
        <v>4.83</v>
      </c>
      <c r="I32" s="42">
        <v>1.79</v>
      </c>
      <c r="J32" s="46">
        <v>0.93</v>
      </c>
      <c r="L32" s="44" t="s">
        <v>1993</v>
      </c>
      <c r="M32" s="42">
        <v>2.86</v>
      </c>
      <c r="N32" s="42">
        <v>5.46</v>
      </c>
      <c r="O32" s="42">
        <v>1.73</v>
      </c>
      <c r="P32" s="42">
        <v>6.08</v>
      </c>
      <c r="Q32" s="42">
        <v>5.13</v>
      </c>
      <c r="R32" s="42">
        <v>3.74</v>
      </c>
      <c r="S32" s="42">
        <v>3.04</v>
      </c>
      <c r="T32" s="46">
        <v>3.42</v>
      </c>
      <c r="V32" s="44" t="s">
        <v>1994</v>
      </c>
      <c r="W32" s="42">
        <v>3.9</v>
      </c>
      <c r="X32" s="42">
        <v>4.28</v>
      </c>
      <c r="Y32" s="42">
        <v>4.12</v>
      </c>
      <c r="Z32" s="42">
        <v>0.35</v>
      </c>
      <c r="AA32" s="42">
        <v>3.64</v>
      </c>
      <c r="AB32" s="42">
        <v>3.15</v>
      </c>
      <c r="AC32" s="42">
        <v>1.62</v>
      </c>
      <c r="AD32" s="46">
        <v>1.27</v>
      </c>
      <c r="AF32" s="44" t="s">
        <v>1995</v>
      </c>
      <c r="AG32" s="42">
        <v>4.16</v>
      </c>
      <c r="AH32" s="42">
        <v>6.06</v>
      </c>
      <c r="AI32" s="42">
        <v>3.78</v>
      </c>
      <c r="AJ32" s="42">
        <v>5.17</v>
      </c>
      <c r="AK32" s="42">
        <v>5.46</v>
      </c>
      <c r="AL32" s="42">
        <v>1.82</v>
      </c>
      <c r="AM32" s="42">
        <v>3.76</v>
      </c>
      <c r="AN32" s="46">
        <v>3.06</v>
      </c>
      <c r="AP32" s="44" t="s">
        <v>1996</v>
      </c>
      <c r="AQ32" s="42">
        <v>2.21</v>
      </c>
      <c r="AR32" s="42">
        <v>1.17</v>
      </c>
      <c r="AS32" s="42">
        <v>9.24</v>
      </c>
      <c r="AT32" s="42">
        <v>3.56</v>
      </c>
      <c r="AU32" s="42">
        <v>1.37</v>
      </c>
      <c r="AV32" s="42">
        <v>1.37</v>
      </c>
      <c r="AW32" s="42">
        <v>1.17</v>
      </c>
      <c r="AX32" s="46">
        <v>0.85</v>
      </c>
      <c r="AZ32" s="44" t="s">
        <v>1997</v>
      </c>
      <c r="BA32" s="42">
        <v>0.62</v>
      </c>
      <c r="BB32" s="42">
        <v>4.8899999999999997</v>
      </c>
      <c r="BC32" s="42">
        <v>0.39</v>
      </c>
      <c r="BD32" s="42">
        <v>1.61</v>
      </c>
      <c r="BE32" s="42">
        <v>2.21</v>
      </c>
      <c r="BF32" s="42">
        <v>1.61</v>
      </c>
      <c r="BG32" s="42">
        <v>0.62</v>
      </c>
      <c r="BH32" s="46">
        <v>0</v>
      </c>
      <c r="BJ32" s="44" t="s">
        <v>1998</v>
      </c>
      <c r="BK32" s="42">
        <v>14.87</v>
      </c>
      <c r="BL32" s="42">
        <v>1.61</v>
      </c>
      <c r="BM32" s="42">
        <v>1.89</v>
      </c>
      <c r="BN32" s="42">
        <v>4.18</v>
      </c>
      <c r="BO32" s="42">
        <v>1.89</v>
      </c>
      <c r="BP32" s="42">
        <v>2.21</v>
      </c>
      <c r="BQ32" s="42">
        <v>0.24</v>
      </c>
      <c r="BR32" s="46">
        <v>0.2</v>
      </c>
      <c r="BT32" s="44" t="s">
        <v>1999</v>
      </c>
      <c r="BU32" s="42">
        <v>0.85</v>
      </c>
      <c r="BV32" s="42">
        <v>0.45</v>
      </c>
      <c r="BW32" s="42">
        <v>0.15</v>
      </c>
      <c r="BX32" s="42">
        <v>1.17</v>
      </c>
      <c r="BY32" s="42">
        <v>1.89</v>
      </c>
      <c r="BZ32" s="42">
        <v>0.73</v>
      </c>
      <c r="CA32" s="42">
        <v>0.28000000000000003</v>
      </c>
      <c r="CB32" s="46">
        <v>2.21</v>
      </c>
    </row>
    <row r="33" spans="2:80">
      <c r="B33" s="44" t="s">
        <v>2000</v>
      </c>
      <c r="C33" s="42">
        <v>3.03</v>
      </c>
      <c r="D33" s="42">
        <v>4.37</v>
      </c>
      <c r="E33" s="42">
        <v>5.28</v>
      </c>
      <c r="F33" s="42">
        <v>1.1000000000000001</v>
      </c>
      <c r="G33" s="42">
        <v>4.3</v>
      </c>
      <c r="H33" s="42">
        <v>4.8</v>
      </c>
      <c r="I33" s="42">
        <v>1.77</v>
      </c>
      <c r="J33" s="46">
        <v>2.2599999999999998</v>
      </c>
      <c r="L33" s="44" t="s">
        <v>2001</v>
      </c>
      <c r="M33" s="42">
        <v>2.86</v>
      </c>
      <c r="N33" s="42">
        <v>5.45</v>
      </c>
      <c r="O33" s="42">
        <v>5.17</v>
      </c>
      <c r="P33" s="42">
        <v>6.04</v>
      </c>
      <c r="Q33" s="42">
        <v>5.13</v>
      </c>
      <c r="R33" s="42">
        <v>3.72</v>
      </c>
      <c r="S33" s="42">
        <v>3.05</v>
      </c>
      <c r="T33" s="46">
        <v>3.47</v>
      </c>
      <c r="V33" s="44" t="s">
        <v>2002</v>
      </c>
      <c r="W33" s="42">
        <v>3.9</v>
      </c>
      <c r="X33" s="42">
        <v>4.32</v>
      </c>
      <c r="Y33" s="42">
        <v>4.1399999999999997</v>
      </c>
      <c r="Z33" s="42">
        <v>4.29</v>
      </c>
      <c r="AA33" s="42">
        <v>3.66</v>
      </c>
      <c r="AB33" s="42">
        <v>3.15</v>
      </c>
      <c r="AC33" s="42">
        <v>1.66</v>
      </c>
      <c r="AD33" s="46">
        <v>1.27</v>
      </c>
      <c r="AF33" s="44" t="s">
        <v>2003</v>
      </c>
      <c r="AG33" s="42">
        <v>4.16</v>
      </c>
      <c r="AH33" s="42">
        <v>6.11</v>
      </c>
      <c r="AI33" s="42">
        <v>3.79</v>
      </c>
      <c r="AJ33" s="42">
        <v>3.59</v>
      </c>
      <c r="AK33" s="42">
        <v>5.45</v>
      </c>
      <c r="AL33" s="42">
        <v>1.83</v>
      </c>
      <c r="AM33" s="42">
        <v>3.74</v>
      </c>
      <c r="AN33" s="46">
        <v>0</v>
      </c>
      <c r="AP33" s="44" t="s">
        <v>2004</v>
      </c>
      <c r="AQ33" s="42">
        <v>2.21</v>
      </c>
      <c r="AR33" s="42">
        <v>1.17</v>
      </c>
      <c r="AS33" s="42">
        <v>2.21</v>
      </c>
      <c r="AT33" s="42">
        <v>3.56</v>
      </c>
      <c r="AU33" s="42">
        <v>1.37</v>
      </c>
      <c r="AV33" s="42">
        <v>1.37</v>
      </c>
      <c r="AW33" s="42">
        <v>1.17</v>
      </c>
      <c r="AX33" s="46">
        <v>0</v>
      </c>
      <c r="AZ33" s="44" t="s">
        <v>2005</v>
      </c>
      <c r="BA33" s="42">
        <v>0.53</v>
      </c>
      <c r="BB33" s="42">
        <v>4.18</v>
      </c>
      <c r="BC33" s="42">
        <v>0.39</v>
      </c>
      <c r="BD33" s="42">
        <v>1.89</v>
      </c>
      <c r="BE33" s="42">
        <v>2.21</v>
      </c>
      <c r="BF33" s="42">
        <v>9.24</v>
      </c>
      <c r="BG33" s="42">
        <v>0.62</v>
      </c>
      <c r="BH33" s="46">
        <v>1.17</v>
      </c>
      <c r="BJ33" s="44" t="s">
        <v>2006</v>
      </c>
      <c r="BK33" s="42">
        <v>14.87</v>
      </c>
      <c r="BL33" s="42">
        <v>1.61</v>
      </c>
      <c r="BM33" s="42">
        <v>1.61</v>
      </c>
      <c r="BN33" s="42">
        <v>1.89</v>
      </c>
      <c r="BO33" s="42">
        <v>1.89</v>
      </c>
      <c r="BP33" s="42">
        <v>2.59</v>
      </c>
      <c r="BQ33" s="42">
        <v>0.2</v>
      </c>
      <c r="BR33" s="46">
        <v>0.2</v>
      </c>
      <c r="BT33" s="44" t="s">
        <v>2007</v>
      </c>
      <c r="BU33" s="42">
        <v>0.85</v>
      </c>
      <c r="BV33" s="42">
        <v>0.45</v>
      </c>
      <c r="BW33" s="42">
        <v>0.15</v>
      </c>
      <c r="BX33" s="42">
        <v>0</v>
      </c>
      <c r="BY33" s="42">
        <v>2.21</v>
      </c>
      <c r="BZ33" s="42">
        <v>0.62</v>
      </c>
      <c r="CA33" s="42">
        <v>0.33</v>
      </c>
      <c r="CB33" s="46">
        <v>2.21</v>
      </c>
    </row>
    <row r="34" spans="2:80">
      <c r="B34" s="44" t="s">
        <v>2008</v>
      </c>
      <c r="C34" s="42">
        <v>2.99</v>
      </c>
      <c r="D34" s="42">
        <v>4.4000000000000004</v>
      </c>
      <c r="E34" s="42">
        <v>5.28</v>
      </c>
      <c r="F34" s="42">
        <v>5.67</v>
      </c>
      <c r="G34" s="42">
        <v>4.3099999999999996</v>
      </c>
      <c r="H34" s="42">
        <v>4.18</v>
      </c>
      <c r="I34" s="42">
        <v>1.76</v>
      </c>
      <c r="J34" s="46">
        <v>2.59</v>
      </c>
      <c r="L34" s="44" t="s">
        <v>2009</v>
      </c>
      <c r="M34" s="42">
        <v>2.86</v>
      </c>
      <c r="N34" s="42">
        <v>5.42</v>
      </c>
      <c r="O34" s="42">
        <v>5.15</v>
      </c>
      <c r="P34" s="42">
        <v>6.04</v>
      </c>
      <c r="Q34" s="42">
        <v>0</v>
      </c>
      <c r="R34" s="42">
        <v>3.73</v>
      </c>
      <c r="S34" s="42">
        <v>3.04</v>
      </c>
      <c r="T34" s="46">
        <v>3.41</v>
      </c>
      <c r="V34" s="44" t="s">
        <v>2010</v>
      </c>
      <c r="W34" s="42">
        <v>3.91</v>
      </c>
      <c r="X34" s="42">
        <v>4.2699999999999996</v>
      </c>
      <c r="Y34" s="42">
        <v>4.1900000000000004</v>
      </c>
      <c r="Z34" s="42">
        <v>4.32</v>
      </c>
      <c r="AA34" s="42">
        <v>3.6</v>
      </c>
      <c r="AB34" s="42">
        <v>3.14</v>
      </c>
      <c r="AC34" s="42">
        <v>1.63</v>
      </c>
      <c r="AD34" s="46">
        <v>1.29</v>
      </c>
      <c r="AF34" s="44" t="s">
        <v>2011</v>
      </c>
      <c r="AG34" s="42">
        <v>4.1399999999999997</v>
      </c>
      <c r="AH34" s="42">
        <v>6.12</v>
      </c>
      <c r="AI34" s="42">
        <v>3.75</v>
      </c>
      <c r="AJ34" s="42">
        <v>5.2</v>
      </c>
      <c r="AK34" s="42">
        <v>5.46</v>
      </c>
      <c r="AL34" s="42">
        <v>1.83</v>
      </c>
      <c r="AM34" s="42">
        <v>3.74</v>
      </c>
      <c r="AN34" s="46">
        <v>0</v>
      </c>
      <c r="AP34" s="44" t="s">
        <v>2012</v>
      </c>
      <c r="AQ34" s="42">
        <v>2.59</v>
      </c>
      <c r="AR34" s="42">
        <v>1.17</v>
      </c>
      <c r="AS34" s="42">
        <v>2.59</v>
      </c>
      <c r="AT34" s="42">
        <v>3.56</v>
      </c>
      <c r="AU34" s="42">
        <v>1.61</v>
      </c>
      <c r="AV34" s="42">
        <v>1.17</v>
      </c>
      <c r="AW34" s="42">
        <v>1.17</v>
      </c>
      <c r="AX34" s="46">
        <v>0</v>
      </c>
      <c r="AZ34" s="44" t="s">
        <v>2013</v>
      </c>
      <c r="BA34" s="42">
        <v>0.62</v>
      </c>
      <c r="BB34" s="42">
        <v>4.8899999999999997</v>
      </c>
      <c r="BC34" s="42">
        <v>0.39</v>
      </c>
      <c r="BD34" s="42">
        <v>1.61</v>
      </c>
      <c r="BE34" s="42">
        <v>2.59</v>
      </c>
      <c r="BF34" s="42">
        <v>1.89</v>
      </c>
      <c r="BG34" s="42">
        <v>0.73</v>
      </c>
      <c r="BH34" s="46">
        <v>1.37</v>
      </c>
      <c r="BJ34" s="44" t="s">
        <v>2014</v>
      </c>
      <c r="BK34" s="42">
        <v>14.87</v>
      </c>
      <c r="BL34" s="42">
        <v>1.37</v>
      </c>
      <c r="BM34" s="42">
        <v>1.89</v>
      </c>
      <c r="BN34" s="42">
        <v>3.56</v>
      </c>
      <c r="BO34" s="42">
        <v>1.61</v>
      </c>
      <c r="BP34" s="42">
        <v>2.59</v>
      </c>
      <c r="BQ34" s="42">
        <v>0.24</v>
      </c>
      <c r="BR34" s="46">
        <v>0.2</v>
      </c>
      <c r="BT34" s="44" t="s">
        <v>2015</v>
      </c>
      <c r="BU34" s="42">
        <v>0.85</v>
      </c>
      <c r="BV34" s="42">
        <v>0.45</v>
      </c>
      <c r="BW34" s="42">
        <v>0.15</v>
      </c>
      <c r="BX34" s="42">
        <v>2.21</v>
      </c>
      <c r="BY34" s="42">
        <v>1.89</v>
      </c>
      <c r="BZ34" s="42">
        <v>0.62</v>
      </c>
      <c r="CA34" s="42">
        <v>0.24</v>
      </c>
      <c r="CB34" s="46">
        <v>2.21</v>
      </c>
    </row>
    <row r="35" spans="2:80">
      <c r="B35" s="44" t="s">
        <v>2016</v>
      </c>
      <c r="C35" s="42">
        <v>3</v>
      </c>
      <c r="D35" s="42">
        <v>0</v>
      </c>
      <c r="E35" s="42">
        <v>5.29</v>
      </c>
      <c r="F35" s="42">
        <v>5.67</v>
      </c>
      <c r="G35" s="42">
        <v>4.3499999999999996</v>
      </c>
      <c r="H35" s="42">
        <v>4.8099999999999996</v>
      </c>
      <c r="I35" s="42">
        <v>1.77</v>
      </c>
      <c r="J35" s="46">
        <v>2.2599999999999998</v>
      </c>
      <c r="L35" s="44" t="s">
        <v>2017</v>
      </c>
      <c r="M35" s="42">
        <v>2.77</v>
      </c>
      <c r="N35" s="42">
        <v>0.93</v>
      </c>
      <c r="O35" s="42">
        <v>5.18</v>
      </c>
      <c r="P35" s="42">
        <v>0.03</v>
      </c>
      <c r="Q35" s="42">
        <v>0</v>
      </c>
      <c r="R35" s="42">
        <v>2.4300000000000002</v>
      </c>
      <c r="S35" s="42">
        <v>3.06</v>
      </c>
      <c r="T35" s="46">
        <v>4.1500000000000004</v>
      </c>
      <c r="V35" s="44" t="s">
        <v>2018</v>
      </c>
      <c r="W35" s="42">
        <v>3.95</v>
      </c>
      <c r="X35" s="42">
        <v>1.48</v>
      </c>
      <c r="Y35" s="42">
        <v>4.17</v>
      </c>
      <c r="Z35" s="42">
        <v>4.34</v>
      </c>
      <c r="AA35" s="42">
        <v>3.57</v>
      </c>
      <c r="AB35" s="42">
        <v>3.16</v>
      </c>
      <c r="AC35" s="42">
        <v>1.63</v>
      </c>
      <c r="AD35" s="46">
        <v>1.28</v>
      </c>
      <c r="AF35" s="44" t="s">
        <v>2019</v>
      </c>
      <c r="AG35" s="42">
        <v>2.41</v>
      </c>
      <c r="AH35" s="42">
        <v>6.05</v>
      </c>
      <c r="AI35" s="42">
        <v>3.73</v>
      </c>
      <c r="AJ35" s="42">
        <v>3.16</v>
      </c>
      <c r="AK35" s="42">
        <v>5.2</v>
      </c>
      <c r="AL35" s="42">
        <v>1.82</v>
      </c>
      <c r="AM35" s="42">
        <v>3.76</v>
      </c>
      <c r="AN35" s="46">
        <v>3.99</v>
      </c>
      <c r="AP35" s="44" t="s">
        <v>2020</v>
      </c>
      <c r="AQ35" s="42">
        <v>0.85</v>
      </c>
      <c r="AR35" s="42">
        <v>1.17</v>
      </c>
      <c r="AS35" s="42">
        <v>2.59</v>
      </c>
      <c r="AT35" s="42">
        <v>3.04</v>
      </c>
      <c r="AU35" s="42">
        <v>1.37</v>
      </c>
      <c r="AV35" s="42">
        <v>1.37</v>
      </c>
      <c r="AW35" s="42">
        <v>1.17</v>
      </c>
      <c r="AX35" s="46">
        <v>0</v>
      </c>
      <c r="AZ35" s="44" t="s">
        <v>2021</v>
      </c>
      <c r="BA35" s="42">
        <v>0.53</v>
      </c>
      <c r="BB35" s="42">
        <v>4.18</v>
      </c>
      <c r="BC35" s="42">
        <v>0.33</v>
      </c>
      <c r="BD35" s="42">
        <v>1.61</v>
      </c>
      <c r="BE35" s="42">
        <v>2.59</v>
      </c>
      <c r="BF35" s="42">
        <v>1.61</v>
      </c>
      <c r="BG35" s="42">
        <v>0.73</v>
      </c>
      <c r="BH35" s="46">
        <v>1.17</v>
      </c>
      <c r="BJ35" s="44" t="s">
        <v>2022</v>
      </c>
      <c r="BK35" s="42">
        <v>4.8899999999999997</v>
      </c>
      <c r="BL35" s="42">
        <v>1.37</v>
      </c>
      <c r="BM35" s="42">
        <v>1.61</v>
      </c>
      <c r="BN35" s="42">
        <v>3.56</v>
      </c>
      <c r="BO35" s="42">
        <v>1.89</v>
      </c>
      <c r="BP35" s="42">
        <v>2.21</v>
      </c>
      <c r="BQ35" s="42">
        <v>0.24</v>
      </c>
      <c r="BR35" s="46">
        <v>0.2</v>
      </c>
      <c r="BT35" s="44" t="s">
        <v>2023</v>
      </c>
      <c r="BU35" s="42">
        <v>0.85</v>
      </c>
      <c r="BV35" s="42">
        <v>0.45</v>
      </c>
      <c r="BW35" s="42">
        <v>0.15</v>
      </c>
      <c r="BX35" s="42">
        <v>7.88</v>
      </c>
      <c r="BY35" s="42">
        <v>2.21</v>
      </c>
      <c r="BZ35" s="42">
        <v>0.33</v>
      </c>
      <c r="CA35" s="42">
        <v>0.28000000000000003</v>
      </c>
      <c r="CB35" s="46">
        <v>2.21</v>
      </c>
    </row>
    <row r="36" spans="2:80">
      <c r="B36" s="44" t="s">
        <v>2024</v>
      </c>
      <c r="C36" s="42">
        <v>2.99</v>
      </c>
      <c r="D36" s="42">
        <v>4.4000000000000004</v>
      </c>
      <c r="E36" s="42">
        <v>5.31</v>
      </c>
      <c r="F36" s="42">
        <v>5.61</v>
      </c>
      <c r="G36" s="42">
        <v>1.06</v>
      </c>
      <c r="H36" s="42">
        <v>4.82</v>
      </c>
      <c r="I36" s="42">
        <v>1.75</v>
      </c>
      <c r="J36" s="46">
        <v>3.26</v>
      </c>
      <c r="L36" s="44" t="s">
        <v>2025</v>
      </c>
      <c r="M36" s="42">
        <v>2.8</v>
      </c>
      <c r="N36" s="42">
        <v>5.47</v>
      </c>
      <c r="O36" s="42">
        <v>0</v>
      </c>
      <c r="P36" s="42">
        <v>6.05</v>
      </c>
      <c r="Q36" s="42">
        <v>0</v>
      </c>
      <c r="R36" s="42">
        <v>3.76</v>
      </c>
      <c r="S36" s="42">
        <v>3.11</v>
      </c>
      <c r="T36" s="46">
        <v>3.41</v>
      </c>
      <c r="V36" s="44" t="s">
        <v>2026</v>
      </c>
      <c r="W36" s="42">
        <v>3.9</v>
      </c>
      <c r="X36" s="42">
        <v>4.26</v>
      </c>
      <c r="Y36" s="42">
        <v>4.04</v>
      </c>
      <c r="Z36" s="42">
        <v>4.3</v>
      </c>
      <c r="AA36" s="42">
        <v>3.57</v>
      </c>
      <c r="AB36" s="42">
        <v>3.12</v>
      </c>
      <c r="AC36" s="42">
        <v>1.61</v>
      </c>
      <c r="AD36" s="46">
        <v>1.22</v>
      </c>
      <c r="AF36" s="44" t="s">
        <v>2027</v>
      </c>
      <c r="AG36" s="42">
        <v>4.16</v>
      </c>
      <c r="AH36" s="42">
        <v>3.27</v>
      </c>
      <c r="AI36" s="42">
        <v>3.77</v>
      </c>
      <c r="AJ36" s="42">
        <v>5.15</v>
      </c>
      <c r="AK36" s="42">
        <v>5.41</v>
      </c>
      <c r="AL36" s="42">
        <v>1.87</v>
      </c>
      <c r="AM36" s="42">
        <v>3.75</v>
      </c>
      <c r="AN36" s="46">
        <v>3.11</v>
      </c>
      <c r="AP36" s="44" t="s">
        <v>2028</v>
      </c>
      <c r="AQ36" s="42">
        <v>0.85</v>
      </c>
      <c r="AR36" s="42">
        <v>0</v>
      </c>
      <c r="AS36" s="42">
        <v>0</v>
      </c>
      <c r="AT36" s="42">
        <v>3.04</v>
      </c>
      <c r="AU36" s="42">
        <v>1.61</v>
      </c>
      <c r="AV36" s="42">
        <v>85.32</v>
      </c>
      <c r="AW36" s="42">
        <v>0.39</v>
      </c>
      <c r="AX36" s="46">
        <v>3.04</v>
      </c>
      <c r="AZ36" s="44" t="s">
        <v>2029</v>
      </c>
      <c r="BA36" s="42">
        <v>0.53</v>
      </c>
      <c r="BB36" s="42">
        <v>0.45</v>
      </c>
      <c r="BC36" s="42">
        <v>0.39</v>
      </c>
      <c r="BD36" s="42">
        <v>1.61</v>
      </c>
      <c r="BE36" s="42">
        <v>2.59</v>
      </c>
      <c r="BF36" s="42">
        <v>9.24</v>
      </c>
      <c r="BG36" s="42">
        <v>0.73</v>
      </c>
      <c r="BH36" s="46">
        <v>1.17</v>
      </c>
      <c r="BJ36" s="44" t="s">
        <v>2030</v>
      </c>
      <c r="BK36" s="42">
        <v>12.69</v>
      </c>
      <c r="BL36" s="42">
        <v>1.37</v>
      </c>
      <c r="BM36" s="42">
        <v>1.61</v>
      </c>
      <c r="BN36" s="42">
        <v>3.56</v>
      </c>
      <c r="BO36" s="42">
        <v>1.89</v>
      </c>
      <c r="BP36" s="42">
        <v>2.59</v>
      </c>
      <c r="BQ36" s="42">
        <v>0.24</v>
      </c>
      <c r="BR36" s="46">
        <v>0.24</v>
      </c>
      <c r="BT36" s="44" t="s">
        <v>2031</v>
      </c>
      <c r="BU36" s="42">
        <v>0.85</v>
      </c>
      <c r="BV36" s="42">
        <v>0.45</v>
      </c>
      <c r="BW36" s="42">
        <v>0.15</v>
      </c>
      <c r="BX36" s="42">
        <v>0</v>
      </c>
      <c r="BY36" s="42">
        <v>1.61</v>
      </c>
      <c r="BZ36" s="42">
        <v>0.24</v>
      </c>
      <c r="CA36" s="42">
        <v>0.28000000000000003</v>
      </c>
      <c r="CB36" s="46">
        <v>1.89</v>
      </c>
    </row>
    <row r="37" spans="2:80">
      <c r="B37" s="44" t="s">
        <v>2032</v>
      </c>
      <c r="C37" s="42">
        <v>3</v>
      </c>
      <c r="D37" s="42">
        <v>4.3899999999999997</v>
      </c>
      <c r="E37" s="42">
        <v>5.3</v>
      </c>
      <c r="F37" s="42">
        <v>2.64</v>
      </c>
      <c r="G37" s="42">
        <v>4.33</v>
      </c>
      <c r="H37" s="42">
        <v>4.82</v>
      </c>
      <c r="I37" s="42">
        <v>1.79</v>
      </c>
      <c r="J37" s="46">
        <v>2.23</v>
      </c>
      <c r="L37" s="44" t="s">
        <v>2033</v>
      </c>
      <c r="M37" s="42">
        <v>2.86</v>
      </c>
      <c r="N37" s="42">
        <v>5.47</v>
      </c>
      <c r="O37" s="42">
        <v>5.14</v>
      </c>
      <c r="P37" s="42">
        <v>6.08</v>
      </c>
      <c r="Q37" s="42">
        <v>0</v>
      </c>
      <c r="R37" s="42">
        <v>3.71</v>
      </c>
      <c r="S37" s="42">
        <v>3.08</v>
      </c>
      <c r="T37" s="46">
        <v>3.47</v>
      </c>
      <c r="V37" s="44" t="s">
        <v>2034</v>
      </c>
      <c r="W37" s="42">
        <v>3.91</v>
      </c>
      <c r="X37" s="42">
        <v>4.2699999999999996</v>
      </c>
      <c r="Y37" s="42">
        <v>4.16</v>
      </c>
      <c r="Z37" s="42">
        <v>4.3099999999999996</v>
      </c>
      <c r="AA37" s="42">
        <v>3.6</v>
      </c>
      <c r="AB37" s="42">
        <v>3.16</v>
      </c>
      <c r="AC37" s="42">
        <v>1.61</v>
      </c>
      <c r="AD37" s="46">
        <v>1.23</v>
      </c>
      <c r="AF37" s="44" t="s">
        <v>2035</v>
      </c>
      <c r="AG37" s="42">
        <v>4.17</v>
      </c>
      <c r="AH37" s="42">
        <v>6.08</v>
      </c>
      <c r="AI37" s="42">
        <v>3.78</v>
      </c>
      <c r="AJ37" s="42">
        <v>5.15</v>
      </c>
      <c r="AK37" s="42">
        <v>5.44</v>
      </c>
      <c r="AL37" s="42">
        <v>1.84</v>
      </c>
      <c r="AM37" s="42">
        <v>3.77</v>
      </c>
      <c r="AN37" s="46">
        <v>3.1</v>
      </c>
      <c r="AP37" s="44" t="s">
        <v>2036</v>
      </c>
      <c r="AQ37" s="42">
        <v>0</v>
      </c>
      <c r="AR37" s="42">
        <v>1.17</v>
      </c>
      <c r="AS37" s="42">
        <v>2.59</v>
      </c>
      <c r="AT37" s="42">
        <v>3.56</v>
      </c>
      <c r="AU37" s="42">
        <v>1.37</v>
      </c>
      <c r="AV37" s="42">
        <v>99.99</v>
      </c>
      <c r="AW37" s="42">
        <v>1.17</v>
      </c>
      <c r="AX37" s="46">
        <v>0</v>
      </c>
      <c r="AZ37" s="44" t="s">
        <v>2037</v>
      </c>
      <c r="BA37" s="42">
        <v>0.53</v>
      </c>
      <c r="BB37" s="42">
        <v>4.18</v>
      </c>
      <c r="BC37" s="42">
        <v>0.39</v>
      </c>
      <c r="BD37" s="42">
        <v>1.61</v>
      </c>
      <c r="BE37" s="42">
        <v>2.21</v>
      </c>
      <c r="BF37" s="42">
        <v>1.89</v>
      </c>
      <c r="BG37" s="42">
        <v>0.73</v>
      </c>
      <c r="BH37" s="46">
        <v>1.17</v>
      </c>
      <c r="BJ37" s="44" t="s">
        <v>2038</v>
      </c>
      <c r="BK37" s="42">
        <v>10.83</v>
      </c>
      <c r="BL37" s="42">
        <v>0.85</v>
      </c>
      <c r="BM37" s="42">
        <v>1.89</v>
      </c>
      <c r="BN37" s="42">
        <v>1.89</v>
      </c>
      <c r="BO37" s="42">
        <v>1.37</v>
      </c>
      <c r="BP37" s="42">
        <v>3.56</v>
      </c>
      <c r="BQ37" s="42">
        <v>0.2</v>
      </c>
      <c r="BR37" s="46">
        <v>0.45</v>
      </c>
      <c r="BT37" s="44" t="s">
        <v>2039</v>
      </c>
      <c r="BU37" s="42">
        <v>0</v>
      </c>
      <c r="BV37" s="42">
        <v>0.45</v>
      </c>
      <c r="BW37" s="42">
        <v>0.13</v>
      </c>
      <c r="BX37" s="42">
        <v>1.17</v>
      </c>
      <c r="BY37" s="42">
        <v>2.21</v>
      </c>
      <c r="BZ37" s="42">
        <v>0.73</v>
      </c>
      <c r="CA37" s="42">
        <v>0.33</v>
      </c>
      <c r="CB37" s="46">
        <v>2.21</v>
      </c>
    </row>
    <row r="38" spans="2:80">
      <c r="B38" s="44" t="s">
        <v>2040</v>
      </c>
      <c r="C38" s="42">
        <v>2.99</v>
      </c>
      <c r="D38" s="42">
        <v>4.41</v>
      </c>
      <c r="E38" s="42">
        <v>5.29</v>
      </c>
      <c r="F38" s="42">
        <v>5.63</v>
      </c>
      <c r="G38" s="42">
        <v>4.32</v>
      </c>
      <c r="H38" s="42">
        <v>4.8499999999999996</v>
      </c>
      <c r="I38" s="42">
        <v>1.74</v>
      </c>
      <c r="J38" s="46">
        <v>2.2000000000000002</v>
      </c>
      <c r="L38" s="44" t="s">
        <v>2041</v>
      </c>
      <c r="M38" s="42">
        <v>2.86</v>
      </c>
      <c r="N38" s="42">
        <v>5.51</v>
      </c>
      <c r="O38" s="42">
        <v>5.18</v>
      </c>
      <c r="P38" s="42">
        <v>6.1</v>
      </c>
      <c r="Q38" s="42">
        <v>0</v>
      </c>
      <c r="R38" s="42">
        <v>3.73</v>
      </c>
      <c r="S38" s="42">
        <v>3.02</v>
      </c>
      <c r="T38" s="46">
        <v>3.42</v>
      </c>
      <c r="V38" s="44" t="s">
        <v>2042</v>
      </c>
      <c r="W38" s="42">
        <v>3.93</v>
      </c>
      <c r="X38" s="42">
        <v>4.26</v>
      </c>
      <c r="Y38" s="42">
        <v>4.2</v>
      </c>
      <c r="Z38" s="42">
        <v>4.3</v>
      </c>
      <c r="AA38" s="42">
        <v>1.33</v>
      </c>
      <c r="AB38" s="42">
        <v>3.14</v>
      </c>
      <c r="AC38" s="42">
        <v>1.63</v>
      </c>
      <c r="AD38" s="46">
        <v>1.23</v>
      </c>
      <c r="AF38" s="44" t="s">
        <v>2043</v>
      </c>
      <c r="AG38" s="42">
        <v>4.1399999999999997</v>
      </c>
      <c r="AH38" s="42">
        <v>6.11</v>
      </c>
      <c r="AI38" s="42">
        <v>3.78</v>
      </c>
      <c r="AJ38" s="42">
        <v>5.15</v>
      </c>
      <c r="AK38" s="42">
        <v>5.45</v>
      </c>
      <c r="AL38" s="42">
        <v>1.85</v>
      </c>
      <c r="AM38" s="42">
        <v>3.78</v>
      </c>
      <c r="AN38" s="46">
        <v>4.04</v>
      </c>
      <c r="AP38" s="44" t="s">
        <v>2044</v>
      </c>
      <c r="AQ38" s="42">
        <v>0</v>
      </c>
      <c r="AR38" s="42">
        <v>0</v>
      </c>
      <c r="AS38" s="42">
        <v>2.59</v>
      </c>
      <c r="AT38" s="42">
        <v>14.87</v>
      </c>
      <c r="AU38" s="42">
        <v>1.61</v>
      </c>
      <c r="AV38" s="42">
        <v>1.37</v>
      </c>
      <c r="AW38" s="42">
        <v>1.17</v>
      </c>
      <c r="AX38" s="46">
        <v>0</v>
      </c>
      <c r="AZ38" s="44" t="s">
        <v>2045</v>
      </c>
      <c r="BA38" s="42">
        <v>0.53</v>
      </c>
      <c r="BB38" s="42">
        <v>0.45</v>
      </c>
      <c r="BC38" s="42">
        <v>0.33</v>
      </c>
      <c r="BD38" s="42">
        <v>1.61</v>
      </c>
      <c r="BE38" s="42">
        <v>2.21</v>
      </c>
      <c r="BF38" s="42">
        <v>7.88</v>
      </c>
      <c r="BG38" s="42">
        <v>0.62</v>
      </c>
      <c r="BH38" s="46">
        <v>1.17</v>
      </c>
      <c r="BJ38" s="44" t="s">
        <v>2046</v>
      </c>
      <c r="BK38" s="42">
        <v>9.24</v>
      </c>
      <c r="BL38" s="42">
        <v>1.37</v>
      </c>
      <c r="BM38" s="42">
        <v>1.61</v>
      </c>
      <c r="BN38" s="42">
        <v>3.56</v>
      </c>
      <c r="BO38" s="42">
        <v>1.61</v>
      </c>
      <c r="BP38" s="42">
        <v>2.21</v>
      </c>
      <c r="BQ38" s="42">
        <v>0.24</v>
      </c>
      <c r="BR38" s="46">
        <v>0.2</v>
      </c>
      <c r="BT38" s="44" t="s">
        <v>2047</v>
      </c>
      <c r="BU38" s="42">
        <v>0.85</v>
      </c>
      <c r="BV38" s="42">
        <v>6.72</v>
      </c>
      <c r="BW38" s="42">
        <v>0.11</v>
      </c>
      <c r="BX38" s="42">
        <v>0</v>
      </c>
      <c r="BY38" s="42">
        <v>1.89</v>
      </c>
      <c r="BZ38" s="42">
        <v>0.73</v>
      </c>
      <c r="CA38" s="42">
        <v>0.33</v>
      </c>
      <c r="CB38" s="46">
        <v>2.21</v>
      </c>
    </row>
    <row r="39" spans="2:80">
      <c r="B39" s="44" t="s">
        <v>2048</v>
      </c>
      <c r="C39" s="42">
        <v>2.99</v>
      </c>
      <c r="D39" s="42">
        <v>4.43</v>
      </c>
      <c r="E39" s="42">
        <v>3.5</v>
      </c>
      <c r="F39" s="42">
        <v>5.67</v>
      </c>
      <c r="G39" s="42">
        <v>4.3099999999999996</v>
      </c>
      <c r="H39" s="42">
        <v>4.8099999999999996</v>
      </c>
      <c r="I39" s="42">
        <v>1.77</v>
      </c>
      <c r="J39" s="46">
        <v>2.2999999999999998</v>
      </c>
      <c r="L39" s="44" t="s">
        <v>2049</v>
      </c>
      <c r="M39" s="42">
        <v>2.86</v>
      </c>
      <c r="N39" s="42">
        <v>5.46</v>
      </c>
      <c r="O39" s="42">
        <v>5.13</v>
      </c>
      <c r="P39" s="42">
        <v>3.34</v>
      </c>
      <c r="Q39" s="42">
        <v>0</v>
      </c>
      <c r="R39" s="42">
        <v>0.12</v>
      </c>
      <c r="S39" s="42">
        <v>0.98</v>
      </c>
      <c r="T39" s="46">
        <v>99.99</v>
      </c>
      <c r="V39" s="44" t="s">
        <v>2050</v>
      </c>
      <c r="W39" s="42">
        <v>3.9</v>
      </c>
      <c r="X39" s="42">
        <v>4.28</v>
      </c>
      <c r="Y39" s="42">
        <v>4.18</v>
      </c>
      <c r="Z39" s="42">
        <v>4.32</v>
      </c>
      <c r="AA39" s="42">
        <v>3.59</v>
      </c>
      <c r="AB39" s="42">
        <v>3.13</v>
      </c>
      <c r="AC39" s="42">
        <v>1.66</v>
      </c>
      <c r="AD39" s="46">
        <v>1.28</v>
      </c>
      <c r="AF39" s="44" t="s">
        <v>2051</v>
      </c>
      <c r="AG39" s="42">
        <v>4.17</v>
      </c>
      <c r="AH39" s="42">
        <v>3.68</v>
      </c>
      <c r="AI39" s="42">
        <v>3.77</v>
      </c>
      <c r="AJ39" s="42">
        <v>5.14</v>
      </c>
      <c r="AK39" s="42">
        <v>5.46</v>
      </c>
      <c r="AL39" s="42">
        <v>1.83</v>
      </c>
      <c r="AM39" s="42">
        <v>3.76</v>
      </c>
      <c r="AN39" s="46">
        <v>0</v>
      </c>
      <c r="AP39" s="44" t="s">
        <v>2052</v>
      </c>
      <c r="AQ39" s="42">
        <v>2.21</v>
      </c>
      <c r="AR39" s="42">
        <v>1.17</v>
      </c>
      <c r="AS39" s="42">
        <v>2.59</v>
      </c>
      <c r="AT39" s="42">
        <v>3.56</v>
      </c>
      <c r="AU39" s="42">
        <v>1.37</v>
      </c>
      <c r="AV39" s="42">
        <v>1.17</v>
      </c>
      <c r="AW39" s="42">
        <v>0.39</v>
      </c>
      <c r="AX39" s="46">
        <v>0</v>
      </c>
      <c r="AZ39" s="44" t="s">
        <v>2053</v>
      </c>
      <c r="BA39" s="42">
        <v>0.53</v>
      </c>
      <c r="BB39" s="42">
        <v>0.45</v>
      </c>
      <c r="BC39" s="42">
        <v>0.39</v>
      </c>
      <c r="BD39" s="42">
        <v>3.56</v>
      </c>
      <c r="BE39" s="42">
        <v>2.21</v>
      </c>
      <c r="BF39" s="42">
        <v>1.89</v>
      </c>
      <c r="BG39" s="42">
        <v>0.73</v>
      </c>
      <c r="BH39" s="46">
        <v>1.17</v>
      </c>
      <c r="BJ39" s="44" t="s">
        <v>2054</v>
      </c>
      <c r="BK39" s="42">
        <v>12.69</v>
      </c>
      <c r="BL39" s="42">
        <v>0</v>
      </c>
      <c r="BM39" s="42">
        <v>1.61</v>
      </c>
      <c r="BN39" s="42">
        <v>0</v>
      </c>
      <c r="BO39" s="42">
        <v>1.61</v>
      </c>
      <c r="BP39" s="42">
        <v>2.21</v>
      </c>
      <c r="BQ39" s="42">
        <v>0.28000000000000003</v>
      </c>
      <c r="BR39" s="46">
        <v>0.24</v>
      </c>
      <c r="BT39" s="44" t="s">
        <v>2055</v>
      </c>
      <c r="BU39" s="42">
        <v>0.85</v>
      </c>
      <c r="BV39" s="42">
        <v>0.45</v>
      </c>
      <c r="BW39" s="42">
        <v>0.2</v>
      </c>
      <c r="BX39" s="42">
        <v>2.59</v>
      </c>
      <c r="BY39" s="42">
        <v>2.21</v>
      </c>
      <c r="BZ39" s="42">
        <v>0.73</v>
      </c>
      <c r="CA39" s="42">
        <v>0.45</v>
      </c>
      <c r="CB39" s="46">
        <v>1.89</v>
      </c>
    </row>
    <row r="40" spans="2:80">
      <c r="B40" s="44" t="s">
        <v>2056</v>
      </c>
      <c r="C40" s="42">
        <v>3.02</v>
      </c>
      <c r="D40" s="42">
        <v>4.3899999999999997</v>
      </c>
      <c r="E40" s="42">
        <v>5.31</v>
      </c>
      <c r="F40" s="42">
        <v>5.65</v>
      </c>
      <c r="G40" s="42">
        <v>4.32</v>
      </c>
      <c r="H40" s="42">
        <v>4.82</v>
      </c>
      <c r="I40" s="42">
        <v>1.77</v>
      </c>
      <c r="J40" s="46">
        <v>2.2799999999999998</v>
      </c>
      <c r="L40" s="44" t="s">
        <v>2057</v>
      </c>
      <c r="M40" s="42">
        <v>2.04</v>
      </c>
      <c r="N40" s="42">
        <v>2.0499999999999998</v>
      </c>
      <c r="O40" s="42">
        <v>5.2</v>
      </c>
      <c r="P40" s="42">
        <v>6.04</v>
      </c>
      <c r="Q40" s="42">
        <v>0</v>
      </c>
      <c r="R40" s="42">
        <v>3.76</v>
      </c>
      <c r="S40" s="42">
        <v>3.05</v>
      </c>
      <c r="T40" s="46">
        <v>3.45</v>
      </c>
      <c r="V40" s="44" t="s">
        <v>2058</v>
      </c>
      <c r="W40" s="42">
        <v>3.9</v>
      </c>
      <c r="X40" s="42">
        <v>4.2699999999999996</v>
      </c>
      <c r="Y40" s="42">
        <v>4.18</v>
      </c>
      <c r="Z40" s="42">
        <v>2.8</v>
      </c>
      <c r="AA40" s="42">
        <v>3.59</v>
      </c>
      <c r="AB40" s="42">
        <v>3.13</v>
      </c>
      <c r="AC40" s="42">
        <v>1.63</v>
      </c>
      <c r="AD40" s="46">
        <v>1.2</v>
      </c>
      <c r="AF40" s="44" t="s">
        <v>2059</v>
      </c>
      <c r="AG40" s="42">
        <v>4.1500000000000004</v>
      </c>
      <c r="AH40" s="42">
        <v>1.27</v>
      </c>
      <c r="AI40" s="42">
        <v>3.77</v>
      </c>
      <c r="AJ40" s="42">
        <v>5.13</v>
      </c>
      <c r="AK40" s="42">
        <v>5.45</v>
      </c>
      <c r="AL40" s="42">
        <v>1.84</v>
      </c>
      <c r="AM40" s="42">
        <v>0.46</v>
      </c>
      <c r="AN40" s="46">
        <v>3.19</v>
      </c>
      <c r="AP40" s="44" t="s">
        <v>2060</v>
      </c>
      <c r="AQ40" s="42">
        <v>2.21</v>
      </c>
      <c r="AR40" s="42">
        <v>1.17</v>
      </c>
      <c r="AS40" s="42">
        <v>2.59</v>
      </c>
      <c r="AT40" s="42">
        <v>2.59</v>
      </c>
      <c r="AU40" s="42">
        <v>1.37</v>
      </c>
      <c r="AV40" s="42">
        <v>1.37</v>
      </c>
      <c r="AW40" s="42">
        <v>1.17</v>
      </c>
      <c r="AX40" s="46">
        <v>0</v>
      </c>
      <c r="AZ40" s="44" t="s">
        <v>2061</v>
      </c>
      <c r="BA40" s="42">
        <v>1.17</v>
      </c>
      <c r="BB40" s="42">
        <v>0.45</v>
      </c>
      <c r="BC40" s="42">
        <v>0.39</v>
      </c>
      <c r="BD40" s="42">
        <v>1.61</v>
      </c>
      <c r="BE40" s="42">
        <v>20.43</v>
      </c>
      <c r="BF40" s="42">
        <v>1.61</v>
      </c>
      <c r="BG40" s="42">
        <v>0.73</v>
      </c>
      <c r="BH40" s="46">
        <v>1.17</v>
      </c>
      <c r="BJ40" s="44" t="s">
        <v>2062</v>
      </c>
      <c r="BK40" s="42">
        <v>12.69</v>
      </c>
      <c r="BL40" s="42">
        <v>1.61</v>
      </c>
      <c r="BM40" s="42">
        <v>1.61</v>
      </c>
      <c r="BN40" s="42">
        <v>3.56</v>
      </c>
      <c r="BO40" s="42">
        <v>1.61</v>
      </c>
      <c r="BP40" s="42">
        <v>2.59</v>
      </c>
      <c r="BQ40" s="42">
        <v>0.2</v>
      </c>
      <c r="BR40" s="46">
        <v>0.2</v>
      </c>
      <c r="BT40" s="44" t="s">
        <v>2063</v>
      </c>
      <c r="BU40" s="42">
        <v>0.73</v>
      </c>
      <c r="BV40" s="42">
        <v>0.45</v>
      </c>
      <c r="BW40" s="42">
        <v>0.15</v>
      </c>
      <c r="BX40" s="42">
        <v>1.17</v>
      </c>
      <c r="BY40" s="42">
        <v>2.21</v>
      </c>
      <c r="BZ40" s="42">
        <v>0.73</v>
      </c>
      <c r="CA40" s="42">
        <v>0.53</v>
      </c>
      <c r="CB40" s="46">
        <v>1.89</v>
      </c>
    </row>
    <row r="41" spans="2:80">
      <c r="B41" s="44" t="s">
        <v>2064</v>
      </c>
      <c r="C41" s="42">
        <v>3.01</v>
      </c>
      <c r="D41" s="42">
        <v>4.38</v>
      </c>
      <c r="E41" s="42">
        <v>5.3</v>
      </c>
      <c r="F41" s="42">
        <v>5.66</v>
      </c>
      <c r="G41" s="42">
        <v>4.32</v>
      </c>
      <c r="H41" s="42">
        <v>4.33</v>
      </c>
      <c r="I41" s="42">
        <v>1.75</v>
      </c>
      <c r="J41" s="46">
        <v>2.2799999999999998</v>
      </c>
      <c r="L41" s="44" t="s">
        <v>2065</v>
      </c>
      <c r="M41" s="42">
        <v>2.85</v>
      </c>
      <c r="N41" s="42">
        <v>5.51</v>
      </c>
      <c r="O41" s="42">
        <v>5.14</v>
      </c>
      <c r="P41" s="42">
        <v>6.06</v>
      </c>
      <c r="Q41" s="42">
        <v>0</v>
      </c>
      <c r="R41" s="42">
        <v>1.97</v>
      </c>
      <c r="S41" s="42">
        <v>3.07</v>
      </c>
      <c r="T41" s="46">
        <v>3.42</v>
      </c>
      <c r="V41" s="44" t="s">
        <v>2066</v>
      </c>
      <c r="W41" s="42">
        <v>3.89</v>
      </c>
      <c r="X41" s="42">
        <v>4.29</v>
      </c>
      <c r="Y41" s="42">
        <v>4.16</v>
      </c>
      <c r="Z41" s="42">
        <v>4.3</v>
      </c>
      <c r="AA41" s="42">
        <v>3.58</v>
      </c>
      <c r="AB41" s="42">
        <v>3.15</v>
      </c>
      <c r="AC41" s="42">
        <v>1.62</v>
      </c>
      <c r="AD41" s="46">
        <v>1.27</v>
      </c>
      <c r="AF41" s="44" t="s">
        <v>2067</v>
      </c>
      <c r="AG41" s="42">
        <v>4.17</v>
      </c>
      <c r="AH41" s="42">
        <v>6.06</v>
      </c>
      <c r="AI41" s="42">
        <v>3.77</v>
      </c>
      <c r="AJ41" s="42">
        <v>4.88</v>
      </c>
      <c r="AK41" s="42">
        <v>5.46</v>
      </c>
      <c r="AL41" s="42">
        <v>1.86</v>
      </c>
      <c r="AM41" s="42">
        <v>3.75</v>
      </c>
      <c r="AN41" s="46">
        <v>3.08</v>
      </c>
      <c r="AP41" s="44" t="s">
        <v>2068</v>
      </c>
      <c r="AQ41" s="42">
        <v>2.21</v>
      </c>
      <c r="AR41" s="42">
        <v>1.17</v>
      </c>
      <c r="AS41" s="42">
        <v>2.59</v>
      </c>
      <c r="AT41" s="42">
        <v>3.56</v>
      </c>
      <c r="AU41" s="42">
        <v>1.37</v>
      </c>
      <c r="AV41" s="42">
        <v>1.17</v>
      </c>
      <c r="AW41" s="42">
        <v>1.37</v>
      </c>
      <c r="AX41" s="46">
        <v>0</v>
      </c>
      <c r="AZ41" s="44" t="s">
        <v>2069</v>
      </c>
      <c r="BA41" s="42">
        <v>0.53</v>
      </c>
      <c r="BB41" s="42">
        <v>4.8899999999999997</v>
      </c>
      <c r="BC41" s="42">
        <v>0.17</v>
      </c>
      <c r="BD41" s="42">
        <v>1.61</v>
      </c>
      <c r="BE41" s="42">
        <v>2.21</v>
      </c>
      <c r="BF41" s="42">
        <v>1.61</v>
      </c>
      <c r="BG41" s="42">
        <v>0.62</v>
      </c>
      <c r="BH41" s="46">
        <v>1.17</v>
      </c>
      <c r="BJ41" s="44" t="s">
        <v>2070</v>
      </c>
      <c r="BK41" s="42">
        <v>5.74</v>
      </c>
      <c r="BL41" s="42">
        <v>0.85</v>
      </c>
      <c r="BM41" s="42">
        <v>9.24</v>
      </c>
      <c r="BN41" s="42">
        <v>4.18</v>
      </c>
      <c r="BO41" s="42">
        <v>1.89</v>
      </c>
      <c r="BP41" s="42">
        <v>2.21</v>
      </c>
      <c r="BQ41" s="42">
        <v>0.24</v>
      </c>
      <c r="BR41" s="46">
        <v>0.24</v>
      </c>
      <c r="BT41" s="44" t="s">
        <v>2071</v>
      </c>
      <c r="BU41" s="42">
        <v>0.85</v>
      </c>
      <c r="BV41" s="42">
        <v>0.45</v>
      </c>
      <c r="BW41" s="42">
        <v>0.15</v>
      </c>
      <c r="BX41" s="42">
        <v>1.17</v>
      </c>
      <c r="BY41" s="42">
        <v>1.89</v>
      </c>
      <c r="BZ41" s="42">
        <v>0.73</v>
      </c>
      <c r="CA41" s="42">
        <v>0.28000000000000003</v>
      </c>
      <c r="CB41" s="46">
        <v>2.21</v>
      </c>
    </row>
    <row r="42" spans="2:80">
      <c r="B42" s="44" t="s">
        <v>2072</v>
      </c>
      <c r="C42" s="42">
        <v>3.02</v>
      </c>
      <c r="D42" s="42">
        <v>4.37</v>
      </c>
      <c r="E42" s="42">
        <v>4.07</v>
      </c>
      <c r="F42" s="42">
        <v>5.63</v>
      </c>
      <c r="G42" s="42">
        <v>4.32</v>
      </c>
      <c r="H42" s="42">
        <v>4.9000000000000004</v>
      </c>
      <c r="I42" s="42">
        <v>1.75</v>
      </c>
      <c r="J42" s="46">
        <v>0.16</v>
      </c>
      <c r="L42" s="44" t="s">
        <v>2073</v>
      </c>
      <c r="M42" s="42">
        <v>2.84</v>
      </c>
      <c r="N42" s="42">
        <v>5.41</v>
      </c>
      <c r="O42" s="42">
        <v>0</v>
      </c>
      <c r="P42" s="42">
        <v>1.37</v>
      </c>
      <c r="Q42" s="42">
        <v>0</v>
      </c>
      <c r="R42" s="42">
        <v>3.71</v>
      </c>
      <c r="S42" s="42">
        <v>3.07</v>
      </c>
      <c r="T42" s="46">
        <v>3.44</v>
      </c>
      <c r="V42" s="44" t="s">
        <v>2074</v>
      </c>
      <c r="W42" s="42">
        <v>1.34</v>
      </c>
      <c r="X42" s="42">
        <v>4.32</v>
      </c>
      <c r="Y42" s="42">
        <v>4.17</v>
      </c>
      <c r="Z42" s="42">
        <v>4.2699999999999996</v>
      </c>
      <c r="AA42" s="42">
        <v>3.6</v>
      </c>
      <c r="AB42" s="42">
        <v>3.13</v>
      </c>
      <c r="AC42" s="42">
        <v>1.62</v>
      </c>
      <c r="AD42" s="46">
        <v>1.18</v>
      </c>
      <c r="AF42" s="44" t="s">
        <v>2075</v>
      </c>
      <c r="AG42" s="42">
        <v>4.1500000000000004</v>
      </c>
      <c r="AH42" s="42">
        <v>6.03</v>
      </c>
      <c r="AI42" s="42">
        <v>3.76</v>
      </c>
      <c r="AJ42" s="42">
        <v>5.1100000000000003</v>
      </c>
      <c r="AK42" s="42">
        <v>5.45</v>
      </c>
      <c r="AL42" s="42">
        <v>1.87</v>
      </c>
      <c r="AM42" s="42">
        <v>3.76</v>
      </c>
      <c r="AN42" s="46">
        <v>0</v>
      </c>
      <c r="AP42" s="44" t="s">
        <v>2076</v>
      </c>
      <c r="AQ42" s="42">
        <v>2.21</v>
      </c>
      <c r="AR42" s="42">
        <v>1.17</v>
      </c>
      <c r="AS42" s="42">
        <v>2.59</v>
      </c>
      <c r="AT42" s="42">
        <v>3.56</v>
      </c>
      <c r="AU42" s="42">
        <v>1.37</v>
      </c>
      <c r="AV42" s="42">
        <v>1.17</v>
      </c>
      <c r="AW42" s="42">
        <v>1.17</v>
      </c>
      <c r="AX42" s="46">
        <v>0.85</v>
      </c>
      <c r="AZ42" s="44" t="s">
        <v>2077</v>
      </c>
      <c r="BA42" s="42">
        <v>0.45</v>
      </c>
      <c r="BB42" s="42">
        <v>4.18</v>
      </c>
      <c r="BC42" s="42">
        <v>0.39</v>
      </c>
      <c r="BD42" s="42">
        <v>1.37</v>
      </c>
      <c r="BE42" s="42">
        <v>2.21</v>
      </c>
      <c r="BF42" s="42">
        <v>2.21</v>
      </c>
      <c r="BG42" s="42">
        <v>0.62</v>
      </c>
      <c r="BH42" s="46">
        <v>0</v>
      </c>
      <c r="BJ42" s="44" t="s">
        <v>2078</v>
      </c>
      <c r="BK42" s="42">
        <v>12.69</v>
      </c>
      <c r="BL42" s="42">
        <v>1.37</v>
      </c>
      <c r="BM42" s="42">
        <v>1.61</v>
      </c>
      <c r="BN42" s="42">
        <v>3.04</v>
      </c>
      <c r="BO42" s="42">
        <v>1.61</v>
      </c>
      <c r="BP42" s="42">
        <v>2.59</v>
      </c>
      <c r="BQ42" s="42">
        <v>0.24</v>
      </c>
      <c r="BR42" s="46">
        <v>0.24</v>
      </c>
      <c r="BT42" s="44" t="s">
        <v>2079</v>
      </c>
      <c r="BU42" s="42">
        <v>0.73</v>
      </c>
      <c r="BV42" s="42">
        <v>0.45</v>
      </c>
      <c r="BW42" s="42">
        <v>0.15</v>
      </c>
      <c r="BX42" s="42">
        <v>0</v>
      </c>
      <c r="BY42" s="42">
        <v>1.89</v>
      </c>
      <c r="BZ42" s="42">
        <v>0.62</v>
      </c>
      <c r="CA42" s="42">
        <v>0.24</v>
      </c>
      <c r="CB42" s="46">
        <v>1.89</v>
      </c>
    </row>
    <row r="43" spans="2:80">
      <c r="B43" s="44" t="s">
        <v>2080</v>
      </c>
      <c r="C43" s="42">
        <v>3.01</v>
      </c>
      <c r="D43" s="42">
        <v>99.99</v>
      </c>
      <c r="E43" s="42">
        <v>5.3</v>
      </c>
      <c r="F43" s="42">
        <v>5.66</v>
      </c>
      <c r="G43" s="42">
        <v>4.32</v>
      </c>
      <c r="H43" s="42">
        <v>4.79</v>
      </c>
      <c r="I43" s="42">
        <v>1.73</v>
      </c>
      <c r="J43" s="46">
        <v>2.2799999999999998</v>
      </c>
      <c r="L43" s="44" t="s">
        <v>2081</v>
      </c>
      <c r="M43" s="42">
        <v>2.86</v>
      </c>
      <c r="N43" s="42">
        <v>5.45</v>
      </c>
      <c r="O43" s="42">
        <v>5.19</v>
      </c>
      <c r="P43" s="42">
        <v>6.06</v>
      </c>
      <c r="Q43" s="42">
        <v>0</v>
      </c>
      <c r="R43" s="42">
        <v>3.71</v>
      </c>
      <c r="S43" s="42">
        <v>3.02</v>
      </c>
      <c r="T43" s="46">
        <v>3.42</v>
      </c>
      <c r="V43" s="44" t="s">
        <v>2082</v>
      </c>
      <c r="W43" s="42">
        <v>3.91</v>
      </c>
      <c r="X43" s="42">
        <v>4.2699999999999996</v>
      </c>
      <c r="Y43" s="42">
        <v>4.17</v>
      </c>
      <c r="Z43" s="42">
        <v>4.3</v>
      </c>
      <c r="AA43" s="42">
        <v>3.58</v>
      </c>
      <c r="AB43" s="42">
        <v>3.13</v>
      </c>
      <c r="AC43" s="42">
        <v>1.63</v>
      </c>
      <c r="AD43" s="46">
        <v>1.28</v>
      </c>
      <c r="AF43" s="44" t="s">
        <v>2083</v>
      </c>
      <c r="AG43" s="42">
        <v>4.1500000000000004</v>
      </c>
      <c r="AH43" s="42">
        <v>6.08</v>
      </c>
      <c r="AI43" s="42">
        <v>3.76</v>
      </c>
      <c r="AJ43" s="42">
        <v>5.17</v>
      </c>
      <c r="AK43" s="42">
        <v>5.47</v>
      </c>
      <c r="AL43" s="42">
        <v>1.86</v>
      </c>
      <c r="AM43" s="42">
        <v>3.76</v>
      </c>
      <c r="AN43" s="46">
        <v>3.17</v>
      </c>
      <c r="AP43" s="44" t="s">
        <v>2084</v>
      </c>
      <c r="AQ43" s="42">
        <v>2.21</v>
      </c>
      <c r="AR43" s="42">
        <v>0</v>
      </c>
      <c r="AS43" s="42">
        <v>2.59</v>
      </c>
      <c r="AT43" s="42">
        <v>3.56</v>
      </c>
      <c r="AU43" s="42">
        <v>1.37</v>
      </c>
      <c r="AV43" s="42">
        <v>1.17</v>
      </c>
      <c r="AW43" s="42">
        <v>1.37</v>
      </c>
      <c r="AX43" s="46">
        <v>1.17</v>
      </c>
      <c r="AZ43" s="44" t="s">
        <v>2085</v>
      </c>
      <c r="BA43" s="42">
        <v>0.53</v>
      </c>
      <c r="BB43" s="42">
        <v>4.18</v>
      </c>
      <c r="BC43" s="42">
        <v>0.39</v>
      </c>
      <c r="BD43" s="42">
        <v>1.61</v>
      </c>
      <c r="BE43" s="42">
        <v>2.21</v>
      </c>
      <c r="BF43" s="42">
        <v>1.89</v>
      </c>
      <c r="BG43" s="42">
        <v>0.73</v>
      </c>
      <c r="BH43" s="46">
        <v>0</v>
      </c>
      <c r="BJ43" s="44" t="s">
        <v>2086</v>
      </c>
      <c r="BK43" s="42">
        <v>12.69</v>
      </c>
      <c r="BL43" s="42">
        <v>1.37</v>
      </c>
      <c r="BM43" s="42">
        <v>1.61</v>
      </c>
      <c r="BN43" s="42">
        <v>3.56</v>
      </c>
      <c r="BO43" s="42">
        <v>1.37</v>
      </c>
      <c r="BP43" s="42">
        <v>2.59</v>
      </c>
      <c r="BQ43" s="42">
        <v>0.28000000000000003</v>
      </c>
      <c r="BR43" s="46">
        <v>0.2</v>
      </c>
      <c r="BT43" s="44" t="s">
        <v>2087</v>
      </c>
      <c r="BU43" s="42">
        <v>0</v>
      </c>
      <c r="BV43" s="42">
        <v>1.17</v>
      </c>
      <c r="BW43" s="42">
        <v>0.13</v>
      </c>
      <c r="BX43" s="42">
        <v>2.59</v>
      </c>
      <c r="BY43" s="42">
        <v>0</v>
      </c>
      <c r="BZ43" s="42">
        <v>0.33</v>
      </c>
      <c r="CA43" s="42">
        <v>0.33</v>
      </c>
      <c r="CB43" s="46">
        <v>3.56</v>
      </c>
    </row>
    <row r="44" spans="2:80">
      <c r="B44" s="44" t="s">
        <v>2088</v>
      </c>
      <c r="C44" s="42">
        <v>2.98</v>
      </c>
      <c r="D44" s="42">
        <v>4.4000000000000004</v>
      </c>
      <c r="E44" s="42">
        <v>5.28</v>
      </c>
      <c r="F44" s="42">
        <v>5.68</v>
      </c>
      <c r="G44" s="42">
        <v>4.32</v>
      </c>
      <c r="H44" s="42">
        <v>4.8499999999999996</v>
      </c>
      <c r="I44" s="42">
        <v>1.74</v>
      </c>
      <c r="J44" s="46">
        <v>2.27</v>
      </c>
      <c r="L44" s="44" t="s">
        <v>2089</v>
      </c>
      <c r="M44" s="42">
        <v>2.4700000000000002</v>
      </c>
      <c r="N44" s="42">
        <v>5.46</v>
      </c>
      <c r="O44" s="42">
        <v>5.17</v>
      </c>
      <c r="P44" s="42">
        <v>6.1</v>
      </c>
      <c r="Q44" s="42">
        <v>0</v>
      </c>
      <c r="R44" s="42">
        <v>3.76</v>
      </c>
      <c r="S44" s="42">
        <v>3.06</v>
      </c>
      <c r="T44" s="46">
        <v>2.76</v>
      </c>
      <c r="V44" s="44" t="s">
        <v>2090</v>
      </c>
      <c r="W44" s="42">
        <v>3.95</v>
      </c>
      <c r="X44" s="42">
        <v>4.29</v>
      </c>
      <c r="Y44" s="42">
        <v>4.16</v>
      </c>
      <c r="Z44" s="42">
        <v>3.64</v>
      </c>
      <c r="AA44" s="42">
        <v>3.63</v>
      </c>
      <c r="AB44" s="42">
        <v>3.11</v>
      </c>
      <c r="AC44" s="42">
        <v>1.62</v>
      </c>
      <c r="AD44" s="46">
        <v>1.26</v>
      </c>
      <c r="AF44" s="44" t="s">
        <v>2091</v>
      </c>
      <c r="AG44" s="42">
        <v>4.22</v>
      </c>
      <c r="AH44" s="42">
        <v>6.07</v>
      </c>
      <c r="AI44" s="42">
        <v>3.78</v>
      </c>
      <c r="AJ44" s="42">
        <v>1.91</v>
      </c>
      <c r="AK44" s="42">
        <v>4.8099999999999996</v>
      </c>
      <c r="AL44" s="42">
        <v>1.85</v>
      </c>
      <c r="AM44" s="42">
        <v>3.74</v>
      </c>
      <c r="AN44" s="46">
        <v>3.11</v>
      </c>
      <c r="AP44" s="44" t="s">
        <v>2092</v>
      </c>
      <c r="AQ44" s="42">
        <v>2.21</v>
      </c>
      <c r="AR44" s="42">
        <v>0</v>
      </c>
      <c r="AS44" s="42">
        <v>2.21</v>
      </c>
      <c r="AT44" s="42">
        <v>14.87</v>
      </c>
      <c r="AU44" s="42">
        <v>1.37</v>
      </c>
      <c r="AV44" s="42">
        <v>1.37</v>
      </c>
      <c r="AW44" s="42">
        <v>1.37</v>
      </c>
      <c r="AX44" s="46">
        <v>0</v>
      </c>
      <c r="AZ44" s="44" t="s">
        <v>2093</v>
      </c>
      <c r="BA44" s="42">
        <v>0.53</v>
      </c>
      <c r="BB44" s="42">
        <v>0.39</v>
      </c>
      <c r="BC44" s="42">
        <v>0.33</v>
      </c>
      <c r="BD44" s="42">
        <v>1.61</v>
      </c>
      <c r="BE44" s="42">
        <v>2.21</v>
      </c>
      <c r="BF44" s="42">
        <v>1.89</v>
      </c>
      <c r="BG44" s="42">
        <v>0.62</v>
      </c>
      <c r="BH44" s="46">
        <v>1.37</v>
      </c>
      <c r="BJ44" s="44" t="s">
        <v>2094</v>
      </c>
      <c r="BK44" s="42">
        <v>12.69</v>
      </c>
      <c r="BL44" s="42">
        <v>1.61</v>
      </c>
      <c r="BM44" s="42">
        <v>1.61</v>
      </c>
      <c r="BN44" s="42">
        <v>0</v>
      </c>
      <c r="BO44" s="42">
        <v>1.89</v>
      </c>
      <c r="BP44" s="42">
        <v>2.59</v>
      </c>
      <c r="BQ44" s="42">
        <v>0.2</v>
      </c>
      <c r="BR44" s="46">
        <v>0.2</v>
      </c>
      <c r="BT44" s="44" t="s">
        <v>2095</v>
      </c>
      <c r="BU44" s="42">
        <v>0.85</v>
      </c>
      <c r="BV44" s="42">
        <v>0.45</v>
      </c>
      <c r="BW44" s="42">
        <v>0.15</v>
      </c>
      <c r="BX44" s="42">
        <v>1.17</v>
      </c>
      <c r="BY44" s="42">
        <v>2.21</v>
      </c>
      <c r="BZ44" s="42">
        <v>0.33</v>
      </c>
      <c r="CA44" s="42">
        <v>0.24</v>
      </c>
      <c r="CB44" s="46">
        <v>1.89</v>
      </c>
    </row>
    <row r="45" spans="2:80">
      <c r="B45" s="44" t="s">
        <v>2096</v>
      </c>
      <c r="C45" s="42">
        <v>3.02</v>
      </c>
      <c r="D45" s="42">
        <v>4.38</v>
      </c>
      <c r="E45" s="42">
        <v>5.32</v>
      </c>
      <c r="F45" s="42">
        <v>5.64</v>
      </c>
      <c r="G45" s="42">
        <v>4.29</v>
      </c>
      <c r="H45" s="42">
        <v>4.8</v>
      </c>
      <c r="I45" s="42">
        <v>1.77</v>
      </c>
      <c r="J45" s="46">
        <v>2.25</v>
      </c>
      <c r="L45" s="44" t="s">
        <v>2097</v>
      </c>
      <c r="M45" s="42">
        <v>2.81</v>
      </c>
      <c r="N45" s="42">
        <v>5.45</v>
      </c>
      <c r="O45" s="42">
        <v>5.2</v>
      </c>
      <c r="P45" s="42">
        <v>6.1</v>
      </c>
      <c r="Q45" s="42">
        <v>0</v>
      </c>
      <c r="R45" s="42">
        <v>3.71</v>
      </c>
      <c r="S45" s="42">
        <v>3.1</v>
      </c>
      <c r="T45" s="46">
        <v>0</v>
      </c>
      <c r="V45" s="44" t="s">
        <v>2098</v>
      </c>
      <c r="W45" s="42">
        <v>1.72</v>
      </c>
      <c r="X45" s="42">
        <v>4.28</v>
      </c>
      <c r="Y45" s="42">
        <v>4.2300000000000004</v>
      </c>
      <c r="Z45" s="42">
        <v>4.2699999999999996</v>
      </c>
      <c r="AA45" s="42">
        <v>3.68</v>
      </c>
      <c r="AB45" s="42">
        <v>3.17</v>
      </c>
      <c r="AC45" s="42">
        <v>1.62</v>
      </c>
      <c r="AD45" s="46">
        <v>1.28</v>
      </c>
      <c r="AF45" s="44" t="s">
        <v>2099</v>
      </c>
      <c r="AG45" s="42">
        <v>4.17</v>
      </c>
      <c r="AH45" s="42">
        <v>1.98</v>
      </c>
      <c r="AI45" s="42">
        <v>3.78</v>
      </c>
      <c r="AJ45" s="42">
        <v>5.19</v>
      </c>
      <c r="AK45" s="42">
        <v>5.5</v>
      </c>
      <c r="AL45" s="42">
        <v>1.84</v>
      </c>
      <c r="AM45" s="42">
        <v>3.76</v>
      </c>
      <c r="AN45" s="46">
        <v>3.13</v>
      </c>
      <c r="AP45" s="44" t="s">
        <v>2100</v>
      </c>
      <c r="AQ45" s="42">
        <v>0</v>
      </c>
      <c r="AR45" s="42">
        <v>1.17</v>
      </c>
      <c r="AS45" s="42">
        <v>2.21</v>
      </c>
      <c r="AT45" s="42">
        <v>4.18</v>
      </c>
      <c r="AU45" s="42">
        <v>1.37</v>
      </c>
      <c r="AV45" s="42">
        <v>1.17</v>
      </c>
      <c r="AW45" s="42">
        <v>1.17</v>
      </c>
      <c r="AX45" s="46">
        <v>0</v>
      </c>
      <c r="AZ45" s="44" t="s">
        <v>2101</v>
      </c>
      <c r="BA45" s="42">
        <v>0.53</v>
      </c>
      <c r="BB45" s="42">
        <v>4.18</v>
      </c>
      <c r="BC45" s="42">
        <v>0.39</v>
      </c>
      <c r="BD45" s="42">
        <v>1.37</v>
      </c>
      <c r="BE45" s="42">
        <v>2.59</v>
      </c>
      <c r="BF45" s="42">
        <v>1.89</v>
      </c>
      <c r="BG45" s="42">
        <v>0.62</v>
      </c>
      <c r="BH45" s="46">
        <v>1.17</v>
      </c>
      <c r="BJ45" s="44" t="s">
        <v>2102</v>
      </c>
      <c r="BK45" s="42">
        <v>12.69</v>
      </c>
      <c r="BL45" s="42">
        <v>1.37</v>
      </c>
      <c r="BM45" s="42">
        <v>1.61</v>
      </c>
      <c r="BN45" s="42">
        <v>3.56</v>
      </c>
      <c r="BO45" s="42">
        <v>1.61</v>
      </c>
      <c r="BP45" s="42">
        <v>2.21</v>
      </c>
      <c r="BQ45" s="42">
        <v>0.24</v>
      </c>
      <c r="BR45" s="46">
        <v>0.2</v>
      </c>
      <c r="BT45" s="44" t="s">
        <v>2103</v>
      </c>
      <c r="BU45" s="42">
        <v>0.73</v>
      </c>
      <c r="BV45" s="42">
        <v>0.45</v>
      </c>
      <c r="BW45" s="42">
        <v>0.11</v>
      </c>
      <c r="BX45" s="42">
        <v>1.17</v>
      </c>
      <c r="BY45" s="42">
        <v>2.21</v>
      </c>
      <c r="BZ45" s="42">
        <v>0.62</v>
      </c>
      <c r="CA45" s="42">
        <v>0.28000000000000003</v>
      </c>
      <c r="CB45" s="46">
        <v>2.21</v>
      </c>
    </row>
    <row r="46" spans="2:80">
      <c r="B46" s="44" t="s">
        <v>2104</v>
      </c>
      <c r="C46" s="42">
        <v>2.99</v>
      </c>
      <c r="D46" s="42">
        <v>4.4000000000000004</v>
      </c>
      <c r="E46" s="42">
        <v>5.3</v>
      </c>
      <c r="F46" s="42">
        <v>5.63</v>
      </c>
      <c r="G46" s="42">
        <v>4.33</v>
      </c>
      <c r="H46" s="42">
        <v>2.2799999999999998</v>
      </c>
      <c r="I46" s="42">
        <v>1.77</v>
      </c>
      <c r="J46" s="46">
        <v>2.23</v>
      </c>
      <c r="L46" s="44" t="s">
        <v>2105</v>
      </c>
      <c r="M46" s="42">
        <v>2.74</v>
      </c>
      <c r="N46" s="42">
        <v>5.41</v>
      </c>
      <c r="O46" s="42">
        <v>5.24</v>
      </c>
      <c r="P46" s="42">
        <v>6.06</v>
      </c>
      <c r="Q46" s="42">
        <v>0</v>
      </c>
      <c r="R46" s="42">
        <v>3.71</v>
      </c>
      <c r="S46" s="42">
        <v>0.17</v>
      </c>
      <c r="T46" s="46">
        <v>3.43</v>
      </c>
      <c r="V46" s="44" t="s">
        <v>2106</v>
      </c>
      <c r="W46" s="42">
        <v>3.94</v>
      </c>
      <c r="X46" s="42">
        <v>4.32</v>
      </c>
      <c r="Y46" s="42">
        <v>4.16</v>
      </c>
      <c r="Z46" s="42">
        <v>3.1</v>
      </c>
      <c r="AA46" s="42">
        <v>3.58</v>
      </c>
      <c r="AB46" s="42">
        <v>3.14</v>
      </c>
      <c r="AC46" s="42">
        <v>1.64</v>
      </c>
      <c r="AD46" s="46">
        <v>1.26</v>
      </c>
      <c r="AF46" s="44" t="s">
        <v>2107</v>
      </c>
      <c r="AG46" s="42">
        <v>4.13</v>
      </c>
      <c r="AH46" s="42">
        <v>5.99</v>
      </c>
      <c r="AI46" s="42">
        <v>3.83</v>
      </c>
      <c r="AJ46" s="42">
        <v>5.22</v>
      </c>
      <c r="AK46" s="42">
        <v>5.45</v>
      </c>
      <c r="AL46" s="42">
        <v>1.83</v>
      </c>
      <c r="AM46" s="42">
        <v>3.75</v>
      </c>
      <c r="AN46" s="46">
        <v>3.23</v>
      </c>
      <c r="AP46" s="44" t="s">
        <v>2108</v>
      </c>
      <c r="AQ46" s="42">
        <v>2.21</v>
      </c>
      <c r="AR46" s="42">
        <v>1.17</v>
      </c>
      <c r="AS46" s="42">
        <v>0</v>
      </c>
      <c r="AT46" s="42">
        <v>2.59</v>
      </c>
      <c r="AU46" s="42">
        <v>1.61</v>
      </c>
      <c r="AV46" s="42">
        <v>99.99</v>
      </c>
      <c r="AW46" s="42">
        <v>0.33</v>
      </c>
      <c r="AX46" s="46">
        <v>2.59</v>
      </c>
      <c r="AZ46" s="44" t="s">
        <v>2109</v>
      </c>
      <c r="BA46" s="42">
        <v>0.62</v>
      </c>
      <c r="BB46" s="42">
        <v>4.18</v>
      </c>
      <c r="BC46" s="42">
        <v>0.39</v>
      </c>
      <c r="BD46" s="42">
        <v>1.61</v>
      </c>
      <c r="BE46" s="42">
        <v>2.59</v>
      </c>
      <c r="BF46" s="42">
        <v>1.89</v>
      </c>
      <c r="BG46" s="42">
        <v>0.73</v>
      </c>
      <c r="BH46" s="46">
        <v>1.17</v>
      </c>
      <c r="BJ46" s="44" t="s">
        <v>2110</v>
      </c>
      <c r="BK46" s="42">
        <v>12.69</v>
      </c>
      <c r="BL46" s="42">
        <v>1.61</v>
      </c>
      <c r="BM46" s="42">
        <v>1.61</v>
      </c>
      <c r="BN46" s="42">
        <v>3.56</v>
      </c>
      <c r="BO46" s="42">
        <v>1.89</v>
      </c>
      <c r="BP46" s="42">
        <v>2.59</v>
      </c>
      <c r="BQ46" s="42">
        <v>0.17</v>
      </c>
      <c r="BR46" s="46">
        <v>0.2</v>
      </c>
      <c r="BT46" s="44" t="s">
        <v>2111</v>
      </c>
      <c r="BU46" s="42">
        <v>0.85</v>
      </c>
      <c r="BV46" s="42">
        <v>1.37</v>
      </c>
      <c r="BW46" s="42">
        <v>0.15</v>
      </c>
      <c r="BX46" s="42">
        <v>1.17</v>
      </c>
      <c r="BY46" s="42">
        <v>1.89</v>
      </c>
      <c r="BZ46" s="42">
        <v>0.62</v>
      </c>
      <c r="CA46" s="42">
        <v>0.39</v>
      </c>
      <c r="CB46" s="46">
        <v>2.21</v>
      </c>
    </row>
    <row r="47" spans="2:80">
      <c r="B47" s="44" t="s">
        <v>2112</v>
      </c>
      <c r="C47" s="42">
        <v>2.98</v>
      </c>
      <c r="D47" s="42">
        <v>4.3899999999999997</v>
      </c>
      <c r="E47" s="42">
        <v>5.29</v>
      </c>
      <c r="F47" s="42">
        <v>4.21</v>
      </c>
      <c r="G47" s="42">
        <v>4.34</v>
      </c>
      <c r="H47" s="42">
        <v>4.8600000000000003</v>
      </c>
      <c r="I47" s="42">
        <v>1.77</v>
      </c>
      <c r="J47" s="46">
        <v>2.29</v>
      </c>
      <c r="L47" s="44" t="s">
        <v>2113</v>
      </c>
      <c r="M47" s="42">
        <v>2.86</v>
      </c>
      <c r="N47" s="42">
        <v>5.46</v>
      </c>
      <c r="O47" s="42">
        <v>5.15</v>
      </c>
      <c r="P47" s="42">
        <v>6.05</v>
      </c>
      <c r="Q47" s="42">
        <v>0</v>
      </c>
      <c r="R47" s="42">
        <v>3.73</v>
      </c>
      <c r="S47" s="42">
        <v>3.06</v>
      </c>
      <c r="T47" s="46">
        <v>3.41</v>
      </c>
      <c r="V47" s="44" t="s">
        <v>2114</v>
      </c>
      <c r="W47" s="42">
        <v>3.91</v>
      </c>
      <c r="X47" s="42">
        <v>4.28</v>
      </c>
      <c r="Y47" s="42">
        <v>4.1399999999999997</v>
      </c>
      <c r="Z47" s="42">
        <v>4.33</v>
      </c>
      <c r="AA47" s="42">
        <v>0</v>
      </c>
      <c r="AB47" s="42">
        <v>3.1</v>
      </c>
      <c r="AC47" s="42">
        <v>1.62</v>
      </c>
      <c r="AD47" s="46">
        <v>1.27</v>
      </c>
      <c r="AF47" s="44" t="s">
        <v>2115</v>
      </c>
      <c r="AG47" s="42">
        <v>4.1500000000000004</v>
      </c>
      <c r="AH47" s="42">
        <v>6.1</v>
      </c>
      <c r="AI47" s="42">
        <v>2.61</v>
      </c>
      <c r="AJ47" s="42">
        <v>5.18</v>
      </c>
      <c r="AK47" s="42">
        <v>0.08</v>
      </c>
      <c r="AL47" s="42">
        <v>1.83</v>
      </c>
      <c r="AM47" s="42">
        <v>3.75</v>
      </c>
      <c r="AN47" s="46">
        <v>0</v>
      </c>
      <c r="AP47" s="44" t="s">
        <v>2116</v>
      </c>
      <c r="AQ47" s="42">
        <v>2.59</v>
      </c>
      <c r="AR47" s="42">
        <v>0</v>
      </c>
      <c r="AS47" s="42">
        <v>2.21</v>
      </c>
      <c r="AT47" s="42">
        <v>3.04</v>
      </c>
      <c r="AU47" s="42">
        <v>1.37</v>
      </c>
      <c r="AV47" s="42">
        <v>1.37</v>
      </c>
      <c r="AW47" s="42">
        <v>0.33</v>
      </c>
      <c r="AX47" s="46">
        <v>0</v>
      </c>
      <c r="AZ47" s="44" t="s">
        <v>2117</v>
      </c>
      <c r="BA47" s="42">
        <v>0.62</v>
      </c>
      <c r="BB47" s="42">
        <v>4.18</v>
      </c>
      <c r="BC47" s="42">
        <v>0.39</v>
      </c>
      <c r="BD47" s="42">
        <v>1.61</v>
      </c>
      <c r="BE47" s="42">
        <v>2.21</v>
      </c>
      <c r="BF47" s="42">
        <v>1.89</v>
      </c>
      <c r="BG47" s="42">
        <v>0.73</v>
      </c>
      <c r="BH47" s="46">
        <v>1.17</v>
      </c>
      <c r="BJ47" s="44" t="s">
        <v>2118</v>
      </c>
      <c r="BK47" s="42">
        <v>10.83</v>
      </c>
      <c r="BL47" s="42">
        <v>1.17</v>
      </c>
      <c r="BM47" s="42">
        <v>10.83</v>
      </c>
      <c r="BN47" s="42">
        <v>1.89</v>
      </c>
      <c r="BO47" s="42">
        <v>1.37</v>
      </c>
      <c r="BP47" s="42">
        <v>3.56</v>
      </c>
      <c r="BQ47" s="42">
        <v>0.2</v>
      </c>
      <c r="BR47" s="46">
        <v>0.53</v>
      </c>
      <c r="BT47" s="44" t="s">
        <v>2119</v>
      </c>
      <c r="BU47" s="42">
        <v>0.85</v>
      </c>
      <c r="BV47" s="42">
        <v>1.37</v>
      </c>
      <c r="BW47" s="42">
        <v>0.15</v>
      </c>
      <c r="BX47" s="42">
        <v>1.17</v>
      </c>
      <c r="BY47" s="42">
        <v>2.21</v>
      </c>
      <c r="BZ47" s="42">
        <v>0.73</v>
      </c>
      <c r="CA47" s="42">
        <v>0.24</v>
      </c>
      <c r="CB47" s="46">
        <v>2.21</v>
      </c>
    </row>
    <row r="48" spans="2:80">
      <c r="B48" s="44" t="s">
        <v>2120</v>
      </c>
      <c r="C48" s="42">
        <v>3.02</v>
      </c>
      <c r="D48" s="42">
        <v>0</v>
      </c>
      <c r="E48" s="42">
        <v>5.3</v>
      </c>
      <c r="F48" s="42">
        <v>5.16</v>
      </c>
      <c r="G48" s="42">
        <v>4.3099999999999996</v>
      </c>
      <c r="H48" s="42">
        <v>4.8499999999999996</v>
      </c>
      <c r="I48" s="42">
        <v>1.76</v>
      </c>
      <c r="J48" s="46">
        <v>2.27</v>
      </c>
      <c r="L48" s="44" t="s">
        <v>2121</v>
      </c>
      <c r="M48" s="42">
        <v>2.85</v>
      </c>
      <c r="N48" s="42">
        <v>5.13</v>
      </c>
      <c r="O48" s="42">
        <v>5.15</v>
      </c>
      <c r="P48" s="42">
        <v>1.29</v>
      </c>
      <c r="Q48" s="42">
        <v>0</v>
      </c>
      <c r="R48" s="42">
        <v>3.73</v>
      </c>
      <c r="S48" s="42">
        <v>3.07</v>
      </c>
      <c r="T48" s="46">
        <v>3.53</v>
      </c>
      <c r="V48" s="44" t="s">
        <v>2122</v>
      </c>
      <c r="W48" s="42">
        <v>3.89</v>
      </c>
      <c r="X48" s="42">
        <v>4.25</v>
      </c>
      <c r="Y48" s="42">
        <v>4.18</v>
      </c>
      <c r="Z48" s="42">
        <v>4.38</v>
      </c>
      <c r="AA48" s="42">
        <v>3.61</v>
      </c>
      <c r="AB48" s="42">
        <v>3.14</v>
      </c>
      <c r="AC48" s="42">
        <v>1.65</v>
      </c>
      <c r="AD48" s="46">
        <v>1.22</v>
      </c>
      <c r="AF48" s="44" t="s">
        <v>2123</v>
      </c>
      <c r="AG48" s="42">
        <v>4.16</v>
      </c>
      <c r="AH48" s="42">
        <v>6.1</v>
      </c>
      <c r="AI48" s="42">
        <v>3.77</v>
      </c>
      <c r="AJ48" s="42">
        <v>5.14</v>
      </c>
      <c r="AK48" s="42">
        <v>5.47</v>
      </c>
      <c r="AL48" s="42">
        <v>1.84</v>
      </c>
      <c r="AM48" s="42">
        <v>2.11</v>
      </c>
      <c r="AN48" s="46">
        <v>0</v>
      </c>
      <c r="AP48" s="44" t="s">
        <v>2124</v>
      </c>
      <c r="AQ48" s="42">
        <v>2.59</v>
      </c>
      <c r="AR48" s="42">
        <v>1.17</v>
      </c>
      <c r="AS48" s="42">
        <v>2.59</v>
      </c>
      <c r="AT48" s="42">
        <v>3.56</v>
      </c>
      <c r="AU48" s="42">
        <v>1.37</v>
      </c>
      <c r="AV48" s="42">
        <v>1.17</v>
      </c>
      <c r="AW48" s="42">
        <v>0.33</v>
      </c>
      <c r="AX48" s="46">
        <v>0</v>
      </c>
      <c r="AZ48" s="44" t="s">
        <v>2125</v>
      </c>
      <c r="BA48" s="42">
        <v>0.53</v>
      </c>
      <c r="BB48" s="42">
        <v>0.45</v>
      </c>
      <c r="BC48" s="42">
        <v>0.39</v>
      </c>
      <c r="BD48" s="42">
        <v>1.61</v>
      </c>
      <c r="BE48" s="42">
        <v>0.73</v>
      </c>
      <c r="BF48" s="42">
        <v>1.89</v>
      </c>
      <c r="BG48" s="42">
        <v>0.62</v>
      </c>
      <c r="BH48" s="46">
        <v>4.18</v>
      </c>
      <c r="BJ48" s="44" t="s">
        <v>2126</v>
      </c>
      <c r="BK48" s="42">
        <v>12.69</v>
      </c>
      <c r="BL48" s="42">
        <v>1.61</v>
      </c>
      <c r="BM48" s="42">
        <v>0.2</v>
      </c>
      <c r="BN48" s="42">
        <v>3.56</v>
      </c>
      <c r="BO48" s="42">
        <v>1.89</v>
      </c>
      <c r="BP48" s="42">
        <v>2.59</v>
      </c>
      <c r="BQ48" s="42">
        <v>0.2</v>
      </c>
      <c r="BR48" s="46">
        <v>0.2</v>
      </c>
      <c r="BT48" s="44" t="s">
        <v>2127</v>
      </c>
      <c r="BU48" s="42">
        <v>0.73</v>
      </c>
      <c r="BV48" s="42">
        <v>0.45</v>
      </c>
      <c r="BW48" s="42">
        <v>0.15</v>
      </c>
      <c r="BX48" s="42">
        <v>0</v>
      </c>
      <c r="BY48" s="42">
        <v>2.21</v>
      </c>
      <c r="BZ48" s="42">
        <v>0.73</v>
      </c>
      <c r="CA48" s="42">
        <v>0.45</v>
      </c>
      <c r="CB48" s="46">
        <v>2.21</v>
      </c>
    </row>
    <row r="49" spans="2:80">
      <c r="B49" s="44" t="s">
        <v>2128</v>
      </c>
      <c r="C49" s="42">
        <v>3.02</v>
      </c>
      <c r="D49" s="42">
        <v>4.37</v>
      </c>
      <c r="E49" s="42">
        <v>5.3</v>
      </c>
      <c r="F49" s="42">
        <v>1.42</v>
      </c>
      <c r="G49" s="42">
        <v>4.3600000000000003</v>
      </c>
      <c r="H49" s="42">
        <v>4.83</v>
      </c>
      <c r="I49" s="42">
        <v>1.75</v>
      </c>
      <c r="J49" s="46">
        <v>2.19</v>
      </c>
      <c r="L49" s="44" t="s">
        <v>2129</v>
      </c>
      <c r="M49" s="42">
        <v>2.85</v>
      </c>
      <c r="N49" s="42">
        <v>5.45</v>
      </c>
      <c r="O49" s="42">
        <v>5.17</v>
      </c>
      <c r="P49" s="42">
        <v>6.1</v>
      </c>
      <c r="Q49" s="42">
        <v>0</v>
      </c>
      <c r="R49" s="42">
        <v>2.13</v>
      </c>
      <c r="S49" s="42">
        <v>3.05</v>
      </c>
      <c r="T49" s="46">
        <v>3.41</v>
      </c>
      <c r="V49" s="44" t="s">
        <v>2130</v>
      </c>
      <c r="W49" s="42">
        <v>3.9</v>
      </c>
      <c r="X49" s="42">
        <v>4.29</v>
      </c>
      <c r="Y49" s="42">
        <v>4.13</v>
      </c>
      <c r="Z49" s="42">
        <v>4.28</v>
      </c>
      <c r="AA49" s="42">
        <v>3.61</v>
      </c>
      <c r="AB49" s="42">
        <v>3.15</v>
      </c>
      <c r="AC49" s="42">
        <v>1.66</v>
      </c>
      <c r="AD49" s="46">
        <v>1.24</v>
      </c>
      <c r="AF49" s="44" t="s">
        <v>2131</v>
      </c>
      <c r="AG49" s="42">
        <v>4.1500000000000004</v>
      </c>
      <c r="AH49" s="42">
        <v>0</v>
      </c>
      <c r="AI49" s="42">
        <v>3.74</v>
      </c>
      <c r="AJ49" s="42">
        <v>5.19</v>
      </c>
      <c r="AK49" s="42">
        <v>5.47</v>
      </c>
      <c r="AL49" s="42">
        <v>1.83</v>
      </c>
      <c r="AM49" s="42">
        <v>3.77</v>
      </c>
      <c r="AN49" s="46">
        <v>0</v>
      </c>
      <c r="AP49" s="44" t="s">
        <v>2132</v>
      </c>
      <c r="AQ49" s="42">
        <v>0.85</v>
      </c>
      <c r="AR49" s="42">
        <v>1.17</v>
      </c>
      <c r="AS49" s="42">
        <v>2.59</v>
      </c>
      <c r="AT49" s="42">
        <v>3.04</v>
      </c>
      <c r="AU49" s="42">
        <v>1.37</v>
      </c>
      <c r="AV49" s="42">
        <v>1.37</v>
      </c>
      <c r="AW49" s="42">
        <v>0.33</v>
      </c>
      <c r="AX49" s="46">
        <v>0</v>
      </c>
      <c r="AZ49" s="44" t="s">
        <v>2133</v>
      </c>
      <c r="BA49" s="42">
        <v>0.53</v>
      </c>
      <c r="BB49" s="42">
        <v>4.18</v>
      </c>
      <c r="BC49" s="42">
        <v>0.39</v>
      </c>
      <c r="BD49" s="42">
        <v>1.61</v>
      </c>
      <c r="BE49" s="42">
        <v>2.59</v>
      </c>
      <c r="BF49" s="42">
        <v>1.89</v>
      </c>
      <c r="BG49" s="42">
        <v>0.73</v>
      </c>
      <c r="BH49" s="46">
        <v>1.17</v>
      </c>
      <c r="BJ49" s="44" t="s">
        <v>2134</v>
      </c>
      <c r="BK49" s="42">
        <v>12.69</v>
      </c>
      <c r="BL49" s="42">
        <v>1.61</v>
      </c>
      <c r="BM49" s="42">
        <v>1.61</v>
      </c>
      <c r="BN49" s="42">
        <v>3.56</v>
      </c>
      <c r="BO49" s="42">
        <v>1.89</v>
      </c>
      <c r="BP49" s="42">
        <v>2.59</v>
      </c>
      <c r="BQ49" s="42">
        <v>0.24</v>
      </c>
      <c r="BR49" s="46">
        <v>0.24</v>
      </c>
      <c r="BT49" s="44" t="s">
        <v>2135</v>
      </c>
      <c r="BU49" s="42">
        <v>0.85</v>
      </c>
      <c r="BV49" s="42">
        <v>0.45</v>
      </c>
      <c r="BW49" s="42">
        <v>0.15</v>
      </c>
      <c r="BX49" s="42">
        <v>0</v>
      </c>
      <c r="BY49" s="42">
        <v>1.89</v>
      </c>
      <c r="BZ49" s="42">
        <v>0.73</v>
      </c>
      <c r="CA49" s="42">
        <v>0.45</v>
      </c>
      <c r="CB49" s="46">
        <v>2.21</v>
      </c>
    </row>
    <row r="50" spans="2:80">
      <c r="B50" s="44" t="s">
        <v>2136</v>
      </c>
      <c r="C50" s="42">
        <v>2.96</v>
      </c>
      <c r="D50" s="42">
        <v>4.3899999999999997</v>
      </c>
      <c r="E50" s="42">
        <v>5.26</v>
      </c>
      <c r="F50" s="42">
        <v>5.62</v>
      </c>
      <c r="G50" s="42">
        <v>4.34</v>
      </c>
      <c r="H50" s="42">
        <v>4.82</v>
      </c>
      <c r="I50" s="42">
        <v>1.74</v>
      </c>
      <c r="J50" s="46">
        <v>2.27</v>
      </c>
      <c r="L50" s="44" t="s">
        <v>2137</v>
      </c>
      <c r="M50" s="42">
        <v>2.86</v>
      </c>
      <c r="N50" s="42">
        <v>5.49</v>
      </c>
      <c r="O50" s="42">
        <v>5.15</v>
      </c>
      <c r="P50" s="42">
        <v>6.07</v>
      </c>
      <c r="Q50" s="42">
        <v>0</v>
      </c>
      <c r="R50" s="42">
        <v>3.72</v>
      </c>
      <c r="S50" s="42">
        <v>3.02</v>
      </c>
      <c r="T50" s="46">
        <v>3.45</v>
      </c>
      <c r="V50" s="44" t="s">
        <v>2138</v>
      </c>
      <c r="W50" s="42">
        <v>3.91</v>
      </c>
      <c r="X50" s="42">
        <v>4.25</v>
      </c>
      <c r="Y50" s="42">
        <v>4.17</v>
      </c>
      <c r="Z50" s="42">
        <v>4.28</v>
      </c>
      <c r="AA50" s="42">
        <v>3.62</v>
      </c>
      <c r="AB50" s="42">
        <v>3.14</v>
      </c>
      <c r="AC50" s="42">
        <v>1.67</v>
      </c>
      <c r="AD50" s="46">
        <v>1.29</v>
      </c>
      <c r="AF50" s="44" t="s">
        <v>2139</v>
      </c>
      <c r="AG50" s="42">
        <v>4.1500000000000004</v>
      </c>
      <c r="AH50" s="42">
        <v>0</v>
      </c>
      <c r="AI50" s="42">
        <v>3.76</v>
      </c>
      <c r="AJ50" s="42">
        <v>5.15</v>
      </c>
      <c r="AK50" s="42">
        <v>5.48</v>
      </c>
      <c r="AL50" s="42">
        <v>1.85</v>
      </c>
      <c r="AM50" s="42">
        <v>3.76</v>
      </c>
      <c r="AN50" s="46">
        <v>0</v>
      </c>
      <c r="AP50" s="44" t="s">
        <v>2140</v>
      </c>
      <c r="AQ50" s="42">
        <v>2.59</v>
      </c>
      <c r="AR50" s="42">
        <v>1.17</v>
      </c>
      <c r="AS50" s="42">
        <v>2.59</v>
      </c>
      <c r="AT50" s="42">
        <v>3.56</v>
      </c>
      <c r="AU50" s="42">
        <v>1.37</v>
      </c>
      <c r="AV50" s="42">
        <v>1.37</v>
      </c>
      <c r="AW50" s="42">
        <v>0.33</v>
      </c>
      <c r="AX50" s="46">
        <v>6.72</v>
      </c>
      <c r="AZ50" s="44" t="s">
        <v>2141</v>
      </c>
      <c r="BA50" s="42">
        <v>1.17</v>
      </c>
      <c r="BB50" s="42">
        <v>0.39</v>
      </c>
      <c r="BC50" s="42">
        <v>0.39</v>
      </c>
      <c r="BD50" s="42">
        <v>1.61</v>
      </c>
      <c r="BE50" s="42">
        <v>2.59</v>
      </c>
      <c r="BF50" s="42">
        <v>1.89</v>
      </c>
      <c r="BG50" s="42">
        <v>0.73</v>
      </c>
      <c r="BH50" s="46">
        <v>1.17</v>
      </c>
      <c r="BJ50" s="44" t="s">
        <v>2142</v>
      </c>
      <c r="BK50" s="42">
        <v>12.69</v>
      </c>
      <c r="BL50" s="42">
        <v>1.61</v>
      </c>
      <c r="BM50" s="42">
        <v>1.61</v>
      </c>
      <c r="BN50" s="42">
        <v>3.56</v>
      </c>
      <c r="BO50" s="42">
        <v>1.89</v>
      </c>
      <c r="BP50" s="42">
        <v>2.59</v>
      </c>
      <c r="BQ50" s="42">
        <v>0.17</v>
      </c>
      <c r="BR50" s="46">
        <v>0.28000000000000003</v>
      </c>
      <c r="BT50" s="44" t="s">
        <v>2143</v>
      </c>
      <c r="BU50" s="42">
        <v>0.85</v>
      </c>
      <c r="BV50" s="42">
        <v>0.39</v>
      </c>
      <c r="BW50" s="42">
        <v>0.15</v>
      </c>
      <c r="BX50" s="42">
        <v>0</v>
      </c>
      <c r="BY50" s="42">
        <v>1.89</v>
      </c>
      <c r="BZ50" s="42">
        <v>0.62</v>
      </c>
      <c r="CA50" s="42">
        <v>0.45</v>
      </c>
      <c r="CB50" s="46">
        <v>1.89</v>
      </c>
    </row>
    <row r="51" spans="2:80">
      <c r="B51" s="44" t="s">
        <v>2144</v>
      </c>
      <c r="C51" s="42">
        <v>2.96</v>
      </c>
      <c r="D51" s="42">
        <v>4.37</v>
      </c>
      <c r="E51" s="42">
        <v>5.3</v>
      </c>
      <c r="F51" s="42">
        <v>1.71</v>
      </c>
      <c r="G51" s="42">
        <v>4.33</v>
      </c>
      <c r="H51" s="42">
        <v>4.83</v>
      </c>
      <c r="I51" s="42">
        <v>1.77</v>
      </c>
      <c r="J51" s="46">
        <v>2.17</v>
      </c>
      <c r="L51" s="44" t="s">
        <v>2145</v>
      </c>
      <c r="M51" s="42">
        <v>2.82</v>
      </c>
      <c r="N51" s="42">
        <v>5.44</v>
      </c>
      <c r="O51" s="42">
        <v>5.19</v>
      </c>
      <c r="P51" s="42">
        <v>6.05</v>
      </c>
      <c r="Q51" s="42">
        <v>0</v>
      </c>
      <c r="R51" s="42">
        <v>3.73</v>
      </c>
      <c r="S51" s="42">
        <v>3.05</v>
      </c>
      <c r="T51" s="46">
        <v>3.44</v>
      </c>
      <c r="V51" s="44" t="s">
        <v>2146</v>
      </c>
      <c r="W51" s="42">
        <v>3.92</v>
      </c>
      <c r="X51" s="42">
        <v>4.29</v>
      </c>
      <c r="Y51" s="42">
        <v>4.1900000000000004</v>
      </c>
      <c r="Z51" s="42">
        <v>4.29</v>
      </c>
      <c r="AA51" s="42">
        <v>3.66</v>
      </c>
      <c r="AB51" s="42">
        <v>3.12</v>
      </c>
      <c r="AC51" s="42">
        <v>1.7</v>
      </c>
      <c r="AD51" s="46">
        <v>1.26</v>
      </c>
      <c r="AF51" s="44" t="s">
        <v>2147</v>
      </c>
      <c r="AG51" s="42">
        <v>4.1500000000000004</v>
      </c>
      <c r="AH51" s="42">
        <v>6.02</v>
      </c>
      <c r="AI51" s="42">
        <v>3.79</v>
      </c>
      <c r="AJ51" s="42">
        <v>5.14</v>
      </c>
      <c r="AK51" s="42">
        <v>5.44</v>
      </c>
      <c r="AL51" s="42">
        <v>1.84</v>
      </c>
      <c r="AM51" s="42">
        <v>3.76</v>
      </c>
      <c r="AN51" s="46">
        <v>3.11</v>
      </c>
      <c r="AP51" s="44" t="s">
        <v>2148</v>
      </c>
      <c r="AQ51" s="42">
        <v>2.59</v>
      </c>
      <c r="AR51" s="42">
        <v>0</v>
      </c>
      <c r="AS51" s="42">
        <v>2.21</v>
      </c>
      <c r="AT51" s="42">
        <v>3.04</v>
      </c>
      <c r="AU51" s="42">
        <v>1.37</v>
      </c>
      <c r="AV51" s="42">
        <v>1.37</v>
      </c>
      <c r="AW51" s="42">
        <v>1.37</v>
      </c>
      <c r="AX51" s="46">
        <v>0</v>
      </c>
      <c r="AZ51" s="44" t="s">
        <v>2149</v>
      </c>
      <c r="BA51" s="42">
        <v>0.53</v>
      </c>
      <c r="BB51" s="42">
        <v>4.18</v>
      </c>
      <c r="BC51" s="42">
        <v>0.33</v>
      </c>
      <c r="BD51" s="42">
        <v>1.61</v>
      </c>
      <c r="BE51" s="42">
        <v>2.21</v>
      </c>
      <c r="BF51" s="42">
        <v>1.89</v>
      </c>
      <c r="BG51" s="42">
        <v>0.73</v>
      </c>
      <c r="BH51" s="46">
        <v>1.17</v>
      </c>
      <c r="BJ51" s="44" t="s">
        <v>2150</v>
      </c>
      <c r="BK51" s="42">
        <v>10.83</v>
      </c>
      <c r="BL51" s="42">
        <v>1.61</v>
      </c>
      <c r="BM51" s="42">
        <v>1.61</v>
      </c>
      <c r="BN51" s="42">
        <v>3.56</v>
      </c>
      <c r="BO51" s="42">
        <v>1.89</v>
      </c>
      <c r="BP51" s="42">
        <v>2.21</v>
      </c>
      <c r="BQ51" s="42">
        <v>0.24</v>
      </c>
      <c r="BR51" s="46">
        <v>0.53</v>
      </c>
      <c r="BT51" s="44" t="s">
        <v>2151</v>
      </c>
      <c r="BU51" s="42">
        <v>0.73</v>
      </c>
      <c r="BV51" s="42">
        <v>0.45</v>
      </c>
      <c r="BW51" s="42">
        <v>0.15</v>
      </c>
      <c r="BX51" s="42">
        <v>1.17</v>
      </c>
      <c r="BY51" s="42">
        <v>1.89</v>
      </c>
      <c r="BZ51" s="42">
        <v>0.73</v>
      </c>
      <c r="CA51" s="42">
        <v>0.24</v>
      </c>
      <c r="CB51" s="46">
        <v>3.56</v>
      </c>
    </row>
    <row r="52" spans="2:80">
      <c r="B52" s="44" t="s">
        <v>2152</v>
      </c>
      <c r="C52" s="42">
        <v>3.03</v>
      </c>
      <c r="D52" s="42">
        <v>4.3899999999999997</v>
      </c>
      <c r="E52" s="42">
        <v>5.36</v>
      </c>
      <c r="F52" s="42">
        <v>5.66</v>
      </c>
      <c r="G52" s="42">
        <v>4.33</v>
      </c>
      <c r="H52" s="42">
        <v>4.9000000000000004</v>
      </c>
      <c r="I52" s="42">
        <v>1.76</v>
      </c>
      <c r="J52" s="46">
        <v>2.25</v>
      </c>
      <c r="L52" s="44" t="s">
        <v>2153</v>
      </c>
      <c r="M52" s="42">
        <v>2.86</v>
      </c>
      <c r="N52" s="42">
        <v>5.48</v>
      </c>
      <c r="O52" s="42">
        <v>5.17</v>
      </c>
      <c r="P52" s="42">
        <v>6.11</v>
      </c>
      <c r="Q52" s="42">
        <v>5.12</v>
      </c>
      <c r="R52" s="42">
        <v>3.75</v>
      </c>
      <c r="S52" s="42">
        <v>3.06</v>
      </c>
      <c r="T52" s="46">
        <v>3.42</v>
      </c>
      <c r="V52" s="44" t="s">
        <v>2154</v>
      </c>
      <c r="W52" s="42">
        <v>3.93</v>
      </c>
      <c r="X52" s="42">
        <v>4.28</v>
      </c>
      <c r="Y52" s="42">
        <v>4.21</v>
      </c>
      <c r="Z52" s="42">
        <v>4.26</v>
      </c>
      <c r="AA52" s="42">
        <v>3.63</v>
      </c>
      <c r="AB52" s="42">
        <v>3.1</v>
      </c>
      <c r="AC52" s="42">
        <v>1.61</v>
      </c>
      <c r="AD52" s="46">
        <v>1.26</v>
      </c>
      <c r="AF52" s="44" t="s">
        <v>2155</v>
      </c>
      <c r="AG52" s="42">
        <v>4.1500000000000004</v>
      </c>
      <c r="AH52" s="42">
        <v>6.09</v>
      </c>
      <c r="AI52" s="42">
        <v>3.75</v>
      </c>
      <c r="AJ52" s="42">
        <v>0.44</v>
      </c>
      <c r="AK52" s="42">
        <v>5.46</v>
      </c>
      <c r="AL52" s="42">
        <v>1.84</v>
      </c>
      <c r="AM52" s="42">
        <v>3.75</v>
      </c>
      <c r="AN52" s="46">
        <v>3.17</v>
      </c>
      <c r="AP52" s="44" t="s">
        <v>2156</v>
      </c>
      <c r="AQ52" s="42">
        <v>2.59</v>
      </c>
      <c r="AR52" s="42">
        <v>1.17</v>
      </c>
      <c r="AS52" s="42">
        <v>2.59</v>
      </c>
      <c r="AT52" s="42">
        <v>3.04</v>
      </c>
      <c r="AU52" s="42">
        <v>1.37</v>
      </c>
      <c r="AV52" s="42">
        <v>1.17</v>
      </c>
      <c r="AW52" s="42">
        <v>1.17</v>
      </c>
      <c r="AX52" s="46">
        <v>0</v>
      </c>
      <c r="AZ52" s="44" t="s">
        <v>2157</v>
      </c>
      <c r="BA52" s="42">
        <v>0.53</v>
      </c>
      <c r="BB52" s="42">
        <v>0.45</v>
      </c>
      <c r="BC52" s="42">
        <v>0.33</v>
      </c>
      <c r="BD52" s="42">
        <v>3.56</v>
      </c>
      <c r="BE52" s="42">
        <v>20.43</v>
      </c>
      <c r="BF52" s="42">
        <v>2.21</v>
      </c>
      <c r="BG52" s="42">
        <v>0.62</v>
      </c>
      <c r="BH52" s="46">
        <v>1.37</v>
      </c>
      <c r="BJ52" s="44" t="s">
        <v>2158</v>
      </c>
      <c r="BK52" s="42">
        <v>10.83</v>
      </c>
      <c r="BL52" s="42">
        <v>1.61</v>
      </c>
      <c r="BM52" s="42">
        <v>1.61</v>
      </c>
      <c r="BN52" s="42">
        <v>0.85</v>
      </c>
      <c r="BO52" s="42">
        <v>1.61</v>
      </c>
      <c r="BP52" s="42">
        <v>2.21</v>
      </c>
      <c r="BQ52" s="42">
        <v>0.2</v>
      </c>
      <c r="BR52" s="46">
        <v>0.24</v>
      </c>
      <c r="BT52" s="44" t="s">
        <v>2159</v>
      </c>
      <c r="BU52" s="42">
        <v>0.73</v>
      </c>
      <c r="BV52" s="42">
        <v>0.45</v>
      </c>
      <c r="BW52" s="42">
        <v>0.15</v>
      </c>
      <c r="BX52" s="42">
        <v>1.17</v>
      </c>
      <c r="BY52" s="42">
        <v>1.89</v>
      </c>
      <c r="BZ52" s="42">
        <v>0.33</v>
      </c>
      <c r="CA52" s="42">
        <v>0.39</v>
      </c>
      <c r="CB52" s="46">
        <v>2.21</v>
      </c>
    </row>
    <row r="53" spans="2:80">
      <c r="B53" s="44" t="s">
        <v>2160</v>
      </c>
      <c r="C53" s="42">
        <v>2.95</v>
      </c>
      <c r="D53" s="42">
        <v>1.22</v>
      </c>
      <c r="E53" s="42">
        <v>5.31</v>
      </c>
      <c r="F53" s="42">
        <v>0.17</v>
      </c>
      <c r="G53" s="42">
        <v>4.32</v>
      </c>
      <c r="H53" s="42">
        <v>4.83</v>
      </c>
      <c r="I53" s="42">
        <v>1.75</v>
      </c>
      <c r="J53" s="46">
        <v>2.16</v>
      </c>
      <c r="L53" s="44" t="s">
        <v>2161</v>
      </c>
      <c r="M53" s="42">
        <v>2.78</v>
      </c>
      <c r="N53" s="42">
        <v>5.48</v>
      </c>
      <c r="O53" s="42">
        <v>5.16</v>
      </c>
      <c r="P53" s="42">
        <v>6.08</v>
      </c>
      <c r="Q53" s="42">
        <v>0</v>
      </c>
      <c r="R53" s="42">
        <v>0.51</v>
      </c>
      <c r="S53" s="42">
        <v>3.05</v>
      </c>
      <c r="T53" s="46">
        <v>3.48</v>
      </c>
      <c r="V53" s="44" t="s">
        <v>2162</v>
      </c>
      <c r="W53" s="42">
        <v>3.9</v>
      </c>
      <c r="X53" s="42">
        <v>4.3</v>
      </c>
      <c r="Y53" s="42">
        <v>4.17</v>
      </c>
      <c r="Z53" s="42">
        <v>4.28</v>
      </c>
      <c r="AA53" s="42">
        <v>3.59</v>
      </c>
      <c r="AB53" s="42">
        <v>3.1</v>
      </c>
      <c r="AC53" s="42">
        <v>1.63</v>
      </c>
      <c r="AD53" s="46">
        <v>1.32</v>
      </c>
      <c r="AF53" s="44" t="s">
        <v>2163</v>
      </c>
      <c r="AG53" s="42">
        <v>4.1500000000000004</v>
      </c>
      <c r="AH53" s="42">
        <v>6.12</v>
      </c>
      <c r="AI53" s="42">
        <v>1.7</v>
      </c>
      <c r="AJ53" s="42">
        <v>5.21</v>
      </c>
      <c r="AK53" s="42">
        <v>5.45</v>
      </c>
      <c r="AL53" s="42">
        <v>1.85</v>
      </c>
      <c r="AM53" s="42">
        <v>3.76</v>
      </c>
      <c r="AN53" s="46">
        <v>3.13</v>
      </c>
      <c r="AP53" s="44" t="s">
        <v>2164</v>
      </c>
      <c r="AQ53" s="42">
        <v>2.59</v>
      </c>
      <c r="AR53" s="42">
        <v>1.17</v>
      </c>
      <c r="AS53" s="42">
        <v>2.21</v>
      </c>
      <c r="AT53" s="42">
        <v>3.56</v>
      </c>
      <c r="AU53" s="42">
        <v>1.17</v>
      </c>
      <c r="AV53" s="42">
        <v>1.37</v>
      </c>
      <c r="AW53" s="42">
        <v>1.37</v>
      </c>
      <c r="AX53" s="46">
        <v>6.72</v>
      </c>
      <c r="AZ53" s="44" t="s">
        <v>2165</v>
      </c>
      <c r="BA53" s="42">
        <v>0.53</v>
      </c>
      <c r="BB53" s="42">
        <v>4.18</v>
      </c>
      <c r="BC53" s="42">
        <v>0.39</v>
      </c>
      <c r="BD53" s="42">
        <v>1.61</v>
      </c>
      <c r="BE53" s="42">
        <v>2.21</v>
      </c>
      <c r="BF53" s="42">
        <v>1.89</v>
      </c>
      <c r="BG53" s="42">
        <v>0.62</v>
      </c>
      <c r="BH53" s="46">
        <v>1.17</v>
      </c>
      <c r="BJ53" s="44" t="s">
        <v>2166</v>
      </c>
      <c r="BK53" s="42">
        <v>14.87</v>
      </c>
      <c r="BL53" s="42">
        <v>0.85</v>
      </c>
      <c r="BM53" s="42">
        <v>1.61</v>
      </c>
      <c r="BN53" s="42">
        <v>0</v>
      </c>
      <c r="BO53" s="42">
        <v>1.61</v>
      </c>
      <c r="BP53" s="42">
        <v>2.59</v>
      </c>
      <c r="BQ53" s="42">
        <v>0.2</v>
      </c>
      <c r="BR53" s="46">
        <v>0.2</v>
      </c>
      <c r="BT53" s="44" t="s">
        <v>2167</v>
      </c>
      <c r="BU53" s="42">
        <v>0.85</v>
      </c>
      <c r="BV53" s="42">
        <v>0.45</v>
      </c>
      <c r="BW53" s="42">
        <v>0.15</v>
      </c>
      <c r="BX53" s="42">
        <v>1.17</v>
      </c>
      <c r="BY53" s="42">
        <v>2.21</v>
      </c>
      <c r="BZ53" s="42">
        <v>0.73</v>
      </c>
      <c r="CA53" s="42">
        <v>0.24</v>
      </c>
      <c r="CB53" s="46">
        <v>2.21</v>
      </c>
    </row>
    <row r="54" spans="2:80">
      <c r="B54" s="44" t="s">
        <v>2168</v>
      </c>
      <c r="C54" s="42">
        <v>2.99</v>
      </c>
      <c r="D54" s="42">
        <v>4.37</v>
      </c>
      <c r="E54" s="42">
        <v>5.32</v>
      </c>
      <c r="F54" s="42">
        <v>4.04</v>
      </c>
      <c r="G54" s="42">
        <v>4.3</v>
      </c>
      <c r="H54" s="42">
        <v>4.91</v>
      </c>
      <c r="I54" s="42">
        <v>1.79</v>
      </c>
      <c r="J54" s="46">
        <v>2.25</v>
      </c>
      <c r="L54" s="44" t="s">
        <v>2169</v>
      </c>
      <c r="M54" s="42">
        <v>2.83</v>
      </c>
      <c r="N54" s="42">
        <v>5.48</v>
      </c>
      <c r="O54" s="42">
        <v>5.21</v>
      </c>
      <c r="P54" s="42">
        <v>4.59</v>
      </c>
      <c r="Q54" s="42">
        <v>0</v>
      </c>
      <c r="R54" s="42">
        <v>3.71</v>
      </c>
      <c r="S54" s="42">
        <v>3.06</v>
      </c>
      <c r="T54" s="46">
        <v>3.46</v>
      </c>
      <c r="V54" s="44" t="s">
        <v>2170</v>
      </c>
      <c r="W54" s="42">
        <v>3.92</v>
      </c>
      <c r="X54" s="42">
        <v>4.29</v>
      </c>
      <c r="Y54" s="42">
        <v>4.16</v>
      </c>
      <c r="Z54" s="42">
        <v>4.32</v>
      </c>
      <c r="AA54" s="42">
        <v>3.55</v>
      </c>
      <c r="AB54" s="42">
        <v>3.11</v>
      </c>
      <c r="AC54" s="42">
        <v>1.62</v>
      </c>
      <c r="AD54" s="46">
        <v>1.27</v>
      </c>
      <c r="AF54" s="44" t="s">
        <v>2171</v>
      </c>
      <c r="AG54" s="42">
        <v>4.1399999999999997</v>
      </c>
      <c r="AH54" s="42">
        <v>3.03</v>
      </c>
      <c r="AI54" s="42">
        <v>3.77</v>
      </c>
      <c r="AJ54" s="42">
        <v>5.07</v>
      </c>
      <c r="AK54" s="42">
        <v>5.46</v>
      </c>
      <c r="AL54" s="42">
        <v>1.85</v>
      </c>
      <c r="AM54" s="42">
        <v>3.74</v>
      </c>
      <c r="AN54" s="46">
        <v>3.09</v>
      </c>
      <c r="AP54" s="44" t="s">
        <v>2172</v>
      </c>
      <c r="AQ54" s="42">
        <v>2.59</v>
      </c>
      <c r="AR54" s="42">
        <v>1.17</v>
      </c>
      <c r="AS54" s="42">
        <v>0</v>
      </c>
      <c r="AT54" s="42">
        <v>3.56</v>
      </c>
      <c r="AU54" s="42">
        <v>1.17</v>
      </c>
      <c r="AV54" s="42">
        <v>1.37</v>
      </c>
      <c r="AW54" s="42">
        <v>1.17</v>
      </c>
      <c r="AX54" s="46">
        <v>0</v>
      </c>
      <c r="AZ54" s="44" t="s">
        <v>2173</v>
      </c>
      <c r="BA54" s="42">
        <v>0.53</v>
      </c>
      <c r="BB54" s="42">
        <v>0.45</v>
      </c>
      <c r="BC54" s="42">
        <v>0.33</v>
      </c>
      <c r="BD54" s="42">
        <v>1.61</v>
      </c>
      <c r="BE54" s="42">
        <v>2.21</v>
      </c>
      <c r="BF54" s="42">
        <v>1.89</v>
      </c>
      <c r="BG54" s="42">
        <v>0.62</v>
      </c>
      <c r="BH54" s="46">
        <v>1.17</v>
      </c>
      <c r="BJ54" s="44" t="s">
        <v>2174</v>
      </c>
      <c r="BK54" s="42">
        <v>14.87</v>
      </c>
      <c r="BL54" s="42">
        <v>1.61</v>
      </c>
      <c r="BM54" s="42">
        <v>1.61</v>
      </c>
      <c r="BN54" s="42">
        <v>3.56</v>
      </c>
      <c r="BO54" s="42">
        <v>1.89</v>
      </c>
      <c r="BP54" s="42">
        <v>2.59</v>
      </c>
      <c r="BQ54" s="42">
        <v>0.28000000000000003</v>
      </c>
      <c r="BR54" s="46">
        <v>0.53</v>
      </c>
      <c r="BT54" s="44" t="s">
        <v>2175</v>
      </c>
      <c r="BU54" s="42">
        <v>0</v>
      </c>
      <c r="BV54" s="42">
        <v>1.37</v>
      </c>
      <c r="BW54" s="42">
        <v>0.13</v>
      </c>
      <c r="BX54" s="42">
        <v>3.04</v>
      </c>
      <c r="BY54" s="42">
        <v>1.61</v>
      </c>
      <c r="BZ54" s="42">
        <v>0.33</v>
      </c>
      <c r="CA54" s="42">
        <v>0.39</v>
      </c>
      <c r="CB54" s="46">
        <v>3.56</v>
      </c>
    </row>
    <row r="55" spans="2:80">
      <c r="B55" s="44" t="s">
        <v>2176</v>
      </c>
      <c r="C55" s="42">
        <v>3.02</v>
      </c>
      <c r="D55" s="42">
        <v>4.37</v>
      </c>
      <c r="E55" s="42">
        <v>5.3</v>
      </c>
      <c r="F55" s="42">
        <v>5.63</v>
      </c>
      <c r="G55" s="42">
        <v>4.34</v>
      </c>
      <c r="H55" s="42">
        <v>0.57999999999999996</v>
      </c>
      <c r="I55" s="42">
        <v>1.75</v>
      </c>
      <c r="J55" s="46">
        <v>2.27</v>
      </c>
      <c r="L55" s="44" t="s">
        <v>2177</v>
      </c>
      <c r="M55" s="42">
        <v>2.86</v>
      </c>
      <c r="N55" s="42">
        <v>5.44</v>
      </c>
      <c r="O55" s="42">
        <v>5.19</v>
      </c>
      <c r="P55" s="42">
        <v>3.86</v>
      </c>
      <c r="Q55" s="42">
        <v>0</v>
      </c>
      <c r="R55" s="42">
        <v>3.75</v>
      </c>
      <c r="S55" s="42">
        <v>3.03</v>
      </c>
      <c r="T55" s="46">
        <v>3.42</v>
      </c>
      <c r="V55" s="44" t="s">
        <v>2178</v>
      </c>
      <c r="W55" s="42">
        <v>3.92</v>
      </c>
      <c r="X55" s="42">
        <v>4.25</v>
      </c>
      <c r="Y55" s="42">
        <v>4.16</v>
      </c>
      <c r="Z55" s="42">
        <v>4.29</v>
      </c>
      <c r="AA55" s="42">
        <v>3.59</v>
      </c>
      <c r="AB55" s="42">
        <v>2.42</v>
      </c>
      <c r="AC55" s="42">
        <v>1.63</v>
      </c>
      <c r="AD55" s="46">
        <v>1.25</v>
      </c>
      <c r="AF55" s="44" t="s">
        <v>2179</v>
      </c>
      <c r="AG55" s="42">
        <v>4.1399999999999997</v>
      </c>
      <c r="AH55" s="42">
        <v>6.14</v>
      </c>
      <c r="AI55" s="42">
        <v>3.79</v>
      </c>
      <c r="AJ55" s="42">
        <v>5.16</v>
      </c>
      <c r="AK55" s="42">
        <v>5.48</v>
      </c>
      <c r="AL55" s="42">
        <v>1.87</v>
      </c>
      <c r="AM55" s="42">
        <v>3.77</v>
      </c>
      <c r="AN55" s="46">
        <v>3.18</v>
      </c>
      <c r="AP55" s="44" t="s">
        <v>2180</v>
      </c>
      <c r="AQ55" s="42">
        <v>2.59</v>
      </c>
      <c r="AR55" s="42">
        <v>0</v>
      </c>
      <c r="AS55" s="42">
        <v>2.59</v>
      </c>
      <c r="AT55" s="42">
        <v>3.56</v>
      </c>
      <c r="AU55" s="42">
        <v>1.37</v>
      </c>
      <c r="AV55" s="42">
        <v>1.17</v>
      </c>
      <c r="AW55" s="42">
        <v>1.17</v>
      </c>
      <c r="AX55" s="46">
        <v>0</v>
      </c>
      <c r="AZ55" s="44" t="s">
        <v>2181</v>
      </c>
      <c r="BA55" s="42">
        <v>0.45</v>
      </c>
      <c r="BB55" s="42">
        <v>4.18</v>
      </c>
      <c r="BC55" s="42">
        <v>0.39</v>
      </c>
      <c r="BD55" s="42">
        <v>1.61</v>
      </c>
      <c r="BE55" s="42">
        <v>2.59</v>
      </c>
      <c r="BF55" s="42">
        <v>1.89</v>
      </c>
      <c r="BG55" s="42">
        <v>0.62</v>
      </c>
      <c r="BH55" s="46">
        <v>1.17</v>
      </c>
      <c r="BJ55" s="44" t="s">
        <v>2182</v>
      </c>
      <c r="BK55" s="42">
        <v>12.69</v>
      </c>
      <c r="BL55" s="42">
        <v>1.17</v>
      </c>
      <c r="BM55" s="42">
        <v>0.2</v>
      </c>
      <c r="BN55" s="42">
        <v>0</v>
      </c>
      <c r="BO55" s="42">
        <v>1.61</v>
      </c>
      <c r="BP55" s="42">
        <v>3.56</v>
      </c>
      <c r="BQ55" s="42">
        <v>0.24</v>
      </c>
      <c r="BR55" s="46">
        <v>0.24</v>
      </c>
      <c r="BT55" s="44" t="s">
        <v>2183</v>
      </c>
      <c r="BU55" s="42">
        <v>0</v>
      </c>
      <c r="BV55" s="42">
        <v>1.37</v>
      </c>
      <c r="BW55" s="42">
        <v>0.11</v>
      </c>
      <c r="BX55" s="42">
        <v>2.21</v>
      </c>
      <c r="BY55" s="42">
        <v>0</v>
      </c>
      <c r="BZ55" s="42">
        <v>0.33</v>
      </c>
      <c r="CA55" s="42">
        <v>0.39</v>
      </c>
      <c r="CB55" s="46">
        <v>3.56</v>
      </c>
    </row>
    <row r="56" spans="2:80">
      <c r="B56" s="44" t="s">
        <v>2184</v>
      </c>
      <c r="C56" s="42">
        <v>3.03</v>
      </c>
      <c r="D56" s="42">
        <v>4.4400000000000004</v>
      </c>
      <c r="E56" s="42">
        <v>2.63</v>
      </c>
      <c r="F56" s="42">
        <v>5.62</v>
      </c>
      <c r="G56" s="42">
        <v>4.32</v>
      </c>
      <c r="H56" s="42">
        <v>2.92</v>
      </c>
      <c r="I56" s="42">
        <v>1.75</v>
      </c>
      <c r="J56" s="46">
        <v>2.2599999999999998</v>
      </c>
      <c r="L56" s="44" t="s">
        <v>2185</v>
      </c>
      <c r="M56" s="42">
        <v>2.86</v>
      </c>
      <c r="N56" s="42">
        <v>5.49</v>
      </c>
      <c r="O56" s="42">
        <v>5.16</v>
      </c>
      <c r="P56" s="42">
        <v>6.02</v>
      </c>
      <c r="Q56" s="42">
        <v>5.38</v>
      </c>
      <c r="R56" s="42">
        <v>3.74</v>
      </c>
      <c r="S56" s="42">
        <v>3.04</v>
      </c>
      <c r="T56" s="46">
        <v>3.43</v>
      </c>
      <c r="V56" s="44" t="s">
        <v>2186</v>
      </c>
      <c r="W56" s="42">
        <v>3.9</v>
      </c>
      <c r="X56" s="42">
        <v>4.28</v>
      </c>
      <c r="Y56" s="42">
        <v>4.1900000000000004</v>
      </c>
      <c r="Z56" s="42">
        <v>4.26</v>
      </c>
      <c r="AA56" s="42">
        <v>3.25</v>
      </c>
      <c r="AB56" s="42">
        <v>3.14</v>
      </c>
      <c r="AC56" s="42">
        <v>1.62</v>
      </c>
      <c r="AD56" s="46">
        <v>1.22</v>
      </c>
      <c r="AF56" s="44" t="s">
        <v>2187</v>
      </c>
      <c r="AG56" s="42">
        <v>4.1500000000000004</v>
      </c>
      <c r="AH56" s="42">
        <v>6.07</v>
      </c>
      <c r="AI56" s="42">
        <v>3.86</v>
      </c>
      <c r="AJ56" s="42">
        <v>5.15</v>
      </c>
      <c r="AK56" s="42">
        <v>4.92</v>
      </c>
      <c r="AL56" s="42">
        <v>1.85</v>
      </c>
      <c r="AM56" s="42">
        <v>3.75</v>
      </c>
      <c r="AN56" s="46">
        <v>3.16</v>
      </c>
      <c r="AP56" s="44" t="s">
        <v>2188</v>
      </c>
      <c r="AQ56" s="42">
        <v>0</v>
      </c>
      <c r="AR56" s="42">
        <v>0</v>
      </c>
      <c r="AS56" s="42">
        <v>2.59</v>
      </c>
      <c r="AT56" s="42">
        <v>3.56</v>
      </c>
      <c r="AU56" s="42">
        <v>1.37</v>
      </c>
      <c r="AV56" s="42">
        <v>1.37</v>
      </c>
      <c r="AW56" s="42">
        <v>1.17</v>
      </c>
      <c r="AX56" s="46">
        <v>0</v>
      </c>
      <c r="AZ56" s="44" t="s">
        <v>2189</v>
      </c>
      <c r="BA56" s="42">
        <v>0.62</v>
      </c>
      <c r="BB56" s="42">
        <v>4.18</v>
      </c>
      <c r="BC56" s="42">
        <v>0.15</v>
      </c>
      <c r="BD56" s="42">
        <v>1.61</v>
      </c>
      <c r="BE56" s="42">
        <v>2.21</v>
      </c>
      <c r="BF56" s="42">
        <v>1.89</v>
      </c>
      <c r="BG56" s="42">
        <v>0.73</v>
      </c>
      <c r="BH56" s="46">
        <v>1.17</v>
      </c>
      <c r="BJ56" s="44" t="s">
        <v>2190</v>
      </c>
      <c r="BK56" s="42">
        <v>12.69</v>
      </c>
      <c r="BL56" s="42">
        <v>1.37</v>
      </c>
      <c r="BM56" s="42">
        <v>1.61</v>
      </c>
      <c r="BN56" s="42">
        <v>3.56</v>
      </c>
      <c r="BO56" s="42">
        <v>1.61</v>
      </c>
      <c r="BP56" s="42">
        <v>2.59</v>
      </c>
      <c r="BQ56" s="42">
        <v>0.24</v>
      </c>
      <c r="BR56" s="46">
        <v>0.2</v>
      </c>
      <c r="BT56" s="44" t="s">
        <v>2191</v>
      </c>
      <c r="BU56" s="42">
        <v>0</v>
      </c>
      <c r="BV56" s="42">
        <v>0.45</v>
      </c>
      <c r="BW56" s="42">
        <v>0.15</v>
      </c>
      <c r="BX56" s="42">
        <v>0</v>
      </c>
      <c r="BY56" s="42">
        <v>1.89</v>
      </c>
      <c r="BZ56" s="42">
        <v>0.73</v>
      </c>
      <c r="CA56" s="42">
        <v>0.45</v>
      </c>
      <c r="CB56" s="46">
        <v>2.21</v>
      </c>
    </row>
    <row r="57" spans="2:80">
      <c r="B57" s="44" t="s">
        <v>2192</v>
      </c>
      <c r="C57" s="42">
        <v>3.01</v>
      </c>
      <c r="D57" s="42">
        <v>1.36</v>
      </c>
      <c r="E57" s="42">
        <v>5.27</v>
      </c>
      <c r="F57" s="42">
        <v>5.62</v>
      </c>
      <c r="G57" s="42">
        <v>4.33</v>
      </c>
      <c r="H57" s="42">
        <v>4.83</v>
      </c>
      <c r="I57" s="42">
        <v>1.76</v>
      </c>
      <c r="J57" s="46">
        <v>2.25</v>
      </c>
      <c r="L57" s="44" t="s">
        <v>2193</v>
      </c>
      <c r="M57" s="42">
        <v>2.85</v>
      </c>
      <c r="N57" s="42">
        <v>5.5</v>
      </c>
      <c r="O57" s="42">
        <v>0.63</v>
      </c>
      <c r="P57" s="42">
        <v>3.99</v>
      </c>
      <c r="Q57" s="42">
        <v>0</v>
      </c>
      <c r="R57" s="42">
        <v>3.74</v>
      </c>
      <c r="S57" s="42">
        <v>3.05</v>
      </c>
      <c r="T57" s="46">
        <v>3.41</v>
      </c>
      <c r="V57" s="44" t="s">
        <v>2194</v>
      </c>
      <c r="W57" s="42">
        <v>3.94</v>
      </c>
      <c r="X57" s="42">
        <v>4.25</v>
      </c>
      <c r="Y57" s="42">
        <v>4.16</v>
      </c>
      <c r="Z57" s="42">
        <v>4.38</v>
      </c>
      <c r="AA57" s="42">
        <v>3.57</v>
      </c>
      <c r="AB57" s="42">
        <v>3.13</v>
      </c>
      <c r="AC57" s="42">
        <v>1.63</v>
      </c>
      <c r="AD57" s="46">
        <v>1.32</v>
      </c>
      <c r="AF57" s="44" t="s">
        <v>2195</v>
      </c>
      <c r="AG57" s="42">
        <v>4.1399999999999997</v>
      </c>
      <c r="AH57" s="42">
        <v>3.78</v>
      </c>
      <c r="AI57" s="42">
        <v>3.85</v>
      </c>
      <c r="AJ57" s="42">
        <v>0.49</v>
      </c>
      <c r="AK57" s="42">
        <v>5.28</v>
      </c>
      <c r="AL57" s="42">
        <v>1.85</v>
      </c>
      <c r="AM57" s="42">
        <v>3.74</v>
      </c>
      <c r="AN57" s="46">
        <v>3.19</v>
      </c>
      <c r="AP57" s="44" t="s">
        <v>2196</v>
      </c>
      <c r="AQ57" s="42">
        <v>2.21</v>
      </c>
      <c r="AR57" s="42">
        <v>1.17</v>
      </c>
      <c r="AS57" s="42">
        <v>2.59</v>
      </c>
      <c r="AT57" s="42">
        <v>3.56</v>
      </c>
      <c r="AU57" s="42">
        <v>1.37</v>
      </c>
      <c r="AV57" s="42">
        <v>1.37</v>
      </c>
      <c r="AW57" s="42">
        <v>1.37</v>
      </c>
      <c r="AX57" s="46">
        <v>0</v>
      </c>
      <c r="AZ57" s="44" t="s">
        <v>2197</v>
      </c>
      <c r="BA57" s="42">
        <v>0.62</v>
      </c>
      <c r="BB57" s="42">
        <v>4.18</v>
      </c>
      <c r="BC57" s="42">
        <v>0.39</v>
      </c>
      <c r="BD57" s="42">
        <v>1.61</v>
      </c>
      <c r="BE57" s="42">
        <v>2.21</v>
      </c>
      <c r="BF57" s="42">
        <v>1.89</v>
      </c>
      <c r="BG57" s="42">
        <v>0.73</v>
      </c>
      <c r="BH57" s="46">
        <v>1.17</v>
      </c>
      <c r="BJ57" s="44" t="s">
        <v>2198</v>
      </c>
      <c r="BK57" s="42">
        <v>9.24</v>
      </c>
      <c r="BL57" s="42">
        <v>0</v>
      </c>
      <c r="BM57" s="42">
        <v>0.2</v>
      </c>
      <c r="BN57" s="42">
        <v>1.89</v>
      </c>
      <c r="BO57" s="42">
        <v>1.37</v>
      </c>
      <c r="BP57" s="42">
        <v>3.56</v>
      </c>
      <c r="BQ57" s="42">
        <v>0.17</v>
      </c>
      <c r="BR57" s="46">
        <v>0.53</v>
      </c>
      <c r="BT57" s="44" t="s">
        <v>2199</v>
      </c>
      <c r="BU57" s="42">
        <v>0.73</v>
      </c>
      <c r="BV57" s="42">
        <v>0.39</v>
      </c>
      <c r="BW57" s="42">
        <v>0.15</v>
      </c>
      <c r="BX57" s="42">
        <v>0</v>
      </c>
      <c r="BY57" s="42">
        <v>1.89</v>
      </c>
      <c r="BZ57" s="42">
        <v>0.73</v>
      </c>
      <c r="CA57" s="42">
        <v>0.39</v>
      </c>
      <c r="CB57" s="46">
        <v>1.89</v>
      </c>
    </row>
    <row r="58" spans="2:80">
      <c r="B58" s="44" t="s">
        <v>2200</v>
      </c>
      <c r="C58" s="42">
        <v>3.02</v>
      </c>
      <c r="D58" s="42">
        <v>4.3899999999999997</v>
      </c>
      <c r="E58" s="42">
        <v>5.33</v>
      </c>
      <c r="F58" s="42">
        <v>5.63</v>
      </c>
      <c r="G58" s="42">
        <v>4.33</v>
      </c>
      <c r="H58" s="42">
        <v>4.8499999999999996</v>
      </c>
      <c r="I58" s="42">
        <v>1.73</v>
      </c>
      <c r="J58" s="46">
        <v>2.23</v>
      </c>
      <c r="L58" s="44" t="s">
        <v>2201</v>
      </c>
      <c r="M58" s="42">
        <v>2.8</v>
      </c>
      <c r="N58" s="42">
        <v>2.08</v>
      </c>
      <c r="O58" s="42">
        <v>5.22</v>
      </c>
      <c r="P58" s="42">
        <v>6.09</v>
      </c>
      <c r="Q58" s="42">
        <v>0</v>
      </c>
      <c r="R58" s="42">
        <v>3.71</v>
      </c>
      <c r="S58" s="42">
        <v>3.09</v>
      </c>
      <c r="T58" s="46">
        <v>3.42</v>
      </c>
      <c r="V58" s="44" t="s">
        <v>2202</v>
      </c>
      <c r="W58" s="42">
        <v>3.92</v>
      </c>
      <c r="X58" s="42">
        <v>4.2699999999999996</v>
      </c>
      <c r="Y58" s="42">
        <v>3.76</v>
      </c>
      <c r="Z58" s="42">
        <v>4.2699999999999996</v>
      </c>
      <c r="AA58" s="42">
        <v>3.58</v>
      </c>
      <c r="AB58" s="42">
        <v>3.14</v>
      </c>
      <c r="AC58" s="42">
        <v>1.35</v>
      </c>
      <c r="AD58" s="46">
        <v>1.18</v>
      </c>
      <c r="AF58" s="44" t="s">
        <v>2203</v>
      </c>
      <c r="AG58" s="42">
        <v>4.16</v>
      </c>
      <c r="AH58" s="42">
        <v>3.93</v>
      </c>
      <c r="AI58" s="42">
        <v>3.81</v>
      </c>
      <c r="AJ58" s="42">
        <v>5.2</v>
      </c>
      <c r="AK58" s="42">
        <v>5.48</v>
      </c>
      <c r="AL58" s="42">
        <v>1.84</v>
      </c>
      <c r="AM58" s="42">
        <v>3.74</v>
      </c>
      <c r="AN58" s="46">
        <v>3.16</v>
      </c>
      <c r="AP58" s="44" t="s">
        <v>2204</v>
      </c>
      <c r="AQ58" s="42">
        <v>17.43</v>
      </c>
      <c r="AR58" s="42">
        <v>0</v>
      </c>
      <c r="AS58" s="42">
        <v>0</v>
      </c>
      <c r="AT58" s="42">
        <v>2.59</v>
      </c>
      <c r="AU58" s="42">
        <v>1.61</v>
      </c>
      <c r="AV58" s="42">
        <v>85.32</v>
      </c>
      <c r="AW58" s="42">
        <v>0.33</v>
      </c>
      <c r="AX58" s="46">
        <v>3.04</v>
      </c>
      <c r="AZ58" s="44" t="s">
        <v>2205</v>
      </c>
      <c r="BA58" s="42">
        <v>0.45</v>
      </c>
      <c r="BB58" s="42">
        <v>0.73</v>
      </c>
      <c r="BC58" s="42">
        <v>0.39</v>
      </c>
      <c r="BD58" s="42">
        <v>1.61</v>
      </c>
      <c r="BE58" s="42">
        <v>2.59</v>
      </c>
      <c r="BF58" s="42">
        <v>1.89</v>
      </c>
      <c r="BG58" s="42">
        <v>0.73</v>
      </c>
      <c r="BH58" s="46">
        <v>1.17</v>
      </c>
      <c r="BJ58" s="44" t="s">
        <v>2206</v>
      </c>
      <c r="BK58" s="42">
        <v>4.8899999999999997</v>
      </c>
      <c r="BL58" s="42">
        <v>1.37</v>
      </c>
      <c r="BM58" s="42">
        <v>0.2</v>
      </c>
      <c r="BN58" s="42">
        <v>1.37</v>
      </c>
      <c r="BO58" s="42">
        <v>1.17</v>
      </c>
      <c r="BP58" s="42">
        <v>0.85</v>
      </c>
      <c r="BQ58" s="42">
        <v>0.17</v>
      </c>
      <c r="BR58" s="46">
        <v>0.62</v>
      </c>
      <c r="BT58" s="44" t="s">
        <v>2207</v>
      </c>
      <c r="BU58" s="42">
        <v>0.85</v>
      </c>
      <c r="BV58" s="42">
        <v>0.45</v>
      </c>
      <c r="BW58" s="42">
        <v>0.15</v>
      </c>
      <c r="BX58" s="42">
        <v>1.17</v>
      </c>
      <c r="BY58" s="42">
        <v>2.21</v>
      </c>
      <c r="BZ58" s="42">
        <v>0.39</v>
      </c>
      <c r="CA58" s="42">
        <v>0.33</v>
      </c>
      <c r="CB58" s="46">
        <v>1.89</v>
      </c>
    </row>
    <row r="59" spans="2:80">
      <c r="B59" s="44" t="s">
        <v>2208</v>
      </c>
      <c r="C59" s="42">
        <v>3.02</v>
      </c>
      <c r="D59" s="42">
        <v>4.38</v>
      </c>
      <c r="E59" s="42">
        <v>5.33</v>
      </c>
      <c r="F59" s="42">
        <v>5.6</v>
      </c>
      <c r="G59" s="42">
        <v>4.34</v>
      </c>
      <c r="H59" s="42">
        <v>4.84</v>
      </c>
      <c r="I59" s="42">
        <v>1.74</v>
      </c>
      <c r="J59" s="46">
        <v>2.27</v>
      </c>
      <c r="L59" s="44" t="s">
        <v>2209</v>
      </c>
      <c r="M59" s="42">
        <v>2.85</v>
      </c>
      <c r="N59" s="42">
        <v>5.49</v>
      </c>
      <c r="O59" s="42">
        <v>5.17</v>
      </c>
      <c r="P59" s="42">
        <v>6.06</v>
      </c>
      <c r="Q59" s="42">
        <v>0</v>
      </c>
      <c r="R59" s="42">
        <v>3.72</v>
      </c>
      <c r="S59" s="42">
        <v>3.04</v>
      </c>
      <c r="T59" s="46">
        <v>3.46</v>
      </c>
      <c r="V59" s="44" t="s">
        <v>2210</v>
      </c>
      <c r="W59" s="42">
        <v>3.9</v>
      </c>
      <c r="X59" s="42">
        <v>4.26</v>
      </c>
      <c r="Y59" s="42">
        <v>4.17</v>
      </c>
      <c r="Z59" s="42">
        <v>4.28</v>
      </c>
      <c r="AA59" s="42">
        <v>3.6</v>
      </c>
      <c r="AB59" s="42">
        <v>3.13</v>
      </c>
      <c r="AC59" s="42">
        <v>1.62</v>
      </c>
      <c r="AD59" s="46">
        <v>1.21</v>
      </c>
      <c r="AF59" s="44" t="s">
        <v>2211</v>
      </c>
      <c r="AG59" s="42">
        <v>4.1500000000000004</v>
      </c>
      <c r="AH59" s="42">
        <v>6.09</v>
      </c>
      <c r="AI59" s="42">
        <v>3.77</v>
      </c>
      <c r="AJ59" s="42">
        <v>5.13</v>
      </c>
      <c r="AK59" s="42">
        <v>5.5</v>
      </c>
      <c r="AL59" s="42">
        <v>1.84</v>
      </c>
      <c r="AM59" s="42">
        <v>3.77</v>
      </c>
      <c r="AN59" s="46">
        <v>3.23</v>
      </c>
      <c r="AP59" s="44" t="s">
        <v>2212</v>
      </c>
      <c r="AQ59" s="42">
        <v>0</v>
      </c>
      <c r="AR59" s="42">
        <v>0</v>
      </c>
      <c r="AS59" s="42">
        <v>2.21</v>
      </c>
      <c r="AT59" s="42">
        <v>3.56</v>
      </c>
      <c r="AU59" s="42">
        <v>1.37</v>
      </c>
      <c r="AV59" s="42">
        <v>1.37</v>
      </c>
      <c r="AW59" s="42">
        <v>1.17</v>
      </c>
      <c r="AX59" s="46">
        <v>1.17</v>
      </c>
      <c r="AZ59" s="44" t="s">
        <v>2213</v>
      </c>
      <c r="BA59" s="42">
        <v>0.53</v>
      </c>
      <c r="BB59" s="42">
        <v>4.18</v>
      </c>
      <c r="BC59" s="42">
        <v>0.33</v>
      </c>
      <c r="BD59" s="42">
        <v>1.61</v>
      </c>
      <c r="BE59" s="42">
        <v>2.59</v>
      </c>
      <c r="BF59" s="42">
        <v>1.89</v>
      </c>
      <c r="BG59" s="42">
        <v>0.73</v>
      </c>
      <c r="BH59" s="46">
        <v>1.17</v>
      </c>
      <c r="BJ59" s="44" t="s">
        <v>2214</v>
      </c>
      <c r="BK59" s="42">
        <v>12.69</v>
      </c>
      <c r="BL59" s="42">
        <v>1.37</v>
      </c>
      <c r="BM59" s="42">
        <v>10.83</v>
      </c>
      <c r="BN59" s="42">
        <v>4.18</v>
      </c>
      <c r="BO59" s="42">
        <v>1.89</v>
      </c>
      <c r="BP59" s="42">
        <v>3.56</v>
      </c>
      <c r="BQ59" s="42">
        <v>0.24</v>
      </c>
      <c r="BR59" s="46">
        <v>0.2</v>
      </c>
      <c r="BT59" s="44" t="s">
        <v>2215</v>
      </c>
      <c r="BU59" s="42">
        <v>0</v>
      </c>
      <c r="BV59" s="42">
        <v>0.45</v>
      </c>
      <c r="BW59" s="42">
        <v>0.15</v>
      </c>
      <c r="BX59" s="42">
        <v>1.17</v>
      </c>
      <c r="BY59" s="42">
        <v>2.21</v>
      </c>
      <c r="BZ59" s="42">
        <v>0.73</v>
      </c>
      <c r="CA59" s="42">
        <v>0.28000000000000003</v>
      </c>
      <c r="CB59" s="46">
        <v>2.21</v>
      </c>
    </row>
    <row r="60" spans="2:80">
      <c r="B60" s="44" t="s">
        <v>2216</v>
      </c>
      <c r="C60" s="42">
        <v>2.97</v>
      </c>
      <c r="D60" s="42">
        <v>4.42</v>
      </c>
      <c r="E60" s="42">
        <v>5.29</v>
      </c>
      <c r="F60" s="42">
        <v>5.67</v>
      </c>
      <c r="G60" s="42">
        <v>4.32</v>
      </c>
      <c r="H60" s="42">
        <v>4.82</v>
      </c>
      <c r="I60" s="42">
        <v>1.75</v>
      </c>
      <c r="J60" s="46">
        <v>2.25</v>
      </c>
      <c r="L60" s="44" t="s">
        <v>2217</v>
      </c>
      <c r="M60" s="42">
        <v>2.83</v>
      </c>
      <c r="N60" s="42">
        <v>5.53</v>
      </c>
      <c r="O60" s="42">
        <v>5.14</v>
      </c>
      <c r="P60" s="42">
        <v>6.09</v>
      </c>
      <c r="Q60" s="42">
        <v>0</v>
      </c>
      <c r="R60" s="42">
        <v>3.72</v>
      </c>
      <c r="S60" s="42">
        <v>3.04</v>
      </c>
      <c r="T60" s="46">
        <v>3.47</v>
      </c>
      <c r="V60" s="44" t="s">
        <v>2218</v>
      </c>
      <c r="W60" s="42">
        <v>3.91</v>
      </c>
      <c r="X60" s="42">
        <v>4.24</v>
      </c>
      <c r="Y60" s="42">
        <v>4.1399999999999997</v>
      </c>
      <c r="Z60" s="42">
        <v>4.29</v>
      </c>
      <c r="AA60" s="42">
        <v>3.61</v>
      </c>
      <c r="AB60" s="42">
        <v>1.95</v>
      </c>
      <c r="AC60" s="42">
        <v>1.62</v>
      </c>
      <c r="AD60" s="46">
        <v>1.24</v>
      </c>
      <c r="AF60" s="44" t="s">
        <v>2219</v>
      </c>
      <c r="AG60" s="42">
        <v>4.1500000000000004</v>
      </c>
      <c r="AH60" s="42">
        <v>6.05</v>
      </c>
      <c r="AI60" s="42">
        <v>3.77</v>
      </c>
      <c r="AJ60" s="42">
        <v>5.13</v>
      </c>
      <c r="AK60" s="42">
        <v>5.43</v>
      </c>
      <c r="AL60" s="42">
        <v>1.85</v>
      </c>
      <c r="AM60" s="42">
        <v>3.76</v>
      </c>
      <c r="AN60" s="46">
        <v>0</v>
      </c>
      <c r="AP60" s="44" t="s">
        <v>2220</v>
      </c>
      <c r="AQ60" s="42">
        <v>0.85</v>
      </c>
      <c r="AR60" s="42">
        <v>1.17</v>
      </c>
      <c r="AS60" s="42">
        <v>2.59</v>
      </c>
      <c r="AT60" s="42">
        <v>3.56</v>
      </c>
      <c r="AU60" s="42">
        <v>1.37</v>
      </c>
      <c r="AV60" s="42">
        <v>1.37</v>
      </c>
      <c r="AW60" s="42">
        <v>1.37</v>
      </c>
      <c r="AX60" s="46">
        <v>0</v>
      </c>
      <c r="AZ60" s="44" t="s">
        <v>2221</v>
      </c>
      <c r="BA60" s="42">
        <v>0.53</v>
      </c>
      <c r="BB60" s="42">
        <v>4.8899999999999997</v>
      </c>
      <c r="BC60" s="42">
        <v>0.17</v>
      </c>
      <c r="BD60" s="42">
        <v>1.89</v>
      </c>
      <c r="BE60" s="42">
        <v>2.21</v>
      </c>
      <c r="BF60" s="42">
        <v>1.89</v>
      </c>
      <c r="BG60" s="42">
        <v>0.62</v>
      </c>
      <c r="BH60" s="46">
        <v>1.17</v>
      </c>
      <c r="BJ60" s="44" t="s">
        <v>2222</v>
      </c>
      <c r="BK60" s="42">
        <v>12.69</v>
      </c>
      <c r="BL60" s="42">
        <v>0.85</v>
      </c>
      <c r="BM60" s="42">
        <v>1.61</v>
      </c>
      <c r="BN60" s="42">
        <v>3.56</v>
      </c>
      <c r="BO60" s="42">
        <v>1.61</v>
      </c>
      <c r="BP60" s="42">
        <v>2.21</v>
      </c>
      <c r="BQ60" s="42">
        <v>0</v>
      </c>
      <c r="BR60" s="46">
        <v>0.2</v>
      </c>
      <c r="BT60" s="44" t="s">
        <v>2223</v>
      </c>
      <c r="BU60" s="42">
        <v>0.73</v>
      </c>
      <c r="BV60" s="42">
        <v>0.45</v>
      </c>
      <c r="BW60" s="42">
        <v>0.15</v>
      </c>
      <c r="BX60" s="42">
        <v>2.21</v>
      </c>
      <c r="BY60" s="42">
        <v>2.21</v>
      </c>
      <c r="BZ60" s="42">
        <v>0.33</v>
      </c>
      <c r="CA60" s="42">
        <v>0.28000000000000003</v>
      </c>
      <c r="CB60" s="46">
        <v>2.21</v>
      </c>
    </row>
    <row r="61" spans="2:80">
      <c r="B61" s="44" t="s">
        <v>2224</v>
      </c>
      <c r="C61" s="42">
        <v>3.01</v>
      </c>
      <c r="D61" s="42">
        <v>4.37</v>
      </c>
      <c r="E61" s="42">
        <v>5.3</v>
      </c>
      <c r="F61" s="42">
        <v>5.63</v>
      </c>
      <c r="G61" s="42">
        <v>4.32</v>
      </c>
      <c r="H61" s="42">
        <v>4.84</v>
      </c>
      <c r="I61" s="42">
        <v>1.76</v>
      </c>
      <c r="J61" s="46">
        <v>2.2799999999999998</v>
      </c>
      <c r="L61" s="44" t="s">
        <v>2225</v>
      </c>
      <c r="M61" s="42">
        <v>2.81</v>
      </c>
      <c r="N61" s="42">
        <v>5.44</v>
      </c>
      <c r="O61" s="42">
        <v>5.18</v>
      </c>
      <c r="P61" s="42">
        <v>6.07</v>
      </c>
      <c r="Q61" s="42">
        <v>0</v>
      </c>
      <c r="R61" s="42">
        <v>3.75</v>
      </c>
      <c r="S61" s="42">
        <v>3.09</v>
      </c>
      <c r="T61" s="46">
        <v>3.41</v>
      </c>
      <c r="V61" s="44" t="s">
        <v>2226</v>
      </c>
      <c r="W61" s="42">
        <v>3.93</v>
      </c>
      <c r="X61" s="42">
        <v>4.28</v>
      </c>
      <c r="Y61" s="42">
        <v>4.2300000000000004</v>
      </c>
      <c r="Z61" s="42">
        <v>4.3600000000000003</v>
      </c>
      <c r="AA61" s="42">
        <v>3.56</v>
      </c>
      <c r="AB61" s="42">
        <v>3.14</v>
      </c>
      <c r="AC61" s="42">
        <v>1.62</v>
      </c>
      <c r="AD61" s="46">
        <v>1.24</v>
      </c>
      <c r="AF61" s="44" t="s">
        <v>2227</v>
      </c>
      <c r="AG61" s="42">
        <v>4.1500000000000004</v>
      </c>
      <c r="AH61" s="42">
        <v>4.13</v>
      </c>
      <c r="AI61" s="42">
        <v>3.79</v>
      </c>
      <c r="AJ61" s="42">
        <v>5.14</v>
      </c>
      <c r="AK61" s="42">
        <v>5.46</v>
      </c>
      <c r="AL61" s="42">
        <v>1.84</v>
      </c>
      <c r="AM61" s="42">
        <v>3.74</v>
      </c>
      <c r="AN61" s="46">
        <v>3.18</v>
      </c>
      <c r="AP61" s="44" t="s">
        <v>2228</v>
      </c>
      <c r="AQ61" s="42">
        <v>2.59</v>
      </c>
      <c r="AR61" s="42">
        <v>1.17</v>
      </c>
      <c r="AS61" s="42">
        <v>2.59</v>
      </c>
      <c r="AT61" s="42">
        <v>3.56</v>
      </c>
      <c r="AU61" s="42">
        <v>1.37</v>
      </c>
      <c r="AV61" s="42">
        <v>1.17</v>
      </c>
      <c r="AW61" s="42">
        <v>1.37</v>
      </c>
      <c r="AX61" s="46">
        <v>0</v>
      </c>
      <c r="AZ61" s="44" t="s">
        <v>2229</v>
      </c>
      <c r="BA61" s="42">
        <v>0.45</v>
      </c>
      <c r="BB61" s="42">
        <v>0.53</v>
      </c>
      <c r="BC61" s="42">
        <v>0.45</v>
      </c>
      <c r="BD61" s="42">
        <v>1.61</v>
      </c>
      <c r="BE61" s="42">
        <v>2.59</v>
      </c>
      <c r="BF61" s="42">
        <v>1.89</v>
      </c>
      <c r="BG61" s="42">
        <v>0.73</v>
      </c>
      <c r="BH61" s="46">
        <v>1.17</v>
      </c>
      <c r="BJ61" s="44" t="s">
        <v>2230</v>
      </c>
      <c r="BK61" s="42">
        <v>12.69</v>
      </c>
      <c r="BL61" s="42">
        <v>0</v>
      </c>
      <c r="BM61" s="42">
        <v>1.61</v>
      </c>
      <c r="BN61" s="42">
        <v>3.56</v>
      </c>
      <c r="BO61" s="42">
        <v>1.89</v>
      </c>
      <c r="BP61" s="42">
        <v>2.59</v>
      </c>
      <c r="BQ61" s="42">
        <v>0.2</v>
      </c>
      <c r="BR61" s="46">
        <v>0.2</v>
      </c>
      <c r="BT61" s="44" t="s">
        <v>2231</v>
      </c>
      <c r="BU61" s="42">
        <v>0.85</v>
      </c>
      <c r="BV61" s="42">
        <v>0.45</v>
      </c>
      <c r="BW61" s="42">
        <v>0.11</v>
      </c>
      <c r="BX61" s="42">
        <v>1.17</v>
      </c>
      <c r="BY61" s="42">
        <v>2.21</v>
      </c>
      <c r="BZ61" s="42">
        <v>0.73</v>
      </c>
      <c r="CA61" s="42">
        <v>0.33</v>
      </c>
      <c r="CB61" s="46">
        <v>2.21</v>
      </c>
    </row>
    <row r="62" spans="2:80" ht="15.75" thickBot="1">
      <c r="B62" s="44" t="s">
        <v>2232</v>
      </c>
      <c r="C62" s="42">
        <v>2.95</v>
      </c>
      <c r="D62" s="42">
        <v>0</v>
      </c>
      <c r="E62" s="42">
        <v>5.3</v>
      </c>
      <c r="F62" s="42">
        <v>5.63</v>
      </c>
      <c r="G62" s="42">
        <v>4.33</v>
      </c>
      <c r="H62" s="42">
        <v>4.8899999999999997</v>
      </c>
      <c r="I62" s="42">
        <v>1.77</v>
      </c>
      <c r="J62" s="46">
        <v>2.27</v>
      </c>
      <c r="L62" s="44" t="s">
        <v>2233</v>
      </c>
      <c r="M62" s="42">
        <v>2.86</v>
      </c>
      <c r="N62" s="42">
        <v>4.03</v>
      </c>
      <c r="O62" s="42">
        <v>5.18</v>
      </c>
      <c r="P62" s="42">
        <v>6.07</v>
      </c>
      <c r="Q62" s="42">
        <v>0</v>
      </c>
      <c r="R62" s="42">
        <v>3.72</v>
      </c>
      <c r="S62" s="42">
        <v>3.04</v>
      </c>
      <c r="T62" s="46">
        <v>3.47</v>
      </c>
      <c r="V62" s="44" t="s">
        <v>2234</v>
      </c>
      <c r="W62" s="42">
        <v>3.92</v>
      </c>
      <c r="X62" s="42">
        <v>4.29</v>
      </c>
      <c r="Y62" s="42">
        <v>4.2</v>
      </c>
      <c r="Z62" s="42">
        <v>4.3</v>
      </c>
      <c r="AA62" s="42">
        <v>3.62</v>
      </c>
      <c r="AB62" s="42">
        <v>3.15</v>
      </c>
      <c r="AC62" s="42">
        <v>1.68</v>
      </c>
      <c r="AD62" s="46">
        <v>1.21</v>
      </c>
      <c r="AF62" s="44" t="s">
        <v>2235</v>
      </c>
      <c r="AG62" s="42">
        <v>4.1399999999999997</v>
      </c>
      <c r="AH62" s="42">
        <v>3.95</v>
      </c>
      <c r="AI62" s="42">
        <v>3.76</v>
      </c>
      <c r="AJ62" s="42">
        <v>5.18</v>
      </c>
      <c r="AK62" s="42">
        <v>5.46</v>
      </c>
      <c r="AL62" s="42">
        <v>1.85</v>
      </c>
      <c r="AM62" s="42">
        <v>3.75</v>
      </c>
      <c r="AN62" s="46">
        <v>3.18</v>
      </c>
      <c r="AP62" s="44" t="s">
        <v>2236</v>
      </c>
      <c r="AQ62" s="42">
        <v>2.21</v>
      </c>
      <c r="AR62" s="42">
        <v>1.17</v>
      </c>
      <c r="AS62" s="42">
        <v>2.59</v>
      </c>
      <c r="AT62" s="42">
        <v>3.56</v>
      </c>
      <c r="AU62" s="42">
        <v>7.88</v>
      </c>
      <c r="AV62" s="42">
        <v>1.17</v>
      </c>
      <c r="AW62" s="42">
        <v>1.37</v>
      </c>
      <c r="AX62" s="46">
        <v>0</v>
      </c>
      <c r="AZ62" s="44" t="s">
        <v>2237</v>
      </c>
      <c r="BA62" s="42">
        <v>0.53</v>
      </c>
      <c r="BB62" s="42">
        <v>4.18</v>
      </c>
      <c r="BC62" s="42">
        <v>0.33</v>
      </c>
      <c r="BD62" s="42">
        <v>1.61</v>
      </c>
      <c r="BE62" s="42">
        <v>2.21</v>
      </c>
      <c r="BF62" s="42">
        <v>1.89</v>
      </c>
      <c r="BG62" s="42">
        <v>0.73</v>
      </c>
      <c r="BH62" s="46">
        <v>1.17</v>
      </c>
      <c r="BJ62" s="44" t="s">
        <v>2238</v>
      </c>
      <c r="BK62" s="42">
        <v>12.69</v>
      </c>
      <c r="BL62" s="42">
        <v>1.61</v>
      </c>
      <c r="BM62" s="42">
        <v>1.61</v>
      </c>
      <c r="BN62" s="42">
        <v>3.56</v>
      </c>
      <c r="BO62" s="42">
        <v>1.61</v>
      </c>
      <c r="BP62" s="42">
        <v>2.59</v>
      </c>
      <c r="BQ62" s="42">
        <v>0</v>
      </c>
      <c r="BR62" s="46">
        <v>0.53</v>
      </c>
      <c r="BT62" s="44" t="s">
        <v>2239</v>
      </c>
      <c r="BU62" s="42">
        <v>0.73</v>
      </c>
      <c r="BV62" s="42">
        <v>0.45</v>
      </c>
      <c r="BW62" s="42">
        <v>0.15</v>
      </c>
      <c r="BX62" s="42">
        <v>1.17</v>
      </c>
      <c r="BY62" s="42">
        <v>2.21</v>
      </c>
      <c r="BZ62" s="42">
        <v>0.53</v>
      </c>
      <c r="CA62" s="42">
        <v>0.28000000000000003</v>
      </c>
      <c r="CB62" s="46">
        <v>2.21</v>
      </c>
    </row>
    <row r="63" spans="2:80">
      <c r="B63" s="44" t="s">
        <v>2240</v>
      </c>
      <c r="C63" s="42">
        <v>2.99</v>
      </c>
      <c r="D63" s="42">
        <v>4.34</v>
      </c>
      <c r="E63" s="42">
        <v>5.29</v>
      </c>
      <c r="F63" s="42">
        <v>5.65</v>
      </c>
      <c r="G63" s="42">
        <v>4.34</v>
      </c>
      <c r="H63" s="42">
        <v>4.84</v>
      </c>
      <c r="I63" s="42">
        <v>1.76</v>
      </c>
      <c r="J63" s="46">
        <v>2.21</v>
      </c>
      <c r="L63" s="44" t="s">
        <v>2241</v>
      </c>
      <c r="M63" s="42">
        <v>2.84</v>
      </c>
      <c r="N63" s="42">
        <v>2.63</v>
      </c>
      <c r="O63" s="42">
        <v>5.2</v>
      </c>
      <c r="P63" s="42">
        <v>6.1</v>
      </c>
      <c r="Q63" s="42">
        <v>0</v>
      </c>
      <c r="R63" s="42">
        <v>3.74</v>
      </c>
      <c r="S63" s="42">
        <v>3.1</v>
      </c>
      <c r="T63" s="46">
        <v>3.46</v>
      </c>
      <c r="V63" s="44" t="s">
        <v>2242</v>
      </c>
      <c r="W63" s="42">
        <v>3.89</v>
      </c>
      <c r="X63" s="42">
        <v>4.2699999999999996</v>
      </c>
      <c r="Y63" s="42">
        <v>2.15</v>
      </c>
      <c r="Z63" s="42">
        <v>4.3</v>
      </c>
      <c r="AA63" s="42">
        <v>3.63</v>
      </c>
      <c r="AB63" s="42">
        <v>3.16</v>
      </c>
      <c r="AC63" s="42">
        <v>1.64</v>
      </c>
      <c r="AD63" s="46">
        <v>1.24</v>
      </c>
      <c r="AF63" s="44" t="s">
        <v>2243</v>
      </c>
      <c r="AG63" s="42">
        <v>4.1399999999999997</v>
      </c>
      <c r="AH63" s="42">
        <v>3.62</v>
      </c>
      <c r="AI63" s="42">
        <v>3.77</v>
      </c>
      <c r="AJ63" s="42">
        <v>5.49</v>
      </c>
      <c r="AK63" s="42">
        <v>5.45</v>
      </c>
      <c r="AL63" s="42">
        <v>1.84</v>
      </c>
      <c r="AM63" s="42">
        <v>1.44</v>
      </c>
      <c r="AN63" s="46">
        <v>3.27</v>
      </c>
      <c r="AP63" s="62" t="s">
        <v>936</v>
      </c>
      <c r="AQ63" s="57">
        <v>2.52</v>
      </c>
      <c r="AR63" s="57">
        <v>1.2765</v>
      </c>
      <c r="AS63" s="57">
        <v>3.0252941176470598</v>
      </c>
      <c r="AT63" s="57">
        <v>4.6628813559321998</v>
      </c>
      <c r="AU63" s="57">
        <v>1.5981355932203301</v>
      </c>
      <c r="AV63" s="57">
        <v>7.8286274509803899</v>
      </c>
      <c r="AW63" s="57">
        <v>1.06915254237288</v>
      </c>
      <c r="AX63" s="58">
        <v>2.89263157894736</v>
      </c>
      <c r="AZ63" s="62" t="s">
        <v>936</v>
      </c>
      <c r="BA63" s="57">
        <v>0.605593220338983</v>
      </c>
      <c r="BB63" s="57">
        <v>3.06694915254237</v>
      </c>
      <c r="BC63" s="57">
        <v>0.51305084745762697</v>
      </c>
      <c r="BD63" s="57">
        <v>1.76847457627118</v>
      </c>
      <c r="BE63" s="57">
        <v>4.3098305084745698</v>
      </c>
      <c r="BF63" s="57">
        <v>2.5411864406779601</v>
      </c>
      <c r="BG63" s="57">
        <v>0.67271186440677899</v>
      </c>
      <c r="BH63" s="58">
        <v>1.36690909090909</v>
      </c>
      <c r="BJ63" s="62" t="s">
        <v>936</v>
      </c>
      <c r="BK63" s="57">
        <v>12.457627118644</v>
      </c>
      <c r="BL63" s="57">
        <v>1.3692452830188599</v>
      </c>
      <c r="BM63" s="57">
        <v>1.97966101694915</v>
      </c>
      <c r="BN63" s="57">
        <v>2.99634615384615</v>
      </c>
      <c r="BO63" s="57">
        <v>1.6859322033898301</v>
      </c>
      <c r="BP63" s="57">
        <v>2.6350847457627098</v>
      </c>
      <c r="BQ63" s="57">
        <v>0.22561403508771899</v>
      </c>
      <c r="BR63" s="58">
        <v>0.29677966101694903</v>
      </c>
      <c r="BT63" s="62" t="s">
        <v>936</v>
      </c>
      <c r="BU63" s="57">
        <v>0.81081632653061197</v>
      </c>
      <c r="BV63" s="57">
        <v>0.93559322033898296</v>
      </c>
      <c r="BW63" s="57">
        <v>0.146779661016949</v>
      </c>
      <c r="BX63" s="57">
        <v>2.0262222222222199</v>
      </c>
      <c r="BY63" s="57">
        <v>1.9522222222222201</v>
      </c>
      <c r="BZ63" s="57">
        <v>0.61084745762711801</v>
      </c>
      <c r="CA63" s="57">
        <v>0.329322033898305</v>
      </c>
      <c r="CB63" s="58">
        <v>2.4113559322033802</v>
      </c>
    </row>
    <row r="64" spans="2:80">
      <c r="B64" s="44" t="s">
        <v>2244</v>
      </c>
      <c r="C64" s="42">
        <v>3.01</v>
      </c>
      <c r="D64" s="42">
        <v>4.4000000000000004</v>
      </c>
      <c r="E64" s="42">
        <v>5.27</v>
      </c>
      <c r="F64" s="42">
        <v>5.66</v>
      </c>
      <c r="G64" s="42">
        <v>4.3</v>
      </c>
      <c r="H64" s="42">
        <v>4.87</v>
      </c>
      <c r="I64" s="42">
        <v>1.74</v>
      </c>
      <c r="J64" s="46">
        <v>2.25</v>
      </c>
      <c r="L64" s="44" t="s">
        <v>2245</v>
      </c>
      <c r="M64" s="42">
        <v>2.85</v>
      </c>
      <c r="N64" s="42">
        <v>5.43</v>
      </c>
      <c r="O64" s="42">
        <v>5.15</v>
      </c>
      <c r="P64" s="42">
        <v>5.14</v>
      </c>
      <c r="Q64" s="42">
        <v>0</v>
      </c>
      <c r="R64" s="42">
        <v>3.72</v>
      </c>
      <c r="S64" s="42">
        <v>1.47</v>
      </c>
      <c r="T64" s="46">
        <v>0.79</v>
      </c>
      <c r="V64" s="44" t="s">
        <v>2246</v>
      </c>
      <c r="W64" s="42">
        <v>3.92</v>
      </c>
      <c r="X64" s="42">
        <v>4.2699999999999996</v>
      </c>
      <c r="Y64" s="42">
        <v>4.13</v>
      </c>
      <c r="Z64" s="42">
        <v>4.32</v>
      </c>
      <c r="AA64" s="42">
        <v>3.69</v>
      </c>
      <c r="AB64" s="42">
        <v>3.13</v>
      </c>
      <c r="AC64" s="42">
        <v>1.64</v>
      </c>
      <c r="AD64" s="46">
        <v>1.26</v>
      </c>
      <c r="AF64" s="44" t="s">
        <v>2247</v>
      </c>
      <c r="AG64" s="42">
        <v>4.13</v>
      </c>
      <c r="AH64" s="42">
        <v>6.09</v>
      </c>
      <c r="AI64" s="42">
        <v>3.76</v>
      </c>
      <c r="AJ64" s="42">
        <v>5.18</v>
      </c>
      <c r="AK64" s="42">
        <v>5.45</v>
      </c>
      <c r="AL64" s="42">
        <v>1.83</v>
      </c>
      <c r="AM64" s="42">
        <v>3.74</v>
      </c>
      <c r="AN64" s="46">
        <v>3.12</v>
      </c>
      <c r="AP64" s="47" t="s">
        <v>515</v>
      </c>
      <c r="AQ64" s="42">
        <v>2.2301831016009999</v>
      </c>
      <c r="AR64" s="42">
        <v>0.46784906754208599</v>
      </c>
      <c r="AS64" s="42">
        <v>1.7271946572645001</v>
      </c>
      <c r="AT64" s="42">
        <v>3.9001264868004202</v>
      </c>
      <c r="AU64" s="42">
        <v>1.0788246501087499</v>
      </c>
      <c r="AV64" s="42">
        <v>21.767332964573701</v>
      </c>
      <c r="AW64" s="42">
        <v>0.39284398997520298</v>
      </c>
      <c r="AX64" s="46">
        <v>2.1241935735591801</v>
      </c>
      <c r="AZ64" s="47" t="s">
        <v>515</v>
      </c>
      <c r="BA64" s="42">
        <v>0.20731758317378399</v>
      </c>
      <c r="BB64" s="42">
        <v>1.80955866352449</v>
      </c>
      <c r="BC64" s="42">
        <v>0.82246272232723305</v>
      </c>
      <c r="BD64" s="42">
        <v>0.523695517563732</v>
      </c>
      <c r="BE64" s="42">
        <v>5.2840965398503998</v>
      </c>
      <c r="BF64" s="42">
        <v>2.03994523418159</v>
      </c>
      <c r="BG64" s="42">
        <v>8.04822437196622E-2</v>
      </c>
      <c r="BH64" s="46">
        <v>0.679676053123899</v>
      </c>
      <c r="BJ64" s="47" t="s">
        <v>515</v>
      </c>
      <c r="BK64" s="42">
        <v>2.5275514640323999</v>
      </c>
      <c r="BL64" s="42">
        <v>0.263215594656173</v>
      </c>
      <c r="BM64" s="42">
        <v>2.2511089290645598</v>
      </c>
      <c r="BN64" s="42">
        <v>0.88595239680712101</v>
      </c>
      <c r="BO64" s="42">
        <v>0.20774102721097301</v>
      </c>
      <c r="BP64" s="42">
        <v>0.55739823235127395</v>
      </c>
      <c r="BQ64" s="42">
        <v>2.7531006052165598E-2</v>
      </c>
      <c r="BR64" s="46">
        <v>0.14245356874203799</v>
      </c>
      <c r="BT64" s="47" t="s">
        <v>515</v>
      </c>
      <c r="BU64" s="42">
        <v>5.6273266741597001E-2</v>
      </c>
      <c r="BV64" s="42">
        <v>1.46874357834752</v>
      </c>
      <c r="BW64" s="42">
        <v>2.8608442393046701E-2</v>
      </c>
      <c r="BX64" s="42">
        <v>1.79053472942692</v>
      </c>
      <c r="BY64" s="42">
        <v>0.36504016352677399</v>
      </c>
      <c r="BZ64" s="42">
        <v>0.16488607402928401</v>
      </c>
      <c r="CA64" s="42">
        <v>7.4444027586643105E-2</v>
      </c>
      <c r="CB64" s="46">
        <v>0.54449932725400396</v>
      </c>
    </row>
    <row r="65" spans="2:80">
      <c r="B65" s="44" t="s">
        <v>2248</v>
      </c>
      <c r="C65" s="42">
        <v>3.02</v>
      </c>
      <c r="D65" s="42">
        <v>4.4000000000000004</v>
      </c>
      <c r="E65" s="42">
        <v>5.29</v>
      </c>
      <c r="F65" s="42">
        <v>5.62</v>
      </c>
      <c r="G65" s="42">
        <v>4.32</v>
      </c>
      <c r="H65" s="42">
        <v>4.83</v>
      </c>
      <c r="I65" s="42">
        <v>1.77</v>
      </c>
      <c r="J65" s="46">
        <v>2.8</v>
      </c>
      <c r="L65" s="44" t="s">
        <v>2249</v>
      </c>
      <c r="M65" s="42">
        <v>2.86</v>
      </c>
      <c r="N65" s="42">
        <v>5.47</v>
      </c>
      <c r="O65" s="42">
        <v>5.21</v>
      </c>
      <c r="P65" s="42">
        <v>6.05</v>
      </c>
      <c r="Q65" s="42">
        <v>0</v>
      </c>
      <c r="R65" s="42">
        <v>3.74</v>
      </c>
      <c r="S65" s="42">
        <v>3.03</v>
      </c>
      <c r="T65" s="46">
        <v>2.69</v>
      </c>
      <c r="V65" s="44" t="s">
        <v>2250</v>
      </c>
      <c r="W65" s="42">
        <v>3.91</v>
      </c>
      <c r="X65" s="42">
        <v>4.2699999999999996</v>
      </c>
      <c r="Y65" s="42">
        <v>4.16</v>
      </c>
      <c r="Z65" s="42">
        <v>4.28</v>
      </c>
      <c r="AA65" s="42">
        <v>3.59</v>
      </c>
      <c r="AB65" s="42">
        <v>3.11</v>
      </c>
      <c r="AC65" s="42">
        <v>1.64</v>
      </c>
      <c r="AD65" s="46">
        <v>1.24</v>
      </c>
      <c r="AF65" s="44" t="s">
        <v>2251</v>
      </c>
      <c r="AG65" s="42">
        <v>4.17</v>
      </c>
      <c r="AH65" s="42">
        <v>6.11</v>
      </c>
      <c r="AI65" s="42">
        <v>3.8</v>
      </c>
      <c r="AJ65" s="42">
        <v>5.13</v>
      </c>
      <c r="AK65" s="42">
        <v>5.42</v>
      </c>
      <c r="AL65" s="42">
        <v>1.84</v>
      </c>
      <c r="AM65" s="42">
        <v>3.76</v>
      </c>
      <c r="AN65" s="46">
        <v>0</v>
      </c>
      <c r="AP65" s="47" t="s">
        <v>520</v>
      </c>
      <c r="AQ65" s="42">
        <v>4.7501831016010003</v>
      </c>
      <c r="AR65" s="42">
        <v>1.7443490675420801</v>
      </c>
      <c r="AS65" s="42">
        <v>4.7524887749115603</v>
      </c>
      <c r="AT65" s="42">
        <v>8.5630078427326204</v>
      </c>
      <c r="AU65" s="42">
        <v>2.67696024332909</v>
      </c>
      <c r="AV65" s="42">
        <v>29.595960415554099</v>
      </c>
      <c r="AW65" s="42">
        <v>1.4619965323480799</v>
      </c>
      <c r="AX65" s="46">
        <v>5.0168251525065504</v>
      </c>
      <c r="AZ65" s="47" t="s">
        <v>520</v>
      </c>
      <c r="BA65" s="42">
        <v>0.81291080351276801</v>
      </c>
      <c r="BB65" s="42">
        <v>4.8765078160668702</v>
      </c>
      <c r="BC65" s="42">
        <v>1.3355135697848599</v>
      </c>
      <c r="BD65" s="42">
        <v>2.2921700938349101</v>
      </c>
      <c r="BE65" s="42">
        <v>9.5939270483249803</v>
      </c>
      <c r="BF65" s="42">
        <v>4.5811316748595603</v>
      </c>
      <c r="BG65" s="42">
        <v>0.75319410812644105</v>
      </c>
      <c r="BH65" s="46">
        <v>2.0465851440329899</v>
      </c>
      <c r="BJ65" s="47" t="s">
        <v>520</v>
      </c>
      <c r="BK65" s="42">
        <v>14.985178582676401</v>
      </c>
      <c r="BL65" s="42">
        <v>1.63246087767504</v>
      </c>
      <c r="BM65" s="42">
        <v>4.2307699460137096</v>
      </c>
      <c r="BN65" s="42">
        <v>3.8822985506532701</v>
      </c>
      <c r="BO65" s="42">
        <v>1.8936732306008</v>
      </c>
      <c r="BP65" s="42">
        <v>3.1924829781139801</v>
      </c>
      <c r="BQ65" s="42">
        <v>0.25314504113988401</v>
      </c>
      <c r="BR65" s="46">
        <v>0.43923322975898699</v>
      </c>
      <c r="BT65" s="47" t="s">
        <v>520</v>
      </c>
      <c r="BU65" s="42">
        <v>0.86708959327220902</v>
      </c>
      <c r="BV65" s="42">
        <v>2.4043367986864999</v>
      </c>
      <c r="BW65" s="42">
        <v>0.175388103409996</v>
      </c>
      <c r="BX65" s="42">
        <v>3.8167569516491402</v>
      </c>
      <c r="BY65" s="42">
        <v>2.31726238574899</v>
      </c>
      <c r="BZ65" s="42">
        <v>0.77573353165640202</v>
      </c>
      <c r="CA65" s="42">
        <v>0.40376606148494798</v>
      </c>
      <c r="CB65" s="46">
        <v>2.9558552594573899</v>
      </c>
    </row>
    <row r="66" spans="2:80">
      <c r="B66" s="44" t="s">
        <v>2252</v>
      </c>
      <c r="C66" s="42">
        <v>2.99</v>
      </c>
      <c r="D66" s="42">
        <v>4.37</v>
      </c>
      <c r="E66" s="42">
        <v>5.31</v>
      </c>
      <c r="F66" s="42">
        <v>3.94</v>
      </c>
      <c r="G66" s="42">
        <v>4.32</v>
      </c>
      <c r="H66" s="42">
        <v>3.41</v>
      </c>
      <c r="I66" s="42">
        <v>1.78</v>
      </c>
      <c r="J66" s="46">
        <v>2.2999999999999998</v>
      </c>
      <c r="L66" s="44" t="s">
        <v>2253</v>
      </c>
      <c r="M66" s="42">
        <v>2.85</v>
      </c>
      <c r="N66" s="42">
        <v>5.45</v>
      </c>
      <c r="O66" s="42">
        <v>5.14</v>
      </c>
      <c r="P66" s="42">
        <v>2.06</v>
      </c>
      <c r="Q66" s="42">
        <v>0</v>
      </c>
      <c r="R66" s="42">
        <v>3.72</v>
      </c>
      <c r="S66" s="42">
        <v>3.1</v>
      </c>
      <c r="T66" s="46">
        <v>3.47</v>
      </c>
      <c r="V66" s="44" t="s">
        <v>2254</v>
      </c>
      <c r="W66" s="42">
        <v>3.93</v>
      </c>
      <c r="X66" s="42">
        <v>4.24</v>
      </c>
      <c r="Y66" s="42">
        <v>4.17</v>
      </c>
      <c r="Z66" s="42">
        <v>4.3099999999999996</v>
      </c>
      <c r="AA66" s="42">
        <v>3.58</v>
      </c>
      <c r="AB66" s="42">
        <v>3.11</v>
      </c>
      <c r="AC66" s="42">
        <v>1.63</v>
      </c>
      <c r="AD66" s="46">
        <v>1.28</v>
      </c>
      <c r="AF66" s="44" t="s">
        <v>2255</v>
      </c>
      <c r="AG66" s="42">
        <v>2.2599999999999998</v>
      </c>
      <c r="AH66" s="42">
        <v>6.09</v>
      </c>
      <c r="AI66" s="42">
        <v>3.76</v>
      </c>
      <c r="AJ66" s="42">
        <v>4</v>
      </c>
      <c r="AK66" s="42">
        <v>5.48</v>
      </c>
      <c r="AL66" s="42">
        <v>1.03</v>
      </c>
      <c r="AM66" s="42">
        <v>3.75</v>
      </c>
      <c r="AN66" s="46">
        <v>3.19</v>
      </c>
      <c r="AP66" s="47" t="s">
        <v>525</v>
      </c>
      <c r="AQ66" s="42">
        <v>0.28981689839899699</v>
      </c>
      <c r="AR66" s="42">
        <v>0.80865093245791397</v>
      </c>
      <c r="AS66" s="42">
        <v>1.29809946038255</v>
      </c>
      <c r="AT66" s="42">
        <v>0.76275486913177903</v>
      </c>
      <c r="AU66" s="42">
        <v>0.51931094311158499</v>
      </c>
      <c r="AV66" s="42">
        <v>-13.9387055135933</v>
      </c>
      <c r="AW66" s="42">
        <v>0.67630855239767695</v>
      </c>
      <c r="AX66" s="46">
        <v>0.76843800538818396</v>
      </c>
      <c r="AZ66" s="47" t="s">
        <v>525</v>
      </c>
      <c r="BA66" s="42">
        <v>0.39827563716519798</v>
      </c>
      <c r="BB66" s="42">
        <v>1.25739048901787</v>
      </c>
      <c r="BC66" s="42">
        <v>-0.30941187486960597</v>
      </c>
      <c r="BD66" s="42">
        <v>1.2447790587074501</v>
      </c>
      <c r="BE66" s="42">
        <v>-0.97426603137582801</v>
      </c>
      <c r="BF66" s="42">
        <v>0.50124120649636605</v>
      </c>
      <c r="BG66" s="42">
        <v>0.59222962068711704</v>
      </c>
      <c r="BH66" s="46">
        <v>0.68723303778519196</v>
      </c>
      <c r="BJ66" s="47" t="s">
        <v>525</v>
      </c>
      <c r="BK66" s="42">
        <v>9.9300756546116702</v>
      </c>
      <c r="BL66" s="42">
        <v>1.1060296883626899</v>
      </c>
      <c r="BM66" s="42">
        <v>-0.27144791211541403</v>
      </c>
      <c r="BN66" s="42">
        <v>2.1103937570390299</v>
      </c>
      <c r="BO66" s="42">
        <v>1.47819117617885</v>
      </c>
      <c r="BP66" s="42">
        <v>2.0776865134114302</v>
      </c>
      <c r="BQ66" s="42">
        <v>0.198083029035553</v>
      </c>
      <c r="BR66" s="46">
        <v>0.15432609227491001</v>
      </c>
      <c r="BT66" s="47" t="s">
        <v>525</v>
      </c>
      <c r="BU66" s="42">
        <v>0.75454305978901504</v>
      </c>
      <c r="BV66" s="42">
        <v>-0.53315035800854005</v>
      </c>
      <c r="BW66" s="42">
        <v>0.11817121862390199</v>
      </c>
      <c r="BX66" s="42">
        <v>0.23568749279529699</v>
      </c>
      <c r="BY66" s="42">
        <v>1.5871820586954399</v>
      </c>
      <c r="BZ66" s="42">
        <v>0.44596138359783399</v>
      </c>
      <c r="CA66" s="42">
        <v>0.25487800631166102</v>
      </c>
      <c r="CB66" s="46">
        <v>1.86685660494938</v>
      </c>
    </row>
    <row r="67" spans="2:80" ht="15.75" thickBot="1">
      <c r="B67" s="44" t="s">
        <v>2256</v>
      </c>
      <c r="C67" s="42">
        <v>3.02</v>
      </c>
      <c r="D67" s="42">
        <v>4.3899999999999997</v>
      </c>
      <c r="E67" s="42">
        <v>5.32</v>
      </c>
      <c r="F67" s="42">
        <v>5.64</v>
      </c>
      <c r="G67" s="42">
        <v>4.33</v>
      </c>
      <c r="H67" s="42">
        <v>4.8600000000000003</v>
      </c>
      <c r="I67" s="42">
        <v>1.73</v>
      </c>
      <c r="J67" s="46">
        <v>2.2799999999999998</v>
      </c>
      <c r="L67" s="44" t="s">
        <v>2257</v>
      </c>
      <c r="M67" s="42">
        <v>2.86</v>
      </c>
      <c r="N67" s="42">
        <v>5.48</v>
      </c>
      <c r="O67" s="42">
        <v>5.17</v>
      </c>
      <c r="P67" s="42">
        <v>6.03</v>
      </c>
      <c r="Q67" s="42">
        <v>0</v>
      </c>
      <c r="R67" s="42">
        <v>3.73</v>
      </c>
      <c r="S67" s="42">
        <v>3.07</v>
      </c>
      <c r="T67" s="46">
        <v>3.49</v>
      </c>
      <c r="V67" s="44" t="s">
        <v>2258</v>
      </c>
      <c r="W67" s="42">
        <v>3.92</v>
      </c>
      <c r="X67" s="42">
        <v>4.25</v>
      </c>
      <c r="Y67" s="42">
        <v>4.13</v>
      </c>
      <c r="Z67" s="42">
        <v>4.3</v>
      </c>
      <c r="AA67" s="42">
        <v>1.5</v>
      </c>
      <c r="AB67" s="42">
        <v>3.15</v>
      </c>
      <c r="AC67" s="42">
        <v>1.66</v>
      </c>
      <c r="AD67" s="46">
        <v>1.25</v>
      </c>
      <c r="AF67" s="44" t="s">
        <v>2259</v>
      </c>
      <c r="AG67" s="42">
        <v>4.1500000000000004</v>
      </c>
      <c r="AH67" s="42">
        <v>6.06</v>
      </c>
      <c r="AI67" s="42">
        <v>3.78</v>
      </c>
      <c r="AJ67" s="42">
        <v>5.13</v>
      </c>
      <c r="AK67" s="42">
        <v>1.77</v>
      </c>
      <c r="AL67" s="42">
        <v>1.85</v>
      </c>
      <c r="AM67" s="42">
        <v>3.75</v>
      </c>
      <c r="AN67" s="46">
        <v>3.1</v>
      </c>
      <c r="AP67" s="48" t="s">
        <v>937</v>
      </c>
      <c r="AQ67" s="49">
        <v>2.2027659574467999</v>
      </c>
      <c r="AR67" s="49">
        <v>1.17</v>
      </c>
      <c r="AS67" s="49">
        <v>2.5253191489361702</v>
      </c>
      <c r="AT67" s="49">
        <v>3.3624528301886798</v>
      </c>
      <c r="AU67" s="49">
        <v>1.39807017543859</v>
      </c>
      <c r="AV67" s="49">
        <v>1.50021276595744</v>
      </c>
      <c r="AW67" s="49">
        <v>1.2633333333333301</v>
      </c>
      <c r="AX67" s="50">
        <v>1.8719999999999899</v>
      </c>
      <c r="AZ67" s="48" t="s">
        <v>937</v>
      </c>
      <c r="BA67" s="49">
        <v>0.53792452830188697</v>
      </c>
      <c r="BB67" s="49">
        <v>4.18</v>
      </c>
      <c r="BC67" s="49">
        <v>0.359473684210526</v>
      </c>
      <c r="BD67" s="49">
        <v>1.61222222222222</v>
      </c>
      <c r="BE67" s="49">
        <v>2.4198076923076899</v>
      </c>
      <c r="BF67" s="49">
        <v>1.85981132075471</v>
      </c>
      <c r="BG67" s="49">
        <v>0.686785714285714</v>
      </c>
      <c r="BH67" s="50">
        <v>1.20461538461538</v>
      </c>
      <c r="BJ67" s="48" t="s">
        <v>937</v>
      </c>
      <c r="BK67" s="49">
        <v>13.308</v>
      </c>
      <c r="BL67" s="49">
        <v>1.4642222222222201</v>
      </c>
      <c r="BM67" s="49">
        <v>1.3938181818181801</v>
      </c>
      <c r="BN67" s="49">
        <v>3.5096774193548401</v>
      </c>
      <c r="BO67" s="49">
        <v>1.75857142857142</v>
      </c>
      <c r="BP67" s="49">
        <v>2.5231249999999998</v>
      </c>
      <c r="BQ67" s="49">
        <v>0.22916666666666599</v>
      </c>
      <c r="BR67" s="50">
        <v>0.21636363636363601</v>
      </c>
      <c r="BT67" s="48" t="s">
        <v>937</v>
      </c>
      <c r="BU67" s="49">
        <v>0.85</v>
      </c>
      <c r="BV67" s="49">
        <v>0.60499999999999998</v>
      </c>
      <c r="BW67" s="49">
        <v>0.1472</v>
      </c>
      <c r="BX67" s="49">
        <v>1.5636585365853599</v>
      </c>
      <c r="BY67" s="49">
        <v>2.0403999999999902</v>
      </c>
      <c r="BZ67" s="49">
        <v>0.69304347826086998</v>
      </c>
      <c r="CA67" s="49">
        <v>0.32050000000000001</v>
      </c>
      <c r="CB67" s="50">
        <v>2.1512765957446698</v>
      </c>
    </row>
    <row r="68" spans="2:80" ht="15.75" thickBot="1">
      <c r="B68" s="44" t="s">
        <v>2260</v>
      </c>
      <c r="C68" s="42">
        <v>3.02</v>
      </c>
      <c r="D68" s="42">
        <v>4.3899999999999997</v>
      </c>
      <c r="E68" s="42">
        <v>5.28</v>
      </c>
      <c r="F68" s="42">
        <v>5.62</v>
      </c>
      <c r="G68" s="42">
        <v>4.33</v>
      </c>
      <c r="H68" s="42">
        <v>3.39</v>
      </c>
      <c r="I68" s="42">
        <v>1.72</v>
      </c>
      <c r="J68" s="46">
        <v>2.2400000000000002</v>
      </c>
      <c r="L68" s="44" t="s">
        <v>2261</v>
      </c>
      <c r="M68" s="42">
        <v>2.8</v>
      </c>
      <c r="N68" s="42">
        <v>5.51</v>
      </c>
      <c r="O68" s="42">
        <v>5.17</v>
      </c>
      <c r="P68" s="42">
        <v>99.99</v>
      </c>
      <c r="Q68" s="42">
        <v>0</v>
      </c>
      <c r="R68" s="42">
        <v>3.73</v>
      </c>
      <c r="S68" s="42">
        <v>3.06</v>
      </c>
      <c r="T68" s="46">
        <v>3.43</v>
      </c>
      <c r="V68" s="44" t="s">
        <v>2262</v>
      </c>
      <c r="W68" s="42">
        <v>3.91</v>
      </c>
      <c r="X68" s="42">
        <v>4.26</v>
      </c>
      <c r="Y68" s="42">
        <v>4.21</v>
      </c>
      <c r="Z68" s="42">
        <v>4.28</v>
      </c>
      <c r="AA68" s="42">
        <v>3.64</v>
      </c>
      <c r="AB68" s="42">
        <v>3.14</v>
      </c>
      <c r="AC68" s="42">
        <v>1.35</v>
      </c>
      <c r="AD68" s="46">
        <v>1.23</v>
      </c>
      <c r="AF68" s="44" t="s">
        <v>2263</v>
      </c>
      <c r="AG68" s="42">
        <v>4.1900000000000004</v>
      </c>
      <c r="AH68" s="42">
        <v>6.08</v>
      </c>
      <c r="AI68" s="42">
        <v>3.78</v>
      </c>
      <c r="AJ68" s="42">
        <v>5.16</v>
      </c>
      <c r="AK68" s="42">
        <v>5.49</v>
      </c>
      <c r="AL68" s="42">
        <v>1.85</v>
      </c>
      <c r="AM68" s="42">
        <v>3.73</v>
      </c>
      <c r="AN68" s="46">
        <v>3.18</v>
      </c>
    </row>
    <row r="69" spans="2:80" ht="30">
      <c r="B69" s="44" t="s">
        <v>2264</v>
      </c>
      <c r="C69" s="42">
        <v>3.03</v>
      </c>
      <c r="D69" s="42">
        <v>4.3499999999999996</v>
      </c>
      <c r="E69" s="42">
        <v>5.32</v>
      </c>
      <c r="F69" s="42">
        <v>5.67</v>
      </c>
      <c r="G69" s="42">
        <v>3.26</v>
      </c>
      <c r="H69" s="42">
        <v>4.84</v>
      </c>
      <c r="I69" s="42">
        <v>1.69</v>
      </c>
      <c r="J69" s="46">
        <v>2.15</v>
      </c>
      <c r="L69" s="44" t="s">
        <v>2265</v>
      </c>
      <c r="M69" s="42">
        <v>2.84</v>
      </c>
      <c r="N69" s="42">
        <v>5.45</v>
      </c>
      <c r="O69" s="42">
        <v>5.19</v>
      </c>
      <c r="P69" s="42">
        <v>4.6100000000000003</v>
      </c>
      <c r="Q69" s="42">
        <v>0</v>
      </c>
      <c r="R69" s="42">
        <v>3.22</v>
      </c>
      <c r="S69" s="42">
        <v>3.07</v>
      </c>
      <c r="T69" s="46">
        <v>1.1399999999999999</v>
      </c>
      <c r="V69" s="44" t="s">
        <v>2266</v>
      </c>
      <c r="W69" s="42">
        <v>3.9</v>
      </c>
      <c r="X69" s="42">
        <v>1.78</v>
      </c>
      <c r="Y69" s="42">
        <v>4.1500000000000004</v>
      </c>
      <c r="Z69" s="42">
        <v>4.29</v>
      </c>
      <c r="AA69" s="42">
        <v>3.59</v>
      </c>
      <c r="AB69" s="42">
        <v>3.13</v>
      </c>
      <c r="AC69" s="42">
        <v>1.62</v>
      </c>
      <c r="AD69" s="46">
        <v>1.22</v>
      </c>
      <c r="AF69" s="44" t="s">
        <v>2267</v>
      </c>
      <c r="AG69" s="42">
        <v>4.1399999999999997</v>
      </c>
      <c r="AH69" s="42">
        <v>6.07</v>
      </c>
      <c r="AI69" s="42">
        <v>3.75</v>
      </c>
      <c r="AJ69" s="42">
        <v>5.12</v>
      </c>
      <c r="AK69" s="42">
        <v>3.78</v>
      </c>
      <c r="AL69" s="42">
        <v>1.9</v>
      </c>
      <c r="AM69" s="42">
        <v>0.81</v>
      </c>
      <c r="AN69" s="46">
        <v>3.21</v>
      </c>
      <c r="AP69" s="82" t="s">
        <v>534</v>
      </c>
      <c r="AQ69" s="8">
        <v>3.04</v>
      </c>
      <c r="AR69" s="8">
        <v>4.01</v>
      </c>
      <c r="AS69" s="8">
        <v>5.24</v>
      </c>
      <c r="AT69" s="8">
        <v>5.77</v>
      </c>
      <c r="AU69" s="8">
        <v>4.1900000000000004</v>
      </c>
      <c r="AV69" s="8">
        <v>4.38</v>
      </c>
      <c r="AW69" s="8">
        <v>1.55</v>
      </c>
      <c r="AX69" s="9">
        <v>2.41</v>
      </c>
      <c r="AZ69" s="82" t="s">
        <v>534</v>
      </c>
      <c r="BA69" s="8">
        <v>2.88</v>
      </c>
      <c r="BB69" s="8">
        <v>5.31</v>
      </c>
      <c r="BC69" s="8">
        <v>5.04</v>
      </c>
      <c r="BD69" s="8">
        <v>6.21</v>
      </c>
      <c r="BE69" s="8">
        <v>5.29</v>
      </c>
      <c r="BF69" s="8">
        <v>3.65</v>
      </c>
      <c r="BG69" s="8">
        <v>2.85</v>
      </c>
      <c r="BH69" s="9">
        <v>3.06</v>
      </c>
      <c r="BJ69" s="82" t="s">
        <v>534</v>
      </c>
      <c r="BK69" s="8">
        <v>3.88</v>
      </c>
      <c r="BL69" s="8">
        <v>4.2300000000000004</v>
      </c>
      <c r="BM69" s="8">
        <v>3.88</v>
      </c>
      <c r="BN69" s="8">
        <v>4.43</v>
      </c>
      <c r="BO69" s="8">
        <v>3.58</v>
      </c>
      <c r="BP69" s="8">
        <v>3.17</v>
      </c>
      <c r="BQ69" s="8">
        <v>1.72</v>
      </c>
      <c r="BR69" s="9">
        <v>1.1399999999999999</v>
      </c>
      <c r="BT69" s="82" t="s">
        <v>534</v>
      </c>
      <c r="BU69" s="8">
        <v>4.2</v>
      </c>
      <c r="BV69" s="8">
        <v>6.08</v>
      </c>
      <c r="BW69" s="8">
        <v>3.62</v>
      </c>
      <c r="BX69" s="8">
        <v>5.36</v>
      </c>
      <c r="BY69" s="8">
        <v>5.44</v>
      </c>
      <c r="BZ69" s="8">
        <v>1.82</v>
      </c>
      <c r="CA69" s="8">
        <v>3.76</v>
      </c>
      <c r="CB69" s="9">
        <v>2.87</v>
      </c>
    </row>
    <row r="70" spans="2:80">
      <c r="B70" s="44" t="s">
        <v>2268</v>
      </c>
      <c r="C70" s="42">
        <v>2.95</v>
      </c>
      <c r="D70" s="42">
        <v>4.42</v>
      </c>
      <c r="E70" s="42">
        <v>5.26</v>
      </c>
      <c r="F70" s="42">
        <v>4.3600000000000003</v>
      </c>
      <c r="G70" s="42">
        <v>4.33</v>
      </c>
      <c r="H70" s="42">
        <v>4.84</v>
      </c>
      <c r="I70" s="42">
        <v>1.77</v>
      </c>
      <c r="J70" s="46">
        <v>0.92</v>
      </c>
      <c r="L70" s="44" t="s">
        <v>2269</v>
      </c>
      <c r="M70" s="42">
        <v>0.64</v>
      </c>
      <c r="N70" s="42">
        <v>5.46</v>
      </c>
      <c r="O70" s="42">
        <v>5.2</v>
      </c>
      <c r="P70" s="42">
        <v>0.34</v>
      </c>
      <c r="Q70" s="42">
        <v>0</v>
      </c>
      <c r="R70" s="42">
        <v>3.71</v>
      </c>
      <c r="S70" s="42">
        <v>3.07</v>
      </c>
      <c r="T70" s="46">
        <v>3.42</v>
      </c>
      <c r="V70" s="44" t="s">
        <v>2270</v>
      </c>
      <c r="W70" s="42">
        <v>3.91</v>
      </c>
      <c r="X70" s="42">
        <v>4.29</v>
      </c>
      <c r="Y70" s="42">
        <v>4.17</v>
      </c>
      <c r="Z70" s="42">
        <v>4.2699999999999996</v>
      </c>
      <c r="AA70" s="42">
        <v>3.59</v>
      </c>
      <c r="AB70" s="42">
        <v>3.11</v>
      </c>
      <c r="AC70" s="42">
        <v>1.62</v>
      </c>
      <c r="AD70" s="46">
        <v>1.26</v>
      </c>
      <c r="AF70" s="44" t="s">
        <v>2271</v>
      </c>
      <c r="AG70" s="42">
        <v>4.1500000000000004</v>
      </c>
      <c r="AH70" s="42">
        <v>6.06</v>
      </c>
      <c r="AI70" s="42">
        <v>3.75</v>
      </c>
      <c r="AJ70" s="42">
        <v>4.8099999999999996</v>
      </c>
      <c r="AK70" s="42">
        <v>5.47</v>
      </c>
      <c r="AL70" s="42">
        <v>1.85</v>
      </c>
      <c r="AM70" s="42">
        <v>3.75</v>
      </c>
      <c r="AN70" s="46">
        <v>0</v>
      </c>
      <c r="AP70" s="52" t="s">
        <v>539</v>
      </c>
      <c r="AQ70" s="11">
        <f>AQ69-AQ67</f>
        <v>0.83723404255320011</v>
      </c>
      <c r="AR70" s="11">
        <f t="shared" ref="AR70:AX70" si="0">AR69-AR67</f>
        <v>2.84</v>
      </c>
      <c r="AS70" s="11">
        <f t="shared" si="0"/>
        <v>2.7146808510638301</v>
      </c>
      <c r="AT70" s="11">
        <f t="shared" si="0"/>
        <v>2.4075471698113198</v>
      </c>
      <c r="AU70" s="11">
        <f t="shared" si="0"/>
        <v>2.7919298245614104</v>
      </c>
      <c r="AV70" s="11">
        <f t="shared" si="0"/>
        <v>2.8797872340425599</v>
      </c>
      <c r="AW70" s="11">
        <f t="shared" si="0"/>
        <v>0.28666666666666996</v>
      </c>
      <c r="AX70" s="12">
        <f t="shared" si="0"/>
        <v>0.53800000000001025</v>
      </c>
      <c r="AZ70" s="52" t="s">
        <v>539</v>
      </c>
      <c r="BA70" s="11">
        <f>BA69-BA67</f>
        <v>2.3420754716981129</v>
      </c>
      <c r="BB70" s="11">
        <f t="shared" ref="BB70:BH70" si="1">BB69-BB67</f>
        <v>1.1299999999999999</v>
      </c>
      <c r="BC70" s="11">
        <f t="shared" si="1"/>
        <v>4.6805263157894741</v>
      </c>
      <c r="BD70" s="11">
        <f t="shared" si="1"/>
        <v>4.5977777777777797</v>
      </c>
      <c r="BE70" s="11">
        <f t="shared" si="1"/>
        <v>2.8701923076923102</v>
      </c>
      <c r="BF70" s="11">
        <f t="shared" si="1"/>
        <v>1.7901886792452899</v>
      </c>
      <c r="BG70" s="11">
        <f t="shared" si="1"/>
        <v>2.163214285714286</v>
      </c>
      <c r="BH70" s="12">
        <f t="shared" si="1"/>
        <v>1.8553846153846201</v>
      </c>
      <c r="BJ70" s="52" t="s">
        <v>539</v>
      </c>
      <c r="BK70" s="11">
        <f>BK69-BK67</f>
        <v>-9.4280000000000008</v>
      </c>
      <c r="BL70" s="11">
        <f t="shared" ref="BL70:BR70" si="2">BL69-BL67</f>
        <v>2.7657777777777803</v>
      </c>
      <c r="BM70" s="11">
        <f t="shared" si="2"/>
        <v>2.4861818181818198</v>
      </c>
      <c r="BN70" s="11">
        <f t="shared" si="2"/>
        <v>0.92032258064515959</v>
      </c>
      <c r="BO70" s="11">
        <f t="shared" si="2"/>
        <v>1.8214285714285801</v>
      </c>
      <c r="BP70" s="11">
        <f t="shared" si="2"/>
        <v>0.64687500000000009</v>
      </c>
      <c r="BQ70" s="11">
        <f t="shared" si="2"/>
        <v>1.4908333333333339</v>
      </c>
      <c r="BR70" s="12">
        <f t="shared" si="2"/>
        <v>0.92363636363636392</v>
      </c>
      <c r="BT70" s="52" t="s">
        <v>539</v>
      </c>
      <c r="BU70" s="11">
        <f>BU69-BU67</f>
        <v>3.35</v>
      </c>
      <c r="BV70" s="11">
        <f t="shared" ref="BV70:CB70" si="3">BV69-BV67</f>
        <v>5.4749999999999996</v>
      </c>
      <c r="BW70" s="11">
        <f t="shared" si="3"/>
        <v>3.4728000000000003</v>
      </c>
      <c r="BX70" s="11">
        <f t="shared" si="3"/>
        <v>3.7963414634146404</v>
      </c>
      <c r="BY70" s="11">
        <f t="shared" si="3"/>
        <v>3.3996000000000102</v>
      </c>
      <c r="BZ70" s="11">
        <f t="shared" si="3"/>
        <v>1.12695652173913</v>
      </c>
      <c r="CA70" s="11">
        <f t="shared" si="3"/>
        <v>3.4394999999999998</v>
      </c>
      <c r="CB70" s="12">
        <f t="shared" si="3"/>
        <v>0.71872340425533032</v>
      </c>
    </row>
    <row r="71" spans="2:80" ht="15.75" thickBot="1">
      <c r="B71" s="44" t="s">
        <v>2272</v>
      </c>
      <c r="C71" s="42">
        <v>2.96</v>
      </c>
      <c r="D71" s="42">
        <v>4.3600000000000003</v>
      </c>
      <c r="E71" s="42">
        <v>5.27</v>
      </c>
      <c r="F71" s="42">
        <v>5.61</v>
      </c>
      <c r="G71" s="42">
        <v>4.3</v>
      </c>
      <c r="H71" s="42">
        <v>2.63</v>
      </c>
      <c r="I71" s="42">
        <v>1.73</v>
      </c>
      <c r="J71" s="46">
        <v>2.2400000000000002</v>
      </c>
      <c r="L71" s="44" t="s">
        <v>2273</v>
      </c>
      <c r="M71" s="42">
        <v>2.77</v>
      </c>
      <c r="N71" s="42">
        <v>5.45</v>
      </c>
      <c r="O71" s="42">
        <v>5.19</v>
      </c>
      <c r="P71" s="42">
        <v>6.07</v>
      </c>
      <c r="Q71" s="42">
        <v>0</v>
      </c>
      <c r="R71" s="42">
        <v>3.71</v>
      </c>
      <c r="S71" s="42">
        <v>3.05</v>
      </c>
      <c r="T71" s="46">
        <v>3.44</v>
      </c>
      <c r="V71" s="44" t="s">
        <v>2274</v>
      </c>
      <c r="W71" s="42">
        <v>3.92</v>
      </c>
      <c r="X71" s="42">
        <v>3.42</v>
      </c>
      <c r="Y71" s="42">
        <v>4.16</v>
      </c>
      <c r="Z71" s="42">
        <v>4.33</v>
      </c>
      <c r="AA71" s="42">
        <v>3.61</v>
      </c>
      <c r="AB71" s="42">
        <v>3.11</v>
      </c>
      <c r="AC71" s="42">
        <v>1.63</v>
      </c>
      <c r="AD71" s="46">
        <v>1.23</v>
      </c>
      <c r="AF71" s="44" t="s">
        <v>2275</v>
      </c>
      <c r="AG71" s="42">
        <v>4.17</v>
      </c>
      <c r="AH71" s="42">
        <v>6.14</v>
      </c>
      <c r="AI71" s="42">
        <v>3.76</v>
      </c>
      <c r="AJ71" s="42">
        <v>5.17</v>
      </c>
      <c r="AK71" s="42">
        <v>5.51</v>
      </c>
      <c r="AL71" s="42">
        <v>1.84</v>
      </c>
      <c r="AM71" s="42">
        <v>3.73</v>
      </c>
      <c r="AN71" s="46">
        <v>3.98</v>
      </c>
      <c r="AP71" s="53" t="s">
        <v>544</v>
      </c>
      <c r="AQ71" s="14">
        <f>(AQ70/AQ67)*100</f>
        <v>38.008306770984795</v>
      </c>
      <c r="AR71" s="14">
        <f t="shared" ref="AR71:AX71" si="4">(AR70/AR67)*100</f>
        <v>242.73504273504273</v>
      </c>
      <c r="AS71" s="14">
        <f t="shared" si="4"/>
        <v>107.49852557081473</v>
      </c>
      <c r="AT71" s="14">
        <f t="shared" si="4"/>
        <v>71.600920262611496</v>
      </c>
      <c r="AU71" s="14">
        <f t="shared" si="4"/>
        <v>199.69883297779035</v>
      </c>
      <c r="AV71" s="14">
        <f t="shared" si="4"/>
        <v>191.9585874344078</v>
      </c>
      <c r="AW71" s="14">
        <f t="shared" si="4"/>
        <v>22.691292875989767</v>
      </c>
      <c r="AX71" s="15">
        <f t="shared" si="4"/>
        <v>28.739316239316942</v>
      </c>
      <c r="AZ71" s="53" t="s">
        <v>544</v>
      </c>
      <c r="BA71" s="14">
        <f>(BA70/BA67)*100</f>
        <v>435.39109084531719</v>
      </c>
      <c r="BB71" s="14">
        <f t="shared" ref="BB71:BH71" si="5">(BB70/BB67)*100</f>
        <v>27.033492822966505</v>
      </c>
      <c r="BC71" s="14">
        <f t="shared" si="5"/>
        <v>1302.0497803806747</v>
      </c>
      <c r="BD71" s="14">
        <f t="shared" si="5"/>
        <v>285.18263266712665</v>
      </c>
      <c r="BE71" s="14">
        <f t="shared" si="5"/>
        <v>118.61241357386973</v>
      </c>
      <c r="BF71" s="14">
        <f t="shared" si="5"/>
        <v>96.256467485036751</v>
      </c>
      <c r="BG71" s="14">
        <f t="shared" si="5"/>
        <v>314.97659906396274</v>
      </c>
      <c r="BH71" s="15">
        <f t="shared" si="5"/>
        <v>154.02298850574812</v>
      </c>
      <c r="BJ71" s="53" t="s">
        <v>544</v>
      </c>
      <c r="BK71" s="14">
        <f>(BK70/BK67)*100</f>
        <v>-70.844604749023148</v>
      </c>
      <c r="BL71" s="14">
        <f t="shared" ref="BL71:BP71" si="6">(BL70/BL67)*100</f>
        <v>188.89057520109318</v>
      </c>
      <c r="BM71" s="14">
        <f t="shared" si="6"/>
        <v>178.37203235063953</v>
      </c>
      <c r="BN71" s="14">
        <f>(BN70/BN67)*100</f>
        <v>26.222426470588179</v>
      </c>
      <c r="BO71" s="14">
        <f>(BO70/BO67)*100</f>
        <v>103.57432981316104</v>
      </c>
      <c r="BP71" s="14">
        <f t="shared" si="6"/>
        <v>25.637849888531093</v>
      </c>
      <c r="BQ71" s="14">
        <f>(BQ70/BQ67)*100</f>
        <v>650.54545454545666</v>
      </c>
      <c r="BR71" s="15">
        <f>(BR70/BR67)*100</f>
        <v>426.89075630252182</v>
      </c>
      <c r="BT71" s="53" t="s">
        <v>544</v>
      </c>
      <c r="BU71" s="14">
        <f>(BU70/BU67)*100</f>
        <v>394.11764705882354</v>
      </c>
      <c r="BV71" s="14">
        <f t="shared" ref="BV71:CB71" si="7">(BV70/BV67)*100</f>
        <v>904.95867768595042</v>
      </c>
      <c r="BW71" s="14">
        <f>(BW70/BW67)*100</f>
        <v>2359.239130434783</v>
      </c>
      <c r="BX71" s="14">
        <f t="shared" si="7"/>
        <v>242.78583684292755</v>
      </c>
      <c r="BY71" s="14">
        <f t="shared" si="7"/>
        <v>166.61438933542573</v>
      </c>
      <c r="BZ71" s="14">
        <f t="shared" si="7"/>
        <v>162.60978670012531</v>
      </c>
      <c r="CA71" s="14">
        <f t="shared" si="7"/>
        <v>1073.1669266770671</v>
      </c>
      <c r="CB71" s="15">
        <f t="shared" si="7"/>
        <v>33.409158342400062</v>
      </c>
    </row>
    <row r="72" spans="2:80" ht="15.75" thickBot="1">
      <c r="B72" s="44" t="s">
        <v>2276</v>
      </c>
      <c r="C72" s="42">
        <v>2.98</v>
      </c>
      <c r="D72" s="42">
        <v>4.41</v>
      </c>
      <c r="E72" s="42">
        <v>5.28</v>
      </c>
      <c r="F72" s="42">
        <v>5.64</v>
      </c>
      <c r="G72" s="42">
        <v>3.37</v>
      </c>
      <c r="H72" s="42">
        <v>4.87</v>
      </c>
      <c r="I72" s="42">
        <v>1.73</v>
      </c>
      <c r="J72" s="46">
        <v>1.32</v>
      </c>
      <c r="L72" s="44" t="s">
        <v>2277</v>
      </c>
      <c r="M72" s="42">
        <v>2.8</v>
      </c>
      <c r="N72" s="42">
        <v>5.43</v>
      </c>
      <c r="O72" s="42">
        <v>5.17</v>
      </c>
      <c r="P72" s="42">
        <v>4.7</v>
      </c>
      <c r="Q72" s="42">
        <v>0</v>
      </c>
      <c r="R72" s="42">
        <v>3.73</v>
      </c>
      <c r="S72" s="42">
        <v>1.18</v>
      </c>
      <c r="T72" s="46">
        <v>3.44</v>
      </c>
      <c r="V72" s="44" t="s">
        <v>2278</v>
      </c>
      <c r="W72" s="42">
        <v>3.93</v>
      </c>
      <c r="X72" s="42">
        <v>4.24</v>
      </c>
      <c r="Y72" s="42">
        <v>4.0999999999999996</v>
      </c>
      <c r="Z72" s="42">
        <v>4.3099999999999996</v>
      </c>
      <c r="AA72" s="42">
        <v>3.63</v>
      </c>
      <c r="AB72" s="42">
        <v>3.14</v>
      </c>
      <c r="AC72" s="42">
        <v>1.66</v>
      </c>
      <c r="AD72" s="46">
        <v>1.28</v>
      </c>
      <c r="AF72" s="44" t="s">
        <v>2279</v>
      </c>
      <c r="AG72" s="42">
        <v>4.1500000000000004</v>
      </c>
      <c r="AH72" s="42">
        <v>6.13</v>
      </c>
      <c r="AI72" s="42">
        <v>3.71</v>
      </c>
      <c r="AJ72" s="42">
        <v>5.15</v>
      </c>
      <c r="AK72" s="42">
        <v>5.45</v>
      </c>
      <c r="AL72" s="42">
        <v>1.84</v>
      </c>
      <c r="AM72" s="42">
        <v>3.78</v>
      </c>
      <c r="AN72" s="46">
        <v>0</v>
      </c>
      <c r="AP72" s="1"/>
      <c r="AQ72" s="1"/>
      <c r="AR72" s="1"/>
      <c r="AS72" s="1"/>
      <c r="AT72" s="1"/>
      <c r="AU72" s="1"/>
      <c r="AV72" s="1"/>
      <c r="AW72" s="1"/>
      <c r="AX72" s="1"/>
      <c r="AZ72" s="1"/>
      <c r="BA72" s="1"/>
      <c r="BB72" s="1"/>
      <c r="BC72" s="1"/>
      <c r="BD72" s="1"/>
      <c r="BE72" s="1"/>
      <c r="BF72" s="1"/>
      <c r="BG72" s="1"/>
      <c r="BH72" s="1"/>
      <c r="BJ72" s="1"/>
      <c r="BK72" s="1"/>
      <c r="BL72" s="1"/>
      <c r="BM72" s="1"/>
      <c r="BN72" s="1"/>
      <c r="BO72" s="1"/>
      <c r="BP72" s="1"/>
      <c r="BQ72" s="1"/>
      <c r="BR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2:80" ht="30">
      <c r="B73" s="44" t="s">
        <v>2280</v>
      </c>
      <c r="C73" s="42">
        <v>3.02</v>
      </c>
      <c r="D73" s="42">
        <v>4.3600000000000003</v>
      </c>
      <c r="E73" s="42">
        <v>5.32</v>
      </c>
      <c r="F73" s="42">
        <v>5.63</v>
      </c>
      <c r="G73" s="42">
        <v>2.35</v>
      </c>
      <c r="H73" s="42">
        <v>4.8099999999999996</v>
      </c>
      <c r="I73" s="42">
        <v>1.74</v>
      </c>
      <c r="J73" s="46">
        <v>0.08</v>
      </c>
      <c r="L73" s="44" t="s">
        <v>2281</v>
      </c>
      <c r="M73" s="42">
        <v>2.85</v>
      </c>
      <c r="N73" s="42">
        <v>5.5</v>
      </c>
      <c r="O73" s="42">
        <v>3.88</v>
      </c>
      <c r="P73" s="42">
        <v>1.42</v>
      </c>
      <c r="Q73" s="42">
        <v>0</v>
      </c>
      <c r="R73" s="42">
        <v>3.73</v>
      </c>
      <c r="S73" s="42">
        <v>3.08</v>
      </c>
      <c r="T73" s="46">
        <v>0</v>
      </c>
      <c r="V73" s="44" t="s">
        <v>2282</v>
      </c>
      <c r="W73" s="42">
        <v>2.76</v>
      </c>
      <c r="X73" s="42">
        <v>4.28</v>
      </c>
      <c r="Y73" s="42">
        <v>4.17</v>
      </c>
      <c r="Z73" s="42">
        <v>4.3</v>
      </c>
      <c r="AA73" s="42">
        <v>3.62</v>
      </c>
      <c r="AB73" s="42">
        <v>3.11</v>
      </c>
      <c r="AC73" s="42">
        <v>1.6</v>
      </c>
      <c r="AD73" s="46">
        <v>1.23</v>
      </c>
      <c r="AF73" s="44" t="s">
        <v>2283</v>
      </c>
      <c r="AG73" s="42">
        <v>4.1399999999999997</v>
      </c>
      <c r="AH73" s="42">
        <v>6.07</v>
      </c>
      <c r="AI73" s="42">
        <v>3.76</v>
      </c>
      <c r="AJ73" s="42">
        <v>5.32</v>
      </c>
      <c r="AK73" s="42">
        <v>5.48</v>
      </c>
      <c r="AL73" s="42">
        <v>1.84</v>
      </c>
      <c r="AM73" s="42">
        <v>3.75</v>
      </c>
      <c r="AN73" s="46">
        <v>3.13</v>
      </c>
      <c r="AP73" s="82" t="s">
        <v>553</v>
      </c>
      <c r="AQ73" s="8">
        <v>2.99</v>
      </c>
      <c r="AR73" s="8">
        <v>4.18</v>
      </c>
      <c r="AS73" s="8">
        <v>5.28</v>
      </c>
      <c r="AT73" s="8">
        <v>5.69</v>
      </c>
      <c r="AU73" s="8">
        <v>4.22</v>
      </c>
      <c r="AV73" s="8">
        <v>4.3899999999999997</v>
      </c>
      <c r="AW73" s="8">
        <v>1.62</v>
      </c>
      <c r="AX73" s="9">
        <v>2.44</v>
      </c>
      <c r="AZ73" s="82" t="s">
        <v>553</v>
      </c>
      <c r="BA73" s="8">
        <v>2.84</v>
      </c>
      <c r="BB73" s="8">
        <v>5.41</v>
      </c>
      <c r="BC73" s="8">
        <v>5.0999999999999996</v>
      </c>
      <c r="BD73" s="8">
        <v>6.17</v>
      </c>
      <c r="BE73" s="8">
        <v>5.33</v>
      </c>
      <c r="BF73" s="8">
        <v>3.65</v>
      </c>
      <c r="BG73" s="8">
        <v>2.94</v>
      </c>
      <c r="BH73" s="9">
        <v>3.12</v>
      </c>
      <c r="BJ73" s="82" t="s">
        <v>553</v>
      </c>
      <c r="BK73" s="8">
        <v>3.86</v>
      </c>
      <c r="BL73" s="8">
        <v>4.24</v>
      </c>
      <c r="BM73" s="8">
        <v>3.37</v>
      </c>
      <c r="BN73" s="8">
        <v>4.38</v>
      </c>
      <c r="BO73" s="8">
        <v>3.57</v>
      </c>
      <c r="BP73" s="8">
        <v>3.19</v>
      </c>
      <c r="BQ73" s="8">
        <v>1.74</v>
      </c>
      <c r="BR73" s="9">
        <v>1.1200000000000001</v>
      </c>
      <c r="BT73" s="82" t="s">
        <v>553</v>
      </c>
      <c r="BU73" s="8">
        <v>4.1399999999999997</v>
      </c>
      <c r="BV73" s="8">
        <v>6.08</v>
      </c>
      <c r="BW73" s="8">
        <v>3.66</v>
      </c>
      <c r="BX73" s="8">
        <v>5.32</v>
      </c>
      <c r="BY73" s="8">
        <v>5.44</v>
      </c>
      <c r="BZ73" s="8">
        <v>1.83</v>
      </c>
      <c r="CA73" s="8">
        <v>3.76</v>
      </c>
      <c r="CB73" s="9">
        <v>2.91</v>
      </c>
    </row>
    <row r="74" spans="2:80" ht="15.75" thickBot="1">
      <c r="B74" s="44" t="s">
        <v>2284</v>
      </c>
      <c r="C74" s="42">
        <v>3</v>
      </c>
      <c r="D74" s="42">
        <v>4.41</v>
      </c>
      <c r="E74" s="42">
        <v>5.26</v>
      </c>
      <c r="F74" s="42">
        <v>5.66</v>
      </c>
      <c r="G74" s="42">
        <v>4.3</v>
      </c>
      <c r="H74" s="42">
        <v>4.84</v>
      </c>
      <c r="I74" s="42">
        <v>1.77</v>
      </c>
      <c r="J74" s="46">
        <v>2.2999999999999998</v>
      </c>
      <c r="L74" s="44" t="s">
        <v>2285</v>
      </c>
      <c r="M74" s="42">
        <v>2.86</v>
      </c>
      <c r="N74" s="42">
        <v>5.44</v>
      </c>
      <c r="O74" s="42">
        <v>5.15</v>
      </c>
      <c r="P74" s="42">
        <v>4.09</v>
      </c>
      <c r="Q74" s="42">
        <v>0</v>
      </c>
      <c r="R74" s="42">
        <v>3.77</v>
      </c>
      <c r="S74" s="42">
        <v>3.06</v>
      </c>
      <c r="T74" s="46">
        <v>2.88</v>
      </c>
      <c r="V74" s="44" t="s">
        <v>2286</v>
      </c>
      <c r="W74" s="42">
        <v>3.91</v>
      </c>
      <c r="X74" s="42">
        <v>4.29</v>
      </c>
      <c r="Y74" s="42">
        <v>4.22</v>
      </c>
      <c r="Z74" s="42">
        <v>4.3600000000000003</v>
      </c>
      <c r="AA74" s="42">
        <v>3.58</v>
      </c>
      <c r="AB74" s="42">
        <v>3.1</v>
      </c>
      <c r="AC74" s="42">
        <v>0.57999999999999996</v>
      </c>
      <c r="AD74" s="46">
        <v>1.25</v>
      </c>
      <c r="AF74" s="44" t="s">
        <v>2287</v>
      </c>
      <c r="AG74" s="42">
        <v>4.1500000000000004</v>
      </c>
      <c r="AH74" s="42">
        <v>6.08</v>
      </c>
      <c r="AI74" s="42">
        <v>2.02</v>
      </c>
      <c r="AJ74" s="42">
        <v>5.0999999999999996</v>
      </c>
      <c r="AK74" s="42">
        <v>5.46</v>
      </c>
      <c r="AL74" s="42">
        <v>1.85</v>
      </c>
      <c r="AM74" s="42">
        <v>3.75</v>
      </c>
      <c r="AN74" s="46">
        <v>3.11</v>
      </c>
      <c r="AP74" s="52" t="s">
        <v>539</v>
      </c>
      <c r="AQ74" s="11">
        <f>AQ73-AQ67</f>
        <v>0.78723404255320029</v>
      </c>
      <c r="AR74" s="11">
        <f t="shared" ref="AR74:AX74" si="8">AR73-AR67</f>
        <v>3.01</v>
      </c>
      <c r="AS74" s="11">
        <f t="shared" si="8"/>
        <v>2.7546808510638301</v>
      </c>
      <c r="AT74" s="11">
        <f t="shared" si="8"/>
        <v>2.3275471698113206</v>
      </c>
      <c r="AU74" s="11">
        <f t="shared" si="8"/>
        <v>2.8219298245614097</v>
      </c>
      <c r="AV74" s="11">
        <f t="shared" si="8"/>
        <v>2.8897872340425597</v>
      </c>
      <c r="AW74" s="11">
        <f t="shared" si="8"/>
        <v>0.35666666666667002</v>
      </c>
      <c r="AX74" s="12">
        <f t="shared" si="8"/>
        <v>0.56800000000001005</v>
      </c>
      <c r="AZ74" s="52" t="s">
        <v>539</v>
      </c>
      <c r="BA74" s="11">
        <f>BA73-BA67</f>
        <v>2.3020754716981129</v>
      </c>
      <c r="BB74" s="11">
        <f t="shared" ref="BB74:BH74" si="9">BB73-BB67</f>
        <v>1.2300000000000004</v>
      </c>
      <c r="BC74" s="11">
        <f t="shared" si="9"/>
        <v>4.7405263157894737</v>
      </c>
      <c r="BD74" s="11">
        <f t="shared" si="9"/>
        <v>4.5577777777777797</v>
      </c>
      <c r="BE74" s="11">
        <f t="shared" si="9"/>
        <v>2.9101923076923102</v>
      </c>
      <c r="BF74" s="11">
        <f t="shared" si="9"/>
        <v>1.7901886792452899</v>
      </c>
      <c r="BG74" s="11">
        <f t="shared" si="9"/>
        <v>2.2532142857142858</v>
      </c>
      <c r="BH74" s="12">
        <f t="shared" si="9"/>
        <v>1.9153846153846201</v>
      </c>
      <c r="BJ74" s="52" t="s">
        <v>539</v>
      </c>
      <c r="BK74" s="11">
        <f>BK73-BK67</f>
        <v>-9.4480000000000004</v>
      </c>
      <c r="BL74" s="11">
        <f t="shared" ref="BL74:BR74" si="10">BL73-BL67</f>
        <v>2.7757777777777801</v>
      </c>
      <c r="BM74" s="11">
        <f t="shared" si="10"/>
        <v>1.97618181818182</v>
      </c>
      <c r="BN74" s="11">
        <f>BN73-BN67</f>
        <v>0.87032258064515977</v>
      </c>
      <c r="BO74" s="11">
        <f t="shared" si="10"/>
        <v>1.8114285714285798</v>
      </c>
      <c r="BP74" s="11">
        <f t="shared" si="10"/>
        <v>0.66687500000000011</v>
      </c>
      <c r="BQ74" s="11">
        <f t="shared" si="10"/>
        <v>1.5108333333333339</v>
      </c>
      <c r="BR74" s="12">
        <f t="shared" si="10"/>
        <v>0.90363636363636413</v>
      </c>
      <c r="BT74" s="52" t="s">
        <v>539</v>
      </c>
      <c r="BU74" s="11">
        <f>BU73-BU67</f>
        <v>3.2899999999999996</v>
      </c>
      <c r="BV74" s="11">
        <f t="shared" ref="BV74:CB74" si="11">BV73-BV67</f>
        <v>5.4749999999999996</v>
      </c>
      <c r="BW74" s="11">
        <f t="shared" si="11"/>
        <v>3.5128000000000004</v>
      </c>
      <c r="BX74" s="11">
        <f t="shared" si="11"/>
        <v>3.7563414634146404</v>
      </c>
      <c r="BY74" s="11">
        <f t="shared" si="11"/>
        <v>3.3996000000000102</v>
      </c>
      <c r="BZ74" s="11">
        <f t="shared" si="11"/>
        <v>1.1369565217391302</v>
      </c>
      <c r="CA74" s="11">
        <f t="shared" si="11"/>
        <v>3.4394999999999998</v>
      </c>
      <c r="CB74" s="12">
        <f t="shared" si="11"/>
        <v>0.75872340425533036</v>
      </c>
    </row>
    <row r="75" spans="2:80" ht="15.75" thickBot="1">
      <c r="B75" s="44" t="s">
        <v>2288</v>
      </c>
      <c r="C75" s="42">
        <v>1.66</v>
      </c>
      <c r="D75" s="42">
        <v>4.3499999999999996</v>
      </c>
      <c r="E75" s="42">
        <v>5.31</v>
      </c>
      <c r="F75" s="42">
        <v>5.61</v>
      </c>
      <c r="G75" s="42">
        <v>4.32</v>
      </c>
      <c r="H75" s="42">
        <v>4.83</v>
      </c>
      <c r="I75" s="42">
        <v>1.78</v>
      </c>
      <c r="J75" s="46">
        <v>1.67</v>
      </c>
      <c r="L75" s="62" t="s">
        <v>936</v>
      </c>
      <c r="M75" s="57">
        <v>2.78887323943662</v>
      </c>
      <c r="N75" s="57">
        <v>5.0550704225352003</v>
      </c>
      <c r="O75" s="57">
        <v>5.0347761194029799</v>
      </c>
      <c r="P75" s="57">
        <v>5.0567142857142802</v>
      </c>
      <c r="Q75" s="57">
        <v>5.1949999999999896</v>
      </c>
      <c r="R75" s="57">
        <v>3.43366197183098</v>
      </c>
      <c r="S75" s="57">
        <v>2.8695714285714198</v>
      </c>
      <c r="T75" s="58">
        <v>3.34432835820895</v>
      </c>
      <c r="V75" s="44" t="s">
        <v>2289</v>
      </c>
      <c r="W75" s="42">
        <v>3.91</v>
      </c>
      <c r="X75" s="42">
        <v>4.29</v>
      </c>
      <c r="Y75" s="42">
        <v>4.16</v>
      </c>
      <c r="Z75" s="42">
        <v>4.33</v>
      </c>
      <c r="AA75" s="42">
        <v>3.58</v>
      </c>
      <c r="AB75" s="42">
        <v>3.16</v>
      </c>
      <c r="AC75" s="42">
        <v>1.65</v>
      </c>
      <c r="AD75" s="46">
        <v>1.19</v>
      </c>
      <c r="AF75" s="44" t="s">
        <v>2290</v>
      </c>
      <c r="AG75" s="42">
        <v>4.1500000000000004</v>
      </c>
      <c r="AH75" s="42">
        <v>6.09</v>
      </c>
      <c r="AI75" s="42">
        <v>3.76</v>
      </c>
      <c r="AJ75" s="42">
        <v>5.13</v>
      </c>
      <c r="AK75" s="42">
        <v>5.48</v>
      </c>
      <c r="AL75" s="42">
        <v>1.85</v>
      </c>
      <c r="AM75" s="42">
        <v>3.77</v>
      </c>
      <c r="AN75" s="46">
        <v>2.96</v>
      </c>
      <c r="AP75" s="53" t="s">
        <v>544</v>
      </c>
      <c r="AQ75" s="14">
        <f>(AQ74/AQ67)*100</f>
        <v>35.738433304356768</v>
      </c>
      <c r="AR75" s="14">
        <f t="shared" ref="AR75:AX75" si="12">(AR74/AR67)*100</f>
        <v>257.26495726495727</v>
      </c>
      <c r="AS75" s="14">
        <f t="shared" si="12"/>
        <v>109.08248378127898</v>
      </c>
      <c r="AT75" s="14">
        <f t="shared" si="12"/>
        <v>69.221704730374256</v>
      </c>
      <c r="AU75" s="14">
        <f t="shared" si="12"/>
        <v>201.84464801104417</v>
      </c>
      <c r="AV75" s="14">
        <f t="shared" si="12"/>
        <v>192.62515955183792</v>
      </c>
      <c r="AW75" s="14">
        <f t="shared" si="12"/>
        <v>28.232189973615114</v>
      </c>
      <c r="AX75" s="15">
        <f t="shared" si="12"/>
        <v>30.341880341881044</v>
      </c>
      <c r="AZ75" s="53" t="s">
        <v>544</v>
      </c>
      <c r="BA75" s="14">
        <f>(BA74/BA67)*100</f>
        <v>427.95510347246557</v>
      </c>
      <c r="BB75" s="14">
        <f t="shared" ref="BB75:BH75" si="13">(BB74/BB67)*100</f>
        <v>29.425837320574178</v>
      </c>
      <c r="BC75" s="14">
        <f t="shared" si="13"/>
        <v>1318.7408491947303</v>
      </c>
      <c r="BD75" s="14">
        <f t="shared" si="13"/>
        <v>282.70158511371517</v>
      </c>
      <c r="BE75" s="14">
        <f t="shared" si="13"/>
        <v>120.2654374950332</v>
      </c>
      <c r="BF75" s="14">
        <f t="shared" si="13"/>
        <v>96.256467485036751</v>
      </c>
      <c r="BG75" s="14">
        <f t="shared" si="13"/>
        <v>328.08112324492998</v>
      </c>
      <c r="BH75" s="15">
        <f t="shared" si="13"/>
        <v>159.00383141762552</v>
      </c>
      <c r="BJ75" s="53" t="s">
        <v>544</v>
      </c>
      <c r="BK75" s="14">
        <f>(BK74/BK67)*100</f>
        <v>-70.994890291553958</v>
      </c>
      <c r="BL75" s="14">
        <f t="shared" ref="BL75:BQ75" si="14">(BL74/BL67)*100</f>
        <v>189.57353164364895</v>
      </c>
      <c r="BM75" s="14">
        <f>(BM74/BM67)*100</f>
        <v>141.78189407774619</v>
      </c>
      <c r="BN75" s="14">
        <f t="shared" si="14"/>
        <v>24.797794117647008</v>
      </c>
      <c r="BO75" s="14">
        <f t="shared" si="14"/>
        <v>103.00568643379464</v>
      </c>
      <c r="BP75" s="14">
        <f t="shared" si="14"/>
        <v>26.430517711171671</v>
      </c>
      <c r="BQ75" s="14">
        <f t="shared" si="14"/>
        <v>659.27272727272953</v>
      </c>
      <c r="BR75" s="15">
        <f>(BR74/BR67)*100</f>
        <v>417.6470588235303</v>
      </c>
      <c r="BT75" s="53" t="s">
        <v>544</v>
      </c>
      <c r="BU75" s="14">
        <f>(BU74/BU67)*100</f>
        <v>387.05882352941171</v>
      </c>
      <c r="BV75" s="14">
        <f t="shared" ref="BV75:CB75" si="15">(BV74/BV67)*100</f>
        <v>904.95867768595042</v>
      </c>
      <c r="BW75" s="14">
        <f t="shared" si="15"/>
        <v>2386.4130434782614</v>
      </c>
      <c r="BX75" s="14">
        <f t="shared" si="15"/>
        <v>240.22773358290567</v>
      </c>
      <c r="BY75" s="14">
        <f t="shared" si="15"/>
        <v>166.61438933542573</v>
      </c>
      <c r="BZ75" s="14">
        <f t="shared" si="15"/>
        <v>164.0526976160601</v>
      </c>
      <c r="CA75" s="14">
        <f t="shared" si="15"/>
        <v>1073.1669266770671</v>
      </c>
      <c r="CB75" s="15">
        <f t="shared" si="15"/>
        <v>35.268519434280201</v>
      </c>
    </row>
    <row r="76" spans="2:80" ht="15.75" thickBot="1">
      <c r="B76" s="44" t="s">
        <v>2291</v>
      </c>
      <c r="C76" s="42">
        <v>2.98</v>
      </c>
      <c r="D76" s="42">
        <v>4.3600000000000003</v>
      </c>
      <c r="E76" s="42">
        <v>2.4700000000000002</v>
      </c>
      <c r="F76" s="42">
        <v>5.63</v>
      </c>
      <c r="G76" s="42">
        <v>1.96</v>
      </c>
      <c r="H76" s="42">
        <v>4.88</v>
      </c>
      <c r="I76" s="42">
        <v>1.75</v>
      </c>
      <c r="J76" s="46">
        <v>2.2799999999999998</v>
      </c>
      <c r="L76" s="47" t="s">
        <v>515</v>
      </c>
      <c r="M76" s="42">
        <v>0.27792768993601102</v>
      </c>
      <c r="N76" s="42">
        <v>1.16022566192528</v>
      </c>
      <c r="O76" s="42">
        <v>0.70111927192138102</v>
      </c>
      <c r="P76" s="42">
        <v>1.71907925640324</v>
      </c>
      <c r="Q76" s="42">
        <v>0.122576506721312</v>
      </c>
      <c r="R76" s="42">
        <v>0.75372920649452801</v>
      </c>
      <c r="S76" s="42">
        <v>0.63209727034980401</v>
      </c>
      <c r="T76" s="46">
        <v>0.49095771128523702</v>
      </c>
      <c r="V76" s="44" t="s">
        <v>2292</v>
      </c>
      <c r="W76" s="42">
        <v>3.91</v>
      </c>
      <c r="X76" s="42">
        <v>4.26</v>
      </c>
      <c r="Y76" s="42">
        <v>4.13</v>
      </c>
      <c r="Z76" s="42">
        <v>4.26</v>
      </c>
      <c r="AA76" s="42">
        <v>3.57</v>
      </c>
      <c r="AB76" s="42">
        <v>3.11</v>
      </c>
      <c r="AC76" s="42">
        <v>1.64</v>
      </c>
      <c r="AD76" s="46">
        <v>1.28</v>
      </c>
      <c r="AF76" s="44" t="s">
        <v>2293</v>
      </c>
      <c r="AG76" s="42">
        <v>4.1500000000000004</v>
      </c>
      <c r="AH76" s="42">
        <v>6.13</v>
      </c>
      <c r="AI76" s="42">
        <v>3.78</v>
      </c>
      <c r="AJ76" s="42">
        <v>5.3</v>
      </c>
      <c r="AK76" s="42">
        <v>5.45</v>
      </c>
      <c r="AL76" s="42">
        <v>1.85</v>
      </c>
      <c r="AM76" s="42">
        <v>3.72</v>
      </c>
      <c r="AN76" s="46">
        <v>3.16</v>
      </c>
    </row>
    <row r="77" spans="2:80" ht="30">
      <c r="B77" s="44" t="s">
        <v>2294</v>
      </c>
      <c r="C77" s="42">
        <v>3</v>
      </c>
      <c r="D77" s="42">
        <v>4.3899999999999997</v>
      </c>
      <c r="E77" s="42">
        <v>5.32</v>
      </c>
      <c r="F77" s="42">
        <v>5.63</v>
      </c>
      <c r="G77" s="42">
        <v>4.33</v>
      </c>
      <c r="H77" s="42">
        <v>4.83</v>
      </c>
      <c r="I77" s="42">
        <v>1.73</v>
      </c>
      <c r="J77" s="46">
        <v>2.2599999999999998</v>
      </c>
      <c r="L77" s="47" t="s">
        <v>520</v>
      </c>
      <c r="M77" s="42">
        <v>3.0668009293726302</v>
      </c>
      <c r="N77" s="42">
        <v>6.2152960844604896</v>
      </c>
      <c r="O77" s="42">
        <v>5.7358953913243598</v>
      </c>
      <c r="P77" s="42">
        <v>6.7757935421175199</v>
      </c>
      <c r="Q77" s="42">
        <v>5.3175765067213101</v>
      </c>
      <c r="R77" s="42">
        <v>4.1873911783255098</v>
      </c>
      <c r="S77" s="42">
        <v>3.5016686989212298</v>
      </c>
      <c r="T77" s="46">
        <v>3.8352860694941899</v>
      </c>
      <c r="V77" s="44" t="s">
        <v>2295</v>
      </c>
      <c r="W77" s="42">
        <v>3.9</v>
      </c>
      <c r="X77" s="42">
        <v>4.2699999999999996</v>
      </c>
      <c r="Y77" s="42">
        <v>4.1500000000000004</v>
      </c>
      <c r="Z77" s="42">
        <v>4.2699999999999996</v>
      </c>
      <c r="AA77" s="42">
        <v>3.56</v>
      </c>
      <c r="AB77" s="42">
        <v>3.16</v>
      </c>
      <c r="AC77" s="42">
        <v>0.72</v>
      </c>
      <c r="AD77" s="46">
        <v>1.24</v>
      </c>
      <c r="AF77" s="44" t="s">
        <v>2296</v>
      </c>
      <c r="AG77" s="42">
        <v>4.13</v>
      </c>
      <c r="AH77" s="42">
        <v>0</v>
      </c>
      <c r="AI77" s="42">
        <v>3.78</v>
      </c>
      <c r="AJ77" s="42">
        <v>2.5</v>
      </c>
      <c r="AK77" s="42">
        <v>5.47</v>
      </c>
      <c r="AL77" s="42">
        <v>1.85</v>
      </c>
      <c r="AM77" s="42">
        <v>3.74</v>
      </c>
      <c r="AN77" s="46">
        <v>0</v>
      </c>
      <c r="AP77" s="82" t="s">
        <v>568</v>
      </c>
      <c r="AQ77" s="8">
        <v>2.99</v>
      </c>
      <c r="AR77" s="8">
        <v>4.1900000000000004</v>
      </c>
      <c r="AS77" s="8">
        <v>5.3</v>
      </c>
      <c r="AT77" s="8">
        <v>5.73</v>
      </c>
      <c r="AU77" s="8">
        <v>4.24</v>
      </c>
      <c r="AV77" s="8">
        <v>4.45</v>
      </c>
      <c r="AW77" s="8">
        <v>1.61</v>
      </c>
      <c r="AX77" s="9">
        <v>2.42</v>
      </c>
      <c r="AZ77" s="82" t="s">
        <v>568</v>
      </c>
      <c r="BA77" s="7">
        <v>2.88</v>
      </c>
      <c r="BB77" s="8">
        <v>5.38</v>
      </c>
      <c r="BC77" s="8">
        <v>5.0999999999999996</v>
      </c>
      <c r="BD77" s="8">
        <v>6.21</v>
      </c>
      <c r="BE77" s="8">
        <v>5.33</v>
      </c>
      <c r="BF77" s="8">
        <v>3.71</v>
      </c>
      <c r="BG77" s="8">
        <v>2.87</v>
      </c>
      <c r="BH77" s="9">
        <v>3.05</v>
      </c>
      <c r="BJ77" s="82" t="s">
        <v>568</v>
      </c>
      <c r="BK77" s="8">
        <v>3.83</v>
      </c>
      <c r="BL77" s="8">
        <v>4.29</v>
      </c>
      <c r="BM77" s="8">
        <v>3.95</v>
      </c>
      <c r="BN77" s="8">
        <v>4.43</v>
      </c>
      <c r="BO77" s="8">
        <v>3.64</v>
      </c>
      <c r="BP77" s="8">
        <v>3.23</v>
      </c>
      <c r="BQ77" s="8">
        <v>1.7</v>
      </c>
      <c r="BR77" s="9">
        <v>1.1299999999999999</v>
      </c>
      <c r="BT77" s="82" t="s">
        <v>568</v>
      </c>
      <c r="BU77" s="8">
        <v>4.1900000000000004</v>
      </c>
      <c r="BV77" s="8">
        <v>6.13</v>
      </c>
      <c r="BW77" s="8">
        <v>3.69</v>
      </c>
      <c r="BX77" s="8">
        <v>5.35</v>
      </c>
      <c r="BY77" s="8">
        <v>5.49</v>
      </c>
      <c r="BZ77" s="8">
        <v>1.85</v>
      </c>
      <c r="CA77" s="8">
        <v>3.72</v>
      </c>
      <c r="CB77" s="9">
        <v>2.9</v>
      </c>
    </row>
    <row r="78" spans="2:80">
      <c r="B78" s="44" t="s">
        <v>2297</v>
      </c>
      <c r="C78" s="42">
        <v>2.97</v>
      </c>
      <c r="D78" s="42">
        <v>4.4000000000000004</v>
      </c>
      <c r="E78" s="42">
        <v>5.29</v>
      </c>
      <c r="F78" s="42">
        <v>5.64</v>
      </c>
      <c r="G78" s="42">
        <v>4.3099999999999996</v>
      </c>
      <c r="H78" s="42">
        <v>3.33</v>
      </c>
      <c r="I78" s="42">
        <v>1.78</v>
      </c>
      <c r="J78" s="46">
        <v>2.27</v>
      </c>
      <c r="L78" s="47" t="s">
        <v>525</v>
      </c>
      <c r="M78" s="42">
        <v>2.5109455495006001</v>
      </c>
      <c r="N78" s="42">
        <v>3.8948447606099199</v>
      </c>
      <c r="O78" s="42">
        <v>4.3336568474816</v>
      </c>
      <c r="P78" s="42">
        <v>3.3376350293110399</v>
      </c>
      <c r="Q78" s="42">
        <v>5.0724234932786798</v>
      </c>
      <c r="R78" s="42">
        <v>2.6799327653364502</v>
      </c>
      <c r="S78" s="42">
        <v>2.23747415822162</v>
      </c>
      <c r="T78" s="46">
        <v>2.8533706469237101</v>
      </c>
      <c r="V78" s="44" t="s">
        <v>2298</v>
      </c>
      <c r="W78" s="42">
        <v>3.91</v>
      </c>
      <c r="X78" s="42">
        <v>4.26</v>
      </c>
      <c r="Y78" s="42">
        <v>4.1399999999999997</v>
      </c>
      <c r="Z78" s="42">
        <v>4.3</v>
      </c>
      <c r="AA78" s="42">
        <v>2.33</v>
      </c>
      <c r="AB78" s="42">
        <v>3.14</v>
      </c>
      <c r="AC78" s="42">
        <v>1.61</v>
      </c>
      <c r="AD78" s="46">
        <v>1.25</v>
      </c>
      <c r="AF78" s="44" t="s">
        <v>2299</v>
      </c>
      <c r="AG78" s="42">
        <v>4.16</v>
      </c>
      <c r="AH78" s="42">
        <v>6.12</v>
      </c>
      <c r="AI78" s="42">
        <v>3.79</v>
      </c>
      <c r="AJ78" s="42">
        <v>5.08</v>
      </c>
      <c r="AK78" s="42">
        <v>5.5</v>
      </c>
      <c r="AL78" s="42">
        <v>1.83</v>
      </c>
      <c r="AM78" s="42">
        <v>3.77</v>
      </c>
      <c r="AN78" s="46">
        <v>3.08</v>
      </c>
      <c r="AP78" s="52" t="s">
        <v>539</v>
      </c>
      <c r="AQ78" s="11">
        <f>AQ77-AQ67</f>
        <v>0.78723404255320029</v>
      </c>
      <c r="AR78" s="11">
        <f t="shared" ref="AR78" si="16">AR77-AR67</f>
        <v>3.0200000000000005</v>
      </c>
      <c r="AS78" s="11">
        <f>AS77-AS67</f>
        <v>2.7746808510638297</v>
      </c>
      <c r="AT78" s="11">
        <f t="shared" ref="AT78" si="17">AT77-AT67</f>
        <v>2.3675471698113206</v>
      </c>
      <c r="AU78" s="11">
        <f>AU77-AU67</f>
        <v>2.8419298245614102</v>
      </c>
      <c r="AV78" s="11">
        <f t="shared" ref="AV78" si="18">AV77-AV67</f>
        <v>2.9497872340425602</v>
      </c>
      <c r="AW78" s="11">
        <f>AW77-AW67</f>
        <v>0.34666666666667001</v>
      </c>
      <c r="AX78" s="12">
        <f t="shared" ref="AX78" si="19">AX77-AX67</f>
        <v>0.54800000000001003</v>
      </c>
      <c r="AZ78" s="52" t="s">
        <v>539</v>
      </c>
      <c r="BA78" s="10">
        <f>BA77-BA67</f>
        <v>2.3420754716981129</v>
      </c>
      <c r="BB78" s="11">
        <f t="shared" ref="BB78:BH78" si="20">BB77-BB67</f>
        <v>1.2000000000000002</v>
      </c>
      <c r="BC78" s="11">
        <f t="shared" si="20"/>
        <v>4.7405263157894737</v>
      </c>
      <c r="BD78" s="11">
        <f t="shared" si="20"/>
        <v>4.5977777777777797</v>
      </c>
      <c r="BE78" s="11">
        <f t="shared" si="20"/>
        <v>2.9101923076923102</v>
      </c>
      <c r="BF78" s="11">
        <f t="shared" si="20"/>
        <v>1.85018867924529</v>
      </c>
      <c r="BG78" s="11">
        <f t="shared" si="20"/>
        <v>2.183214285714286</v>
      </c>
      <c r="BH78" s="12">
        <f t="shared" si="20"/>
        <v>1.8453846153846198</v>
      </c>
      <c r="BJ78" s="52" t="s">
        <v>539</v>
      </c>
      <c r="BK78" s="11">
        <f>BK77-BK67</f>
        <v>-9.4779999999999998</v>
      </c>
      <c r="BL78" s="11">
        <f t="shared" ref="BL78" si="21">BL77-BL67</f>
        <v>2.8257777777777799</v>
      </c>
      <c r="BM78" s="11">
        <f>BM77-BM67</f>
        <v>2.5561818181818201</v>
      </c>
      <c r="BN78" s="11">
        <f t="shared" ref="BN78" si="22">BN77-BN67</f>
        <v>0.92032258064515959</v>
      </c>
      <c r="BO78" s="11">
        <f>BO77-BO67</f>
        <v>1.8814285714285801</v>
      </c>
      <c r="BP78" s="11">
        <f t="shared" ref="BP78:BQ78" si="23">BP77-BP67</f>
        <v>0.70687500000000014</v>
      </c>
      <c r="BQ78" s="11">
        <f t="shared" si="23"/>
        <v>1.4708333333333339</v>
      </c>
      <c r="BR78" s="12">
        <f>BR77-BR67</f>
        <v>0.91363636363636391</v>
      </c>
      <c r="BT78" s="52" t="s">
        <v>539</v>
      </c>
      <c r="BU78" s="11">
        <f>BU77-BU67</f>
        <v>3.3400000000000003</v>
      </c>
      <c r="BV78" s="11">
        <f t="shared" ref="BV78:CB78" si="24">BV77-BV67</f>
        <v>5.5250000000000004</v>
      </c>
      <c r="BW78" s="11">
        <f t="shared" si="24"/>
        <v>3.5427999999999997</v>
      </c>
      <c r="BX78" s="11">
        <f t="shared" si="24"/>
        <v>3.7863414634146397</v>
      </c>
      <c r="BY78" s="11">
        <f t="shared" si="24"/>
        <v>3.44960000000001</v>
      </c>
      <c r="BZ78" s="11">
        <f t="shared" si="24"/>
        <v>1.1569565217391302</v>
      </c>
      <c r="CA78" s="11">
        <f t="shared" si="24"/>
        <v>3.3995000000000002</v>
      </c>
      <c r="CB78" s="12">
        <f t="shared" si="24"/>
        <v>0.74872340425533013</v>
      </c>
    </row>
    <row r="79" spans="2:80" ht="15.75" thickBot="1">
      <c r="B79" s="44" t="s">
        <v>2300</v>
      </c>
      <c r="C79" s="42">
        <v>3.02</v>
      </c>
      <c r="D79" s="42">
        <v>4.37</v>
      </c>
      <c r="E79" s="42">
        <v>5.39</v>
      </c>
      <c r="F79" s="42">
        <v>5.63</v>
      </c>
      <c r="G79" s="42">
        <v>4.3</v>
      </c>
      <c r="H79" s="42">
        <v>4.87</v>
      </c>
      <c r="I79" s="42">
        <v>1.76</v>
      </c>
      <c r="J79" s="46">
        <v>2.25</v>
      </c>
      <c r="L79" s="48" t="s">
        <v>937</v>
      </c>
      <c r="M79" s="49">
        <v>2.8361764705882302</v>
      </c>
      <c r="N79" s="49">
        <v>5.4117187499999897</v>
      </c>
      <c r="O79" s="49">
        <v>5.1732812499999898</v>
      </c>
      <c r="P79" s="49">
        <v>5.6793333333333296</v>
      </c>
      <c r="Q79" s="49">
        <v>5.125</v>
      </c>
      <c r="R79" s="49">
        <v>3.7091803278688502</v>
      </c>
      <c r="S79" s="49">
        <v>3.0579687500000001</v>
      </c>
      <c r="T79" s="50">
        <v>3.4299999999999899</v>
      </c>
      <c r="V79" s="44" t="s">
        <v>2301</v>
      </c>
      <c r="W79" s="42">
        <v>3.94</v>
      </c>
      <c r="X79" s="42">
        <v>4.2699999999999996</v>
      </c>
      <c r="Y79" s="42">
        <v>1.81</v>
      </c>
      <c r="Z79" s="42">
        <v>4.33</v>
      </c>
      <c r="AA79" s="42">
        <v>3.61</v>
      </c>
      <c r="AB79" s="42">
        <v>3.1</v>
      </c>
      <c r="AC79" s="42">
        <v>1.61</v>
      </c>
      <c r="AD79" s="46">
        <v>1.21</v>
      </c>
      <c r="AF79" s="44" t="s">
        <v>2302</v>
      </c>
      <c r="AG79" s="42">
        <v>4.18</v>
      </c>
      <c r="AH79" s="42">
        <v>6.12</v>
      </c>
      <c r="AI79" s="42">
        <v>3.78</v>
      </c>
      <c r="AJ79" s="42">
        <v>5.2</v>
      </c>
      <c r="AK79" s="42">
        <v>5.44</v>
      </c>
      <c r="AL79" s="42">
        <v>1.88</v>
      </c>
      <c r="AM79" s="42">
        <v>3.76</v>
      </c>
      <c r="AN79" s="46">
        <v>3.18</v>
      </c>
      <c r="AP79" s="53" t="s">
        <v>544</v>
      </c>
      <c r="AQ79" s="14">
        <f>(AQ78/AQ67)*100</f>
        <v>35.738433304356768</v>
      </c>
      <c r="AR79" s="14">
        <f t="shared" ref="AR79" si="25">(AR78/AR67)*100</f>
        <v>258.1196581196582</v>
      </c>
      <c r="AS79" s="14">
        <f>(AS78/AS67)*100</f>
        <v>109.87446288651108</v>
      </c>
      <c r="AT79" s="14">
        <f t="shared" ref="AT79:AU79" si="26">(AT78/AT67)*100</f>
        <v>70.411312496492883</v>
      </c>
      <c r="AU79" s="14">
        <f t="shared" si="26"/>
        <v>203.27519136654678</v>
      </c>
      <c r="AV79" s="14">
        <f>(AV78/AV67)*100</f>
        <v>196.62459225641888</v>
      </c>
      <c r="AW79" s="14">
        <f t="shared" ref="AW79" si="27">(AW78/AW67)*100</f>
        <v>27.440633245382923</v>
      </c>
      <c r="AX79" s="15">
        <f>(AX78/AX67)*100</f>
        <v>29.273504273504969</v>
      </c>
      <c r="AZ79" s="53" t="s">
        <v>544</v>
      </c>
      <c r="BA79" s="13">
        <f>(BA78/BA67)*100</f>
        <v>435.39109084531719</v>
      </c>
      <c r="BB79" s="14">
        <f t="shared" ref="BB79:BH79" si="28">(BB78/BB67)*100</f>
        <v>28.708133971291872</v>
      </c>
      <c r="BC79" s="14">
        <f t="shared" si="28"/>
        <v>1318.7408491947303</v>
      </c>
      <c r="BD79" s="14">
        <f t="shared" si="28"/>
        <v>285.18263266712665</v>
      </c>
      <c r="BE79" s="14">
        <f t="shared" si="28"/>
        <v>120.2654374950332</v>
      </c>
      <c r="BF79" s="14">
        <f t="shared" si="28"/>
        <v>99.48260119711955</v>
      </c>
      <c r="BG79" s="14">
        <f t="shared" si="28"/>
        <v>317.88871554862214</v>
      </c>
      <c r="BH79" s="15">
        <f t="shared" si="28"/>
        <v>153.19284802043518</v>
      </c>
      <c r="BJ79" s="53" t="s">
        <v>544</v>
      </c>
      <c r="BK79" s="14">
        <f>(BK78/BK67)*100</f>
        <v>-71.220318605350158</v>
      </c>
      <c r="BL79" s="14">
        <f t="shared" ref="BL79" si="29">(BL78/BL67)*100</f>
        <v>192.98831385642779</v>
      </c>
      <c r="BM79" s="14">
        <f>(BM78/BM67)*100</f>
        <v>183.39420819201706</v>
      </c>
      <c r="BN79" s="14">
        <f t="shared" ref="BN79:BP79" si="30">(BN78/BN67)*100</f>
        <v>26.222426470588179</v>
      </c>
      <c r="BO79" s="14">
        <f t="shared" si="30"/>
        <v>106.98619008935925</v>
      </c>
      <c r="BP79" s="14">
        <f t="shared" si="30"/>
        <v>28.015853356452819</v>
      </c>
      <c r="BQ79" s="14">
        <f>(BQ78/BQ67)*100</f>
        <v>641.81818181818392</v>
      </c>
      <c r="BR79" s="15">
        <f>(BR78/BR67)*100</f>
        <v>422.268907563026</v>
      </c>
      <c r="BT79" s="53" t="s">
        <v>544</v>
      </c>
      <c r="BU79" s="14">
        <f>(BU78/BU67)*100</f>
        <v>392.94117647058829</v>
      </c>
      <c r="BV79" s="14">
        <f t="shared" ref="BV79:CB79" si="31">(BV78/BV67)*100</f>
        <v>913.22314049586794</v>
      </c>
      <c r="BW79" s="14">
        <f t="shared" si="31"/>
        <v>2406.7934782608695</v>
      </c>
      <c r="BX79" s="14">
        <f t="shared" si="31"/>
        <v>242.14631102792205</v>
      </c>
      <c r="BY79" s="14">
        <f t="shared" si="31"/>
        <v>169.06488923740574</v>
      </c>
      <c r="BZ79" s="14">
        <f t="shared" si="31"/>
        <v>166.93851944792962</v>
      </c>
      <c r="CA79" s="14">
        <f t="shared" si="31"/>
        <v>1060.6864274570983</v>
      </c>
      <c r="CB79" s="15">
        <f t="shared" si="31"/>
        <v>34.80367916131015</v>
      </c>
    </row>
    <row r="80" spans="2:80" ht="15.75" thickBot="1">
      <c r="B80" s="44" t="s">
        <v>2303</v>
      </c>
      <c r="C80" s="42">
        <v>2.98</v>
      </c>
      <c r="D80" s="42">
        <v>4.37</v>
      </c>
      <c r="E80" s="42">
        <v>5.29</v>
      </c>
      <c r="F80" s="42">
        <v>5.64</v>
      </c>
      <c r="G80" s="42">
        <v>4.3</v>
      </c>
      <c r="H80" s="42">
        <v>0.3</v>
      </c>
      <c r="I80" s="42">
        <v>1.74</v>
      </c>
      <c r="J80" s="46">
        <v>2.63</v>
      </c>
      <c r="V80" s="44" t="s">
        <v>2304</v>
      </c>
      <c r="W80" s="42">
        <v>3.94</v>
      </c>
      <c r="X80" s="42">
        <v>4.3</v>
      </c>
      <c r="Y80" s="42">
        <v>4.17</v>
      </c>
      <c r="Z80" s="42">
        <v>4.3</v>
      </c>
      <c r="AA80" s="42">
        <v>3.61</v>
      </c>
      <c r="AB80" s="42">
        <v>3.11</v>
      </c>
      <c r="AC80" s="42">
        <v>1.65</v>
      </c>
      <c r="AD80" s="46">
        <v>1.28</v>
      </c>
      <c r="AF80" s="44" t="s">
        <v>2305</v>
      </c>
      <c r="AG80" s="42">
        <v>4.1500000000000004</v>
      </c>
      <c r="AH80" s="42">
        <v>6.09</v>
      </c>
      <c r="AI80" s="42">
        <v>3.77</v>
      </c>
      <c r="AJ80" s="42">
        <v>5.18</v>
      </c>
      <c r="AK80" s="42">
        <v>4.04</v>
      </c>
      <c r="AL80" s="42">
        <v>1.85</v>
      </c>
      <c r="AM80" s="42">
        <v>3.77</v>
      </c>
      <c r="AN80" s="46">
        <v>0</v>
      </c>
    </row>
    <row r="81" spans="2:40" ht="30">
      <c r="B81" s="44" t="s">
        <v>2306</v>
      </c>
      <c r="C81" s="42">
        <v>2.99</v>
      </c>
      <c r="D81" s="42">
        <v>4.3899999999999997</v>
      </c>
      <c r="E81" s="42">
        <v>5.33</v>
      </c>
      <c r="F81" s="42">
        <v>0.09</v>
      </c>
      <c r="G81" s="42">
        <v>4.34</v>
      </c>
      <c r="H81" s="42">
        <v>4.8600000000000003</v>
      </c>
      <c r="I81" s="42">
        <v>1.76</v>
      </c>
      <c r="J81" s="46">
        <v>2.21</v>
      </c>
      <c r="L81" s="82" t="s">
        <v>534</v>
      </c>
      <c r="M81" s="8">
        <v>2.88</v>
      </c>
      <c r="N81" s="8">
        <v>5.31</v>
      </c>
      <c r="O81" s="8">
        <v>5.04</v>
      </c>
      <c r="P81" s="8">
        <v>6.21</v>
      </c>
      <c r="Q81" s="8">
        <v>5.29</v>
      </c>
      <c r="R81" s="8">
        <v>3.65</v>
      </c>
      <c r="S81" s="8">
        <v>2.85</v>
      </c>
      <c r="T81" s="9">
        <v>3.06</v>
      </c>
      <c r="V81" s="44" t="s">
        <v>2307</v>
      </c>
      <c r="W81" s="42">
        <v>3.94</v>
      </c>
      <c r="X81" s="42">
        <v>4.32</v>
      </c>
      <c r="Y81" s="42">
        <v>4.16</v>
      </c>
      <c r="Z81" s="42">
        <v>4.28</v>
      </c>
      <c r="AA81" s="42">
        <v>3.61</v>
      </c>
      <c r="AB81" s="42">
        <v>3.11</v>
      </c>
      <c r="AC81" s="42">
        <v>1.62</v>
      </c>
      <c r="AD81" s="46">
        <v>1.22</v>
      </c>
      <c r="AF81" s="44" t="s">
        <v>2308</v>
      </c>
      <c r="AG81" s="42">
        <v>4.1399999999999997</v>
      </c>
      <c r="AH81" s="42">
        <v>6.08</v>
      </c>
      <c r="AI81" s="42">
        <v>3.75</v>
      </c>
      <c r="AJ81" s="42">
        <v>5.15</v>
      </c>
      <c r="AK81" s="42">
        <v>5.5</v>
      </c>
      <c r="AL81" s="42">
        <v>1.86</v>
      </c>
      <c r="AM81" s="42">
        <v>2.65</v>
      </c>
      <c r="AN81" s="46">
        <v>3.19</v>
      </c>
    </row>
    <row r="82" spans="2:40">
      <c r="B82" s="44" t="s">
        <v>2309</v>
      </c>
      <c r="C82" s="42">
        <v>3</v>
      </c>
      <c r="D82" s="42">
        <v>4.42</v>
      </c>
      <c r="E82" s="42">
        <v>5.3</v>
      </c>
      <c r="F82" s="42">
        <v>5.64</v>
      </c>
      <c r="G82" s="42">
        <v>4.33</v>
      </c>
      <c r="H82" s="42">
        <v>4.8099999999999996</v>
      </c>
      <c r="I82" s="42">
        <v>1.78</v>
      </c>
      <c r="J82" s="46">
        <v>2.31</v>
      </c>
      <c r="L82" s="52" t="s">
        <v>945</v>
      </c>
      <c r="M82" s="11">
        <f>M81-M79</f>
        <v>4.3823529411769702E-2</v>
      </c>
      <c r="N82" s="11">
        <f t="shared" ref="N82:T82" si="32">N81-N79</f>
        <v>-0.10171874999999009</v>
      </c>
      <c r="O82" s="11">
        <f t="shared" si="32"/>
        <v>-0.1332812499999898</v>
      </c>
      <c r="P82" s="11">
        <f t="shared" si="32"/>
        <v>0.53066666666667039</v>
      </c>
      <c r="Q82" s="11">
        <f>Q81-Q79</f>
        <v>0.16500000000000004</v>
      </c>
      <c r="R82" s="11">
        <f>R81-R79</f>
        <v>-5.9180327868850302E-2</v>
      </c>
      <c r="S82" s="11">
        <f t="shared" si="32"/>
        <v>-0.20796875000000004</v>
      </c>
      <c r="T82" s="12">
        <f t="shared" si="32"/>
        <v>-0.36999999999998989</v>
      </c>
      <c r="V82" s="44" t="s">
        <v>2310</v>
      </c>
      <c r="W82" s="42">
        <v>3.9</v>
      </c>
      <c r="X82" s="42">
        <v>4.2699999999999996</v>
      </c>
      <c r="Y82" s="42">
        <v>4.12</v>
      </c>
      <c r="Z82" s="42">
        <v>4.28</v>
      </c>
      <c r="AA82" s="42">
        <v>3.61</v>
      </c>
      <c r="AB82" s="42">
        <v>3.15</v>
      </c>
      <c r="AC82" s="42">
        <v>1.61</v>
      </c>
      <c r="AD82" s="46">
        <v>1.25</v>
      </c>
      <c r="AF82" s="44" t="s">
        <v>2311</v>
      </c>
      <c r="AG82" s="42">
        <v>4.1500000000000004</v>
      </c>
      <c r="AH82" s="42">
        <v>6.06</v>
      </c>
      <c r="AI82" s="42">
        <v>3.78</v>
      </c>
      <c r="AJ82" s="42">
        <v>5.15</v>
      </c>
      <c r="AK82" s="42">
        <v>5.48</v>
      </c>
      <c r="AL82" s="42">
        <v>1.82</v>
      </c>
      <c r="AM82" s="42">
        <v>3.75</v>
      </c>
      <c r="AN82" s="46">
        <v>3.18</v>
      </c>
    </row>
    <row r="83" spans="2:40" ht="15.75" thickBot="1">
      <c r="B83" s="44" t="s">
        <v>2312</v>
      </c>
      <c r="C83" s="42">
        <v>2.95</v>
      </c>
      <c r="D83" s="42">
        <v>0</v>
      </c>
      <c r="E83" s="42">
        <v>5.29</v>
      </c>
      <c r="F83" s="42">
        <v>5.65</v>
      </c>
      <c r="G83" s="42">
        <v>4.3099999999999996</v>
      </c>
      <c r="H83" s="42">
        <v>4.9400000000000004</v>
      </c>
      <c r="I83" s="42">
        <v>1.74</v>
      </c>
      <c r="J83" s="46">
        <v>2.2200000000000002</v>
      </c>
      <c r="L83" s="53" t="s">
        <v>946</v>
      </c>
      <c r="M83" s="14">
        <f>(M82/M79)*100</f>
        <v>1.5451622938921212</v>
      </c>
      <c r="N83" s="14">
        <f t="shared" ref="N83:S83" si="33">(N82/N79)*100</f>
        <v>-1.8796015591163211</v>
      </c>
      <c r="O83" s="14">
        <f t="shared" si="33"/>
        <v>-2.5763387598536238</v>
      </c>
      <c r="P83" s="14">
        <f t="shared" si="33"/>
        <v>9.3438196971476248</v>
      </c>
      <c r="Q83" s="14">
        <f t="shared" si="33"/>
        <v>3.2195121951219519</v>
      </c>
      <c r="R83" s="14">
        <f t="shared" si="33"/>
        <v>-1.595509590736264</v>
      </c>
      <c r="S83" s="14">
        <f t="shared" si="33"/>
        <v>-6.8008788513617091</v>
      </c>
      <c r="T83" s="15">
        <f>(T82/T79)*100</f>
        <v>-10.787172011661545</v>
      </c>
      <c r="V83" s="44" t="s">
        <v>2313</v>
      </c>
      <c r="W83" s="42">
        <v>3.92</v>
      </c>
      <c r="X83" s="42">
        <v>4.29</v>
      </c>
      <c r="Y83" s="42">
        <v>4.1900000000000004</v>
      </c>
      <c r="Z83" s="42">
        <v>4.32</v>
      </c>
      <c r="AA83" s="42">
        <v>3.57</v>
      </c>
      <c r="AB83" s="42">
        <v>3.09</v>
      </c>
      <c r="AC83" s="42">
        <v>1.65</v>
      </c>
      <c r="AD83" s="46">
        <v>1.3</v>
      </c>
      <c r="AF83" s="44" t="s">
        <v>2314</v>
      </c>
      <c r="AG83" s="42">
        <v>4.1399999999999997</v>
      </c>
      <c r="AH83" s="42">
        <v>6.12</v>
      </c>
      <c r="AI83" s="42">
        <v>3.76</v>
      </c>
      <c r="AJ83" s="42">
        <v>5.14</v>
      </c>
      <c r="AK83" s="42">
        <v>5.47</v>
      </c>
      <c r="AL83" s="42">
        <v>1.83</v>
      </c>
      <c r="AM83" s="42">
        <v>3.73</v>
      </c>
      <c r="AN83" s="46">
        <v>3.09</v>
      </c>
    </row>
    <row r="84" spans="2:40" ht="15.75" thickBot="1">
      <c r="B84" s="44" t="s">
        <v>2315</v>
      </c>
      <c r="C84" s="42">
        <v>3.02</v>
      </c>
      <c r="D84" s="42">
        <v>0</v>
      </c>
      <c r="E84" s="42">
        <v>0.08</v>
      </c>
      <c r="F84" s="42">
        <v>5.65</v>
      </c>
      <c r="G84" s="42">
        <v>4.32</v>
      </c>
      <c r="H84" s="42">
        <v>4.88</v>
      </c>
      <c r="I84" s="42">
        <v>1.74</v>
      </c>
      <c r="J84" s="46">
        <v>2.21</v>
      </c>
      <c r="V84" s="44" t="s">
        <v>2316</v>
      </c>
      <c r="W84" s="42">
        <v>3.91</v>
      </c>
      <c r="X84" s="42">
        <v>0.87</v>
      </c>
      <c r="Y84" s="42">
        <v>4.1399999999999997</v>
      </c>
      <c r="Z84" s="42">
        <v>4.32</v>
      </c>
      <c r="AA84" s="42">
        <v>3.58</v>
      </c>
      <c r="AB84" s="42">
        <v>0.75</v>
      </c>
      <c r="AC84" s="42">
        <v>1.6</v>
      </c>
      <c r="AD84" s="46">
        <v>1.23</v>
      </c>
      <c r="AF84" s="44" t="s">
        <v>2317</v>
      </c>
      <c r="AG84" s="42">
        <v>2.82</v>
      </c>
      <c r="AH84" s="42">
        <v>6.1</v>
      </c>
      <c r="AI84" s="42">
        <v>3.78</v>
      </c>
      <c r="AJ84" s="42">
        <v>5.15</v>
      </c>
      <c r="AK84" s="42">
        <v>5.45</v>
      </c>
      <c r="AL84" s="42">
        <v>1.85</v>
      </c>
      <c r="AM84" s="42">
        <v>3.75</v>
      </c>
      <c r="AN84" s="46">
        <v>0</v>
      </c>
    </row>
    <row r="85" spans="2:40" ht="30">
      <c r="B85" s="44" t="s">
        <v>2318</v>
      </c>
      <c r="C85" s="42">
        <v>2.99</v>
      </c>
      <c r="D85" s="42">
        <v>4.41</v>
      </c>
      <c r="E85" s="42">
        <v>5.3</v>
      </c>
      <c r="F85" s="42">
        <v>3.42</v>
      </c>
      <c r="G85" s="42">
        <v>4.3099999999999996</v>
      </c>
      <c r="H85" s="42">
        <v>4.84</v>
      </c>
      <c r="I85" s="42">
        <v>1.75</v>
      </c>
      <c r="J85" s="46">
        <v>2.25</v>
      </c>
      <c r="L85" s="82" t="s">
        <v>553</v>
      </c>
      <c r="M85" s="8">
        <v>2.84</v>
      </c>
      <c r="N85" s="8">
        <v>5.41</v>
      </c>
      <c r="O85" s="8">
        <v>5.0999999999999996</v>
      </c>
      <c r="P85" s="8">
        <v>6.17</v>
      </c>
      <c r="Q85" s="8">
        <v>5.33</v>
      </c>
      <c r="R85" s="8">
        <v>3.65</v>
      </c>
      <c r="S85" s="8">
        <v>2.94</v>
      </c>
      <c r="T85" s="9">
        <v>3.12</v>
      </c>
      <c r="V85" s="44" t="s">
        <v>2319</v>
      </c>
      <c r="W85" s="42">
        <v>3.95</v>
      </c>
      <c r="X85" s="42">
        <v>4.28</v>
      </c>
      <c r="Y85" s="42">
        <v>4.17</v>
      </c>
      <c r="Z85" s="42">
        <v>4.25</v>
      </c>
      <c r="AA85" s="42">
        <v>3.61</v>
      </c>
      <c r="AB85" s="42">
        <v>3.12</v>
      </c>
      <c r="AC85" s="42">
        <v>1.61</v>
      </c>
      <c r="AD85" s="46">
        <v>1.29</v>
      </c>
      <c r="AF85" s="44" t="s">
        <v>2320</v>
      </c>
      <c r="AG85" s="42">
        <v>4.17</v>
      </c>
      <c r="AH85" s="42">
        <v>99.99</v>
      </c>
      <c r="AI85" s="42">
        <v>2.4500000000000002</v>
      </c>
      <c r="AJ85" s="42">
        <v>5.0999999999999996</v>
      </c>
      <c r="AK85" s="42">
        <v>5.44</v>
      </c>
      <c r="AL85" s="42">
        <v>0.65</v>
      </c>
      <c r="AM85" s="42">
        <v>3.75</v>
      </c>
      <c r="AN85" s="46">
        <v>3.12</v>
      </c>
    </row>
    <row r="86" spans="2:40">
      <c r="B86" s="44" t="s">
        <v>2321</v>
      </c>
      <c r="C86" s="42">
        <v>3</v>
      </c>
      <c r="D86" s="42">
        <v>0</v>
      </c>
      <c r="E86" s="42">
        <v>5.28</v>
      </c>
      <c r="F86" s="42">
        <v>5.64</v>
      </c>
      <c r="G86" s="42">
        <v>4.33</v>
      </c>
      <c r="H86" s="42">
        <v>4.8600000000000003</v>
      </c>
      <c r="I86" s="42">
        <v>1.69</v>
      </c>
      <c r="J86" s="46">
        <v>2.2400000000000002</v>
      </c>
      <c r="L86" s="52" t="s">
        <v>539</v>
      </c>
      <c r="M86" s="11">
        <f>M85-M79</f>
        <v>3.8235294117696661E-3</v>
      </c>
      <c r="N86" s="11">
        <f t="shared" ref="N86:S86" si="34">N85-N79</f>
        <v>-1.718749999989555E-3</v>
      </c>
      <c r="O86" s="11">
        <f t="shared" si="34"/>
        <v>-7.3281249999990195E-2</v>
      </c>
      <c r="P86" s="11">
        <f t="shared" si="34"/>
        <v>0.49066666666667036</v>
      </c>
      <c r="Q86" s="11">
        <f>Q85-Q79</f>
        <v>0.20500000000000007</v>
      </c>
      <c r="R86" s="11">
        <f t="shared" si="34"/>
        <v>-5.9180327868850302E-2</v>
      </c>
      <c r="S86" s="11">
        <f t="shared" si="34"/>
        <v>-0.11796875000000018</v>
      </c>
      <c r="T86" s="12">
        <f>T85-T79</f>
        <v>-0.30999999999998984</v>
      </c>
      <c r="V86" s="44" t="s">
        <v>2322</v>
      </c>
      <c r="W86" s="42">
        <v>3.92</v>
      </c>
      <c r="X86" s="42">
        <v>4.28</v>
      </c>
      <c r="Y86" s="42">
        <v>4.13</v>
      </c>
      <c r="Z86" s="42">
        <v>4.29</v>
      </c>
      <c r="AA86" s="42">
        <v>3.58</v>
      </c>
      <c r="AB86" s="42">
        <v>3.12</v>
      </c>
      <c r="AC86" s="42">
        <v>1.66</v>
      </c>
      <c r="AD86" s="46">
        <v>1.25</v>
      </c>
      <c r="AF86" s="44" t="s">
        <v>2323</v>
      </c>
      <c r="AG86" s="42">
        <v>4.13</v>
      </c>
      <c r="AH86" s="42">
        <v>6.12</v>
      </c>
      <c r="AI86" s="42">
        <v>3.76</v>
      </c>
      <c r="AJ86" s="42">
        <v>5.16</v>
      </c>
      <c r="AK86" s="42">
        <v>5.47</v>
      </c>
      <c r="AL86" s="42">
        <v>0.8</v>
      </c>
      <c r="AM86" s="42">
        <v>3.78</v>
      </c>
      <c r="AN86" s="46">
        <v>3.2</v>
      </c>
    </row>
    <row r="87" spans="2:40" ht="15.75" thickBot="1">
      <c r="B87" s="44" t="s">
        <v>2324</v>
      </c>
      <c r="C87" s="42">
        <v>2.98</v>
      </c>
      <c r="D87" s="42">
        <v>4.38</v>
      </c>
      <c r="E87" s="42">
        <v>5.3</v>
      </c>
      <c r="F87" s="42">
        <v>5.62</v>
      </c>
      <c r="G87" s="42">
        <v>4.33</v>
      </c>
      <c r="H87" s="42">
        <v>4.84</v>
      </c>
      <c r="I87" s="42">
        <v>1.76</v>
      </c>
      <c r="J87" s="46">
        <v>2.21</v>
      </c>
      <c r="L87" s="53" t="s">
        <v>544</v>
      </c>
      <c r="M87" s="14">
        <f>(M86/M79)*100</f>
        <v>0.13481281758806271</v>
      </c>
      <c r="N87" s="14">
        <f>(N86/N79)*100</f>
        <v>-3.1759780568595852E-2</v>
      </c>
      <c r="O87" s="14">
        <f t="shared" ref="O87:S87" si="35">(O86/O79)*100</f>
        <v>-1.4165332688995083</v>
      </c>
      <c r="P87" s="14">
        <f>(P86/P79)*100</f>
        <v>8.6395116797746923</v>
      </c>
      <c r="Q87" s="14">
        <f t="shared" si="35"/>
        <v>4.0000000000000018</v>
      </c>
      <c r="R87" s="14">
        <f>(R86/R79)*100</f>
        <v>-1.595509590736264</v>
      </c>
      <c r="S87" s="14">
        <f t="shared" si="35"/>
        <v>-3.8577487098257679</v>
      </c>
      <c r="T87" s="15">
        <f>(T86/T79)*100</f>
        <v>-9.0379008746352998</v>
      </c>
      <c r="V87" s="44" t="s">
        <v>2325</v>
      </c>
      <c r="W87" s="42">
        <v>3.91</v>
      </c>
      <c r="X87" s="42">
        <v>4.25</v>
      </c>
      <c r="Y87" s="42">
        <v>4.2300000000000004</v>
      </c>
      <c r="Z87" s="42">
        <v>4.28</v>
      </c>
      <c r="AA87" s="42">
        <v>3.6</v>
      </c>
      <c r="AB87" s="42">
        <v>3.11</v>
      </c>
      <c r="AC87" s="42">
        <v>1.65</v>
      </c>
      <c r="AD87" s="46">
        <v>1.23</v>
      </c>
      <c r="AF87" s="44" t="s">
        <v>2326</v>
      </c>
      <c r="AG87" s="42">
        <v>0.44</v>
      </c>
      <c r="AH87" s="42">
        <v>6.08</v>
      </c>
      <c r="AI87" s="42">
        <v>3.76</v>
      </c>
      <c r="AJ87" s="42">
        <v>5.15</v>
      </c>
      <c r="AK87" s="42">
        <v>2.63</v>
      </c>
      <c r="AL87" s="42">
        <v>1.85</v>
      </c>
      <c r="AM87" s="42">
        <v>3.78</v>
      </c>
      <c r="AN87" s="46">
        <v>3.17</v>
      </c>
    </row>
    <row r="88" spans="2:40" ht="15.75" thickBot="1">
      <c r="B88" s="44" t="s">
        <v>2327</v>
      </c>
      <c r="C88" s="42">
        <v>2.99</v>
      </c>
      <c r="D88" s="42">
        <v>0</v>
      </c>
      <c r="E88" s="42">
        <v>5.32</v>
      </c>
      <c r="F88" s="42">
        <v>5.61</v>
      </c>
      <c r="G88" s="42">
        <v>4.3099999999999996</v>
      </c>
      <c r="H88" s="42">
        <v>4.83</v>
      </c>
      <c r="I88" s="42">
        <v>1.73</v>
      </c>
      <c r="J88" s="46">
        <v>2.2599999999999998</v>
      </c>
      <c r="V88" s="44" t="s">
        <v>2328</v>
      </c>
      <c r="W88" s="42">
        <v>3.92</v>
      </c>
      <c r="X88" s="42">
        <v>4.29</v>
      </c>
      <c r="Y88" s="42">
        <v>4.17</v>
      </c>
      <c r="Z88" s="42">
        <v>4.3</v>
      </c>
      <c r="AA88" s="42">
        <v>3.6</v>
      </c>
      <c r="AB88" s="42">
        <v>3.15</v>
      </c>
      <c r="AC88" s="42">
        <v>1.61</v>
      </c>
      <c r="AD88" s="46">
        <v>1.23</v>
      </c>
      <c r="AF88" s="44" t="s">
        <v>2329</v>
      </c>
      <c r="AG88" s="42">
        <v>4.17</v>
      </c>
      <c r="AH88" s="42">
        <v>6.06</v>
      </c>
      <c r="AI88" s="42">
        <v>3.75</v>
      </c>
      <c r="AJ88" s="42">
        <v>5.15</v>
      </c>
      <c r="AK88" s="42">
        <v>5.42</v>
      </c>
      <c r="AL88" s="42">
        <v>1.87</v>
      </c>
      <c r="AM88" s="42">
        <v>3.73</v>
      </c>
      <c r="AN88" s="46">
        <v>3.23</v>
      </c>
    </row>
    <row r="89" spans="2:40" ht="30">
      <c r="B89" s="44" t="s">
        <v>2330</v>
      </c>
      <c r="C89" s="42">
        <v>2.99</v>
      </c>
      <c r="D89" s="42">
        <v>4.43</v>
      </c>
      <c r="E89" s="42">
        <v>5.35</v>
      </c>
      <c r="F89" s="42">
        <v>5.65</v>
      </c>
      <c r="G89" s="42">
        <v>1.54</v>
      </c>
      <c r="H89" s="42">
        <v>4.8</v>
      </c>
      <c r="I89" s="42">
        <v>1.74</v>
      </c>
      <c r="J89" s="46">
        <v>2.25</v>
      </c>
      <c r="L89" s="82" t="s">
        <v>568</v>
      </c>
      <c r="M89" s="7">
        <v>2.88</v>
      </c>
      <c r="N89" s="8">
        <v>5.38</v>
      </c>
      <c r="O89" s="8">
        <v>5.0999999999999996</v>
      </c>
      <c r="P89" s="8">
        <v>6.21</v>
      </c>
      <c r="Q89" s="8">
        <v>5.33</v>
      </c>
      <c r="R89" s="8">
        <v>3.71</v>
      </c>
      <c r="S89" s="8">
        <v>2.87</v>
      </c>
      <c r="T89" s="9">
        <v>3.05</v>
      </c>
      <c r="V89" s="44" t="s">
        <v>2331</v>
      </c>
      <c r="W89" s="42">
        <v>3.91</v>
      </c>
      <c r="X89" s="42">
        <v>4.2699999999999996</v>
      </c>
      <c r="Y89" s="42">
        <v>4.21</v>
      </c>
      <c r="Z89" s="42">
        <v>4.3600000000000003</v>
      </c>
      <c r="AA89" s="42">
        <v>3.61</v>
      </c>
      <c r="AB89" s="42">
        <v>3.11</v>
      </c>
      <c r="AC89" s="42">
        <v>1.63</v>
      </c>
      <c r="AD89" s="46">
        <v>0.66</v>
      </c>
      <c r="AF89" s="44" t="s">
        <v>2332</v>
      </c>
      <c r="AG89" s="42">
        <v>4.1399999999999997</v>
      </c>
      <c r="AH89" s="42">
        <v>6.08</v>
      </c>
      <c r="AI89" s="42">
        <v>3.75</v>
      </c>
      <c r="AJ89" s="42">
        <v>5.15</v>
      </c>
      <c r="AK89" s="42">
        <v>5.48</v>
      </c>
      <c r="AL89" s="42">
        <v>1.84</v>
      </c>
      <c r="AM89" s="42">
        <v>3.74</v>
      </c>
      <c r="AN89" s="46">
        <v>3.13</v>
      </c>
    </row>
    <row r="90" spans="2:40">
      <c r="B90" s="44" t="s">
        <v>2333</v>
      </c>
      <c r="C90" s="42">
        <v>2.99</v>
      </c>
      <c r="D90" s="42">
        <v>4.3899999999999997</v>
      </c>
      <c r="E90" s="42">
        <v>5.3</v>
      </c>
      <c r="F90" s="42">
        <v>5.69</v>
      </c>
      <c r="G90" s="42">
        <v>4.3099999999999996</v>
      </c>
      <c r="H90" s="42">
        <v>4.8600000000000003</v>
      </c>
      <c r="I90" s="42">
        <v>1.74</v>
      </c>
      <c r="J90" s="46">
        <v>2.2200000000000002</v>
      </c>
      <c r="L90" s="52" t="s">
        <v>539</v>
      </c>
      <c r="M90" s="10">
        <f>M89-M79</f>
        <v>4.3823529411769702E-2</v>
      </c>
      <c r="N90" s="11">
        <f t="shared" ref="N90:T90" si="36">N89-N79</f>
        <v>-3.1718749999989804E-2</v>
      </c>
      <c r="O90" s="11">
        <f t="shared" si="36"/>
        <v>-7.3281249999990195E-2</v>
      </c>
      <c r="P90" s="11">
        <f t="shared" si="36"/>
        <v>0.53066666666667039</v>
      </c>
      <c r="Q90" s="11">
        <f t="shared" si="36"/>
        <v>0.20500000000000007</v>
      </c>
      <c r="R90" s="11">
        <f t="shared" si="36"/>
        <v>8.1967213114975124E-4</v>
      </c>
      <c r="S90" s="11">
        <f t="shared" si="36"/>
        <v>-0.18796875000000002</v>
      </c>
      <c r="T90" s="12">
        <f t="shared" si="36"/>
        <v>-0.37999999999999012</v>
      </c>
      <c r="V90" s="44" t="s">
        <v>2334</v>
      </c>
      <c r="W90" s="42">
        <v>3.94</v>
      </c>
      <c r="X90" s="42">
        <v>4.28</v>
      </c>
      <c r="Y90" s="42">
        <v>0.09</v>
      </c>
      <c r="Z90" s="42">
        <v>4.33</v>
      </c>
      <c r="AA90" s="42">
        <v>3.6</v>
      </c>
      <c r="AB90" s="42">
        <v>3.14</v>
      </c>
      <c r="AC90" s="42">
        <v>1.64</v>
      </c>
      <c r="AD90" s="46">
        <v>1.23</v>
      </c>
      <c r="AF90" s="44" t="s">
        <v>2335</v>
      </c>
      <c r="AG90" s="42">
        <v>4.1399999999999997</v>
      </c>
      <c r="AH90" s="42">
        <v>6.11</v>
      </c>
      <c r="AI90" s="42">
        <v>3.76</v>
      </c>
      <c r="AJ90" s="42">
        <v>5.2</v>
      </c>
      <c r="AK90" s="42">
        <v>5.45</v>
      </c>
      <c r="AL90" s="42">
        <v>1.82</v>
      </c>
      <c r="AM90" s="42">
        <v>3.76</v>
      </c>
      <c r="AN90" s="46">
        <v>0</v>
      </c>
    </row>
    <row r="91" spans="2:40" ht="15.75" thickBot="1">
      <c r="B91" s="44" t="s">
        <v>2336</v>
      </c>
      <c r="C91" s="42">
        <v>2.98</v>
      </c>
      <c r="D91" s="42">
        <v>4.41</v>
      </c>
      <c r="E91" s="42">
        <v>5.29</v>
      </c>
      <c r="F91" s="42">
        <v>5.67</v>
      </c>
      <c r="G91" s="42">
        <v>4.34</v>
      </c>
      <c r="H91" s="42">
        <v>4.87</v>
      </c>
      <c r="I91" s="42">
        <v>1.74</v>
      </c>
      <c r="J91" s="46">
        <v>2.27</v>
      </c>
      <c r="L91" s="53" t="s">
        <v>544</v>
      </c>
      <c r="M91" s="13">
        <f>(M90/M79)*100</f>
        <v>1.5451622938921212</v>
      </c>
      <c r="N91" s="14">
        <f t="shared" ref="N91:T91" si="37">(N90/N79)*100</f>
        <v>-0.58611231413291509</v>
      </c>
      <c r="O91" s="14">
        <f t="shared" si="37"/>
        <v>-1.4165332688995083</v>
      </c>
      <c r="P91" s="14">
        <f t="shared" si="37"/>
        <v>9.3438196971476248</v>
      </c>
      <c r="Q91" s="14">
        <f t="shared" si="37"/>
        <v>4.0000000000000018</v>
      </c>
      <c r="R91" s="14">
        <f t="shared" si="37"/>
        <v>2.2098470785881223E-2</v>
      </c>
      <c r="S91" s="14">
        <f t="shared" si="37"/>
        <v>-6.1468499310203883</v>
      </c>
      <c r="T91" s="15">
        <f t="shared" si="37"/>
        <v>-11.078717201165924</v>
      </c>
      <c r="V91" s="44" t="s">
        <v>2337</v>
      </c>
      <c r="W91" s="42">
        <v>0.62</v>
      </c>
      <c r="X91" s="42">
        <v>4.28</v>
      </c>
      <c r="Y91" s="42">
        <v>4.17</v>
      </c>
      <c r="Z91" s="42">
        <v>4.3</v>
      </c>
      <c r="AA91" s="42">
        <v>3.64</v>
      </c>
      <c r="AB91" s="42">
        <v>1.97</v>
      </c>
      <c r="AC91" s="42">
        <v>1.63</v>
      </c>
      <c r="AD91" s="46">
        <v>1.21</v>
      </c>
      <c r="AF91" s="44" t="s">
        <v>2338</v>
      </c>
      <c r="AG91" s="42">
        <v>4.1500000000000004</v>
      </c>
      <c r="AH91" s="42">
        <v>6.06</v>
      </c>
      <c r="AI91" s="42">
        <v>3.78</v>
      </c>
      <c r="AJ91" s="42">
        <v>5.09</v>
      </c>
      <c r="AK91" s="42">
        <v>5.42</v>
      </c>
      <c r="AL91" s="42">
        <v>1.85</v>
      </c>
      <c r="AM91" s="42">
        <v>3.77</v>
      </c>
      <c r="AN91" s="46">
        <v>3.18</v>
      </c>
    </row>
    <row r="92" spans="2:40">
      <c r="B92" s="44" t="s">
        <v>2339</v>
      </c>
      <c r="C92" s="42">
        <v>2.98</v>
      </c>
      <c r="D92" s="42">
        <v>4.37</v>
      </c>
      <c r="E92" s="42">
        <v>5.33</v>
      </c>
      <c r="F92" s="42">
        <v>3.37</v>
      </c>
      <c r="G92" s="42">
        <v>4.32</v>
      </c>
      <c r="H92" s="42">
        <v>4.78</v>
      </c>
      <c r="I92" s="42">
        <v>1.77</v>
      </c>
      <c r="J92" s="46">
        <v>2.2599999999999998</v>
      </c>
      <c r="V92" s="44" t="s">
        <v>2340</v>
      </c>
      <c r="W92" s="42">
        <v>3.91</v>
      </c>
      <c r="X92" s="42">
        <v>4.28</v>
      </c>
      <c r="Y92" s="42">
        <v>4.17</v>
      </c>
      <c r="Z92" s="42">
        <v>4.29</v>
      </c>
      <c r="AA92" s="42">
        <v>3.61</v>
      </c>
      <c r="AB92" s="42">
        <v>3.1</v>
      </c>
      <c r="AC92" s="42">
        <v>1.66</v>
      </c>
      <c r="AD92" s="46">
        <v>1.26</v>
      </c>
      <c r="AF92" s="44" t="s">
        <v>2341</v>
      </c>
      <c r="AG92" s="42">
        <v>4.1500000000000004</v>
      </c>
      <c r="AH92" s="42">
        <v>6.1</v>
      </c>
      <c r="AI92" s="42">
        <v>3.78</v>
      </c>
      <c r="AJ92" s="42">
        <v>3.79</v>
      </c>
      <c r="AK92" s="42">
        <v>5.49</v>
      </c>
      <c r="AL92" s="42">
        <v>1.84</v>
      </c>
      <c r="AM92" s="42">
        <v>3.72</v>
      </c>
      <c r="AN92" s="46">
        <v>3.12</v>
      </c>
    </row>
    <row r="93" spans="2:40">
      <c r="B93" s="44" t="s">
        <v>2342</v>
      </c>
      <c r="C93" s="42">
        <v>3.02</v>
      </c>
      <c r="D93" s="42">
        <v>4.3899999999999997</v>
      </c>
      <c r="E93" s="42">
        <v>5.31</v>
      </c>
      <c r="F93" s="42">
        <v>5.63</v>
      </c>
      <c r="G93" s="42">
        <v>4.32</v>
      </c>
      <c r="H93" s="42">
        <v>4.8</v>
      </c>
      <c r="I93" s="42">
        <v>1.74</v>
      </c>
      <c r="J93" s="46">
        <v>2.27</v>
      </c>
      <c r="V93" s="44" t="s">
        <v>2343</v>
      </c>
      <c r="W93" s="42">
        <v>3.9</v>
      </c>
      <c r="X93" s="42">
        <v>4.25</v>
      </c>
      <c r="Y93" s="42">
        <v>4.17</v>
      </c>
      <c r="Z93" s="42">
        <v>4.3099999999999996</v>
      </c>
      <c r="AA93" s="42">
        <v>3.04</v>
      </c>
      <c r="AB93" s="42">
        <v>3.12</v>
      </c>
      <c r="AC93" s="42">
        <v>1.65</v>
      </c>
      <c r="AD93" s="46">
        <v>1.33</v>
      </c>
      <c r="AF93" s="44" t="s">
        <v>2344</v>
      </c>
      <c r="AG93" s="42">
        <v>4.1500000000000004</v>
      </c>
      <c r="AH93" s="42">
        <v>6.09</v>
      </c>
      <c r="AI93" s="42">
        <v>3.75</v>
      </c>
      <c r="AJ93" s="42">
        <v>0.67</v>
      </c>
      <c r="AK93" s="42">
        <v>5.46</v>
      </c>
      <c r="AL93" s="42">
        <v>1.83</v>
      </c>
      <c r="AM93" s="42">
        <v>3.75</v>
      </c>
      <c r="AN93" s="46">
        <v>0</v>
      </c>
    </row>
    <row r="94" spans="2:40">
      <c r="B94" s="44" t="s">
        <v>2345</v>
      </c>
      <c r="C94" s="42">
        <v>3.04</v>
      </c>
      <c r="D94" s="42">
        <v>0</v>
      </c>
      <c r="E94" s="42">
        <v>5.33</v>
      </c>
      <c r="F94" s="42">
        <v>5.6</v>
      </c>
      <c r="G94" s="42">
        <v>4.3499999999999996</v>
      </c>
      <c r="H94" s="42">
        <v>4.8099999999999996</v>
      </c>
      <c r="I94" s="42">
        <v>1.77</v>
      </c>
      <c r="J94" s="46">
        <v>2.27</v>
      </c>
      <c r="V94" s="44" t="s">
        <v>2346</v>
      </c>
      <c r="W94" s="42">
        <v>3.9</v>
      </c>
      <c r="X94" s="42">
        <v>4.2699999999999996</v>
      </c>
      <c r="Y94" s="42">
        <v>1.51</v>
      </c>
      <c r="Z94" s="42">
        <v>4.26</v>
      </c>
      <c r="AA94" s="42">
        <v>3.57</v>
      </c>
      <c r="AB94" s="42">
        <v>3.14</v>
      </c>
      <c r="AC94" s="42">
        <v>1.63</v>
      </c>
      <c r="AD94" s="46">
        <v>1.17</v>
      </c>
      <c r="AF94" s="44" t="s">
        <v>2347</v>
      </c>
      <c r="AG94" s="42">
        <v>4.1500000000000004</v>
      </c>
      <c r="AH94" s="42">
        <v>6.1</v>
      </c>
      <c r="AI94" s="42">
        <v>3.79</v>
      </c>
      <c r="AJ94" s="42">
        <v>5.09</v>
      </c>
      <c r="AK94" s="42">
        <v>1.92</v>
      </c>
      <c r="AL94" s="42">
        <v>1.85</v>
      </c>
      <c r="AM94" s="42">
        <v>3.75</v>
      </c>
      <c r="AN94" s="46">
        <v>3.23</v>
      </c>
    </row>
    <row r="95" spans="2:40">
      <c r="B95" s="44" t="s">
        <v>2348</v>
      </c>
      <c r="C95" s="42">
        <v>2.98</v>
      </c>
      <c r="D95" s="42">
        <v>4.3600000000000003</v>
      </c>
      <c r="E95" s="42">
        <v>5.3</v>
      </c>
      <c r="F95" s="42">
        <v>5.63</v>
      </c>
      <c r="G95" s="42">
        <v>4.32</v>
      </c>
      <c r="H95" s="42">
        <v>3.64</v>
      </c>
      <c r="I95" s="42">
        <v>99.99</v>
      </c>
      <c r="J95" s="46">
        <v>2.2599999999999998</v>
      </c>
      <c r="V95" s="44" t="s">
        <v>2349</v>
      </c>
      <c r="W95" s="42">
        <v>3.92</v>
      </c>
      <c r="X95" s="42">
        <v>4.25</v>
      </c>
      <c r="Y95" s="42">
        <v>4.1100000000000003</v>
      </c>
      <c r="Z95" s="42">
        <v>4.3</v>
      </c>
      <c r="AA95" s="42">
        <v>3.64</v>
      </c>
      <c r="AB95" s="42">
        <v>3.14</v>
      </c>
      <c r="AC95" s="42">
        <v>1.63</v>
      </c>
      <c r="AD95" s="46">
        <v>1.28</v>
      </c>
      <c r="AF95" s="44" t="s">
        <v>2350</v>
      </c>
      <c r="AG95" s="42">
        <v>4.16</v>
      </c>
      <c r="AH95" s="42">
        <v>0.32</v>
      </c>
      <c r="AI95" s="42">
        <v>3.75</v>
      </c>
      <c r="AJ95" s="42">
        <v>3.86</v>
      </c>
      <c r="AK95" s="42">
        <v>1.2</v>
      </c>
      <c r="AL95" s="42">
        <v>1.85</v>
      </c>
      <c r="AM95" s="42">
        <v>3.76</v>
      </c>
      <c r="AN95" s="46">
        <v>0</v>
      </c>
    </row>
    <row r="96" spans="2:40">
      <c r="B96" s="44" t="s">
        <v>2351</v>
      </c>
      <c r="C96" s="42">
        <v>3</v>
      </c>
      <c r="D96" s="42">
        <v>4.4000000000000004</v>
      </c>
      <c r="E96" s="42">
        <v>0.21</v>
      </c>
      <c r="F96" s="42">
        <v>5.66</v>
      </c>
      <c r="G96" s="42">
        <v>4.34</v>
      </c>
      <c r="H96" s="42">
        <v>4.8499999999999996</v>
      </c>
      <c r="I96" s="42">
        <v>1.74</v>
      </c>
      <c r="J96" s="46">
        <v>2.0299999999999998</v>
      </c>
      <c r="V96" s="44" t="s">
        <v>2352</v>
      </c>
      <c r="W96" s="42">
        <v>3.9</v>
      </c>
      <c r="X96" s="42">
        <v>4.28</v>
      </c>
      <c r="Y96" s="42">
        <v>4.17</v>
      </c>
      <c r="Z96" s="42">
        <v>4.3099999999999996</v>
      </c>
      <c r="AA96" s="42">
        <v>3.61</v>
      </c>
      <c r="AB96" s="42">
        <v>3.14</v>
      </c>
      <c r="AC96" s="42">
        <v>1.59</v>
      </c>
      <c r="AD96" s="46">
        <v>1.1599999999999999</v>
      </c>
      <c r="AF96" s="44" t="s">
        <v>2353</v>
      </c>
      <c r="AG96" s="42">
        <v>4.1500000000000004</v>
      </c>
      <c r="AH96" s="42">
        <v>6.11</v>
      </c>
      <c r="AI96" s="42">
        <v>3.79</v>
      </c>
      <c r="AJ96" s="42">
        <v>5.1100000000000003</v>
      </c>
      <c r="AK96" s="42">
        <v>5.45</v>
      </c>
      <c r="AL96" s="42">
        <v>1.86</v>
      </c>
      <c r="AM96" s="42">
        <v>3.73</v>
      </c>
      <c r="AN96" s="46">
        <v>3.18</v>
      </c>
    </row>
    <row r="97" spans="2:40">
      <c r="B97" s="44" t="s">
        <v>2354</v>
      </c>
      <c r="C97" s="42">
        <v>3.01</v>
      </c>
      <c r="D97" s="42">
        <v>1.41</v>
      </c>
      <c r="E97" s="42">
        <v>5.3</v>
      </c>
      <c r="F97" s="42">
        <v>1</v>
      </c>
      <c r="G97" s="42">
        <v>4.33</v>
      </c>
      <c r="H97" s="42">
        <v>2.57</v>
      </c>
      <c r="I97" s="42">
        <v>1.7</v>
      </c>
      <c r="J97" s="46">
        <v>2.21</v>
      </c>
      <c r="V97" s="44" t="s">
        <v>2355</v>
      </c>
      <c r="W97" s="42">
        <v>3.96</v>
      </c>
      <c r="X97" s="42">
        <v>4.26</v>
      </c>
      <c r="Y97" s="42">
        <v>4.17</v>
      </c>
      <c r="Z97" s="42">
        <v>4.3099999999999996</v>
      </c>
      <c r="AA97" s="42">
        <v>3.6</v>
      </c>
      <c r="AB97" s="42">
        <v>3.1</v>
      </c>
      <c r="AC97" s="42">
        <v>1.34</v>
      </c>
      <c r="AD97" s="46">
        <v>1.23</v>
      </c>
      <c r="AF97" s="44" t="s">
        <v>2356</v>
      </c>
      <c r="AG97" s="42">
        <v>4.1500000000000004</v>
      </c>
      <c r="AH97" s="42">
        <v>6.11</v>
      </c>
      <c r="AI97" s="42">
        <v>3.78</v>
      </c>
      <c r="AJ97" s="42">
        <v>5.17</v>
      </c>
      <c r="AK97" s="42">
        <v>5.45</v>
      </c>
      <c r="AL97" s="42">
        <v>1.84</v>
      </c>
      <c r="AM97" s="42">
        <v>3.72</v>
      </c>
      <c r="AN97" s="46">
        <v>0</v>
      </c>
    </row>
    <row r="98" spans="2:40">
      <c r="B98" s="44" t="s">
        <v>2357</v>
      </c>
      <c r="C98" s="42">
        <v>3.04</v>
      </c>
      <c r="D98" s="42">
        <v>4.41</v>
      </c>
      <c r="E98" s="42">
        <v>5.3</v>
      </c>
      <c r="F98" s="42">
        <v>5.65</v>
      </c>
      <c r="G98" s="42">
        <v>4.3</v>
      </c>
      <c r="H98" s="42">
        <v>4.8499999999999996</v>
      </c>
      <c r="I98" s="42">
        <v>1.76</v>
      </c>
      <c r="J98" s="46">
        <v>2.23</v>
      </c>
      <c r="V98" s="44" t="s">
        <v>2358</v>
      </c>
      <c r="W98" s="42">
        <v>3.98</v>
      </c>
      <c r="X98" s="42">
        <v>4.2699999999999996</v>
      </c>
      <c r="Y98" s="42">
        <v>4.2300000000000004</v>
      </c>
      <c r="Z98" s="42">
        <v>4.3</v>
      </c>
      <c r="AA98" s="42">
        <v>3.58</v>
      </c>
      <c r="AB98" s="42">
        <v>3.15</v>
      </c>
      <c r="AC98" s="42">
        <v>1.62</v>
      </c>
      <c r="AD98" s="46">
        <v>1.27</v>
      </c>
      <c r="AF98" s="44" t="s">
        <v>2359</v>
      </c>
      <c r="AG98" s="42">
        <v>4.17</v>
      </c>
      <c r="AH98" s="42">
        <v>6.14</v>
      </c>
      <c r="AI98" s="42">
        <v>3.75</v>
      </c>
      <c r="AJ98" s="42">
        <v>5.14</v>
      </c>
      <c r="AK98" s="42">
        <v>5.45</v>
      </c>
      <c r="AL98" s="42">
        <v>1.85</v>
      </c>
      <c r="AM98" s="42">
        <v>3.76</v>
      </c>
      <c r="AN98" s="46">
        <v>0</v>
      </c>
    </row>
    <row r="99" spans="2:40">
      <c r="B99" s="44" t="s">
        <v>2360</v>
      </c>
      <c r="C99" s="42">
        <v>3.03</v>
      </c>
      <c r="D99" s="42">
        <v>4.3600000000000003</v>
      </c>
      <c r="E99" s="42">
        <v>1.96</v>
      </c>
      <c r="F99" s="42">
        <v>5.63</v>
      </c>
      <c r="G99" s="42">
        <v>4.32</v>
      </c>
      <c r="H99" s="42">
        <v>4.8</v>
      </c>
      <c r="I99" s="42">
        <v>1.74</v>
      </c>
      <c r="J99" s="46">
        <v>2.2799999999999998</v>
      </c>
      <c r="V99" s="44" t="s">
        <v>2361</v>
      </c>
      <c r="W99" s="42">
        <v>3.93</v>
      </c>
      <c r="X99" s="42">
        <v>4.3</v>
      </c>
      <c r="Y99" s="42">
        <v>4.1399999999999997</v>
      </c>
      <c r="Z99" s="42">
        <v>4.25</v>
      </c>
      <c r="AA99" s="42">
        <v>3.6</v>
      </c>
      <c r="AB99" s="42">
        <v>3.11</v>
      </c>
      <c r="AC99" s="42">
        <v>1.64</v>
      </c>
      <c r="AD99" s="46">
        <v>1.25</v>
      </c>
      <c r="AF99" s="44" t="s">
        <v>2362</v>
      </c>
      <c r="AG99" s="42">
        <v>4.16</v>
      </c>
      <c r="AH99" s="42">
        <v>6.09</v>
      </c>
      <c r="AI99" s="42">
        <v>3.78</v>
      </c>
      <c r="AJ99" s="42">
        <v>5.19</v>
      </c>
      <c r="AK99" s="42">
        <v>5.46</v>
      </c>
      <c r="AL99" s="42">
        <v>1.86</v>
      </c>
      <c r="AM99" s="42">
        <v>3.75</v>
      </c>
      <c r="AN99" s="46">
        <v>0</v>
      </c>
    </row>
    <row r="100" spans="2:40">
      <c r="B100" s="44" t="s">
        <v>2363</v>
      </c>
      <c r="C100" s="42">
        <v>2.95</v>
      </c>
      <c r="D100" s="42">
        <v>4.3899999999999997</v>
      </c>
      <c r="E100" s="42">
        <v>5.31</v>
      </c>
      <c r="F100" s="42">
        <v>3.88</v>
      </c>
      <c r="G100" s="42">
        <v>4.34</v>
      </c>
      <c r="H100" s="42">
        <v>4.83</v>
      </c>
      <c r="I100" s="42">
        <v>1.7</v>
      </c>
      <c r="J100" s="46">
        <v>2.23</v>
      </c>
      <c r="V100" s="44" t="s">
        <v>2364</v>
      </c>
      <c r="W100" s="42">
        <v>3.9</v>
      </c>
      <c r="X100" s="42">
        <v>4.28</v>
      </c>
      <c r="Y100" s="42">
        <v>4.12</v>
      </c>
      <c r="Z100" s="42">
        <v>4.29</v>
      </c>
      <c r="AA100" s="42">
        <v>3.56</v>
      </c>
      <c r="AB100" s="42">
        <v>3.16</v>
      </c>
      <c r="AC100" s="42">
        <v>1.65</v>
      </c>
      <c r="AD100" s="46">
        <v>1.19</v>
      </c>
      <c r="AF100" s="44" t="s">
        <v>2365</v>
      </c>
      <c r="AG100" s="42">
        <v>4.16</v>
      </c>
      <c r="AH100" s="42">
        <v>3.47</v>
      </c>
      <c r="AI100" s="42">
        <v>3.73</v>
      </c>
      <c r="AJ100" s="42">
        <v>5.14</v>
      </c>
      <c r="AK100" s="42">
        <v>5.46</v>
      </c>
      <c r="AL100" s="42">
        <v>1.83</v>
      </c>
      <c r="AM100" s="42">
        <v>3.28</v>
      </c>
      <c r="AN100" s="46">
        <v>3.14</v>
      </c>
    </row>
    <row r="101" spans="2:40">
      <c r="B101" s="44" t="s">
        <v>2366</v>
      </c>
      <c r="C101" s="42">
        <v>2.99</v>
      </c>
      <c r="D101" s="42">
        <v>4.41</v>
      </c>
      <c r="E101" s="42">
        <v>5.32</v>
      </c>
      <c r="F101" s="42">
        <v>3.82</v>
      </c>
      <c r="G101" s="42">
        <v>4.3499999999999996</v>
      </c>
      <c r="H101" s="42">
        <v>2.35</v>
      </c>
      <c r="I101" s="42">
        <v>1.77</v>
      </c>
      <c r="J101" s="46">
        <v>2.23</v>
      </c>
      <c r="V101" s="44" t="s">
        <v>2367</v>
      </c>
      <c r="W101" s="42">
        <v>3.91</v>
      </c>
      <c r="X101" s="42">
        <v>4.29</v>
      </c>
      <c r="Y101" s="42">
        <v>4.1399999999999997</v>
      </c>
      <c r="Z101" s="42">
        <v>4.29</v>
      </c>
      <c r="AA101" s="42">
        <v>3.59</v>
      </c>
      <c r="AB101" s="42">
        <v>3.1</v>
      </c>
      <c r="AC101" s="42">
        <v>1.62</v>
      </c>
      <c r="AD101" s="46">
        <v>1.23</v>
      </c>
      <c r="AF101" s="44" t="s">
        <v>2368</v>
      </c>
      <c r="AG101" s="42">
        <v>4.16</v>
      </c>
      <c r="AH101" s="42">
        <v>6.08</v>
      </c>
      <c r="AI101" s="42">
        <v>3.76</v>
      </c>
      <c r="AJ101" s="42">
        <v>5.19</v>
      </c>
      <c r="AK101" s="42">
        <v>5.34</v>
      </c>
      <c r="AL101" s="42">
        <v>1.86</v>
      </c>
      <c r="AM101" s="42">
        <v>2.61</v>
      </c>
      <c r="AN101" s="46">
        <v>0</v>
      </c>
    </row>
    <row r="102" spans="2:40">
      <c r="B102" s="44" t="s">
        <v>2369</v>
      </c>
      <c r="C102" s="42">
        <v>0.68</v>
      </c>
      <c r="D102" s="42">
        <v>4.3600000000000003</v>
      </c>
      <c r="E102" s="42">
        <v>5.3</v>
      </c>
      <c r="F102" s="42">
        <v>5.65</v>
      </c>
      <c r="G102" s="42">
        <v>99.99</v>
      </c>
      <c r="H102" s="42">
        <v>4.8600000000000003</v>
      </c>
      <c r="I102" s="42">
        <v>1.77</v>
      </c>
      <c r="J102" s="46">
        <v>2.2200000000000002</v>
      </c>
      <c r="V102" s="44" t="s">
        <v>2370</v>
      </c>
      <c r="W102" s="42">
        <v>3.89</v>
      </c>
      <c r="X102" s="42">
        <v>4.2699999999999996</v>
      </c>
      <c r="Y102" s="42">
        <v>4.18</v>
      </c>
      <c r="Z102" s="42">
        <v>4.32</v>
      </c>
      <c r="AA102" s="42">
        <v>3.56</v>
      </c>
      <c r="AB102" s="42">
        <v>3.1</v>
      </c>
      <c r="AC102" s="42">
        <v>1.64</v>
      </c>
      <c r="AD102" s="46">
        <v>1.23</v>
      </c>
      <c r="AF102" s="44" t="s">
        <v>2371</v>
      </c>
      <c r="AG102" s="42">
        <v>4.1500000000000004</v>
      </c>
      <c r="AH102" s="42">
        <v>6.06</v>
      </c>
      <c r="AI102" s="42">
        <v>3.76</v>
      </c>
      <c r="AJ102" s="42">
        <v>4.2699999999999996</v>
      </c>
      <c r="AK102" s="42">
        <v>0.48</v>
      </c>
      <c r="AL102" s="42">
        <v>1.86</v>
      </c>
      <c r="AM102" s="42">
        <v>3.74</v>
      </c>
      <c r="AN102" s="46">
        <v>3.21</v>
      </c>
    </row>
    <row r="103" spans="2:40">
      <c r="B103" s="44" t="s">
        <v>2372</v>
      </c>
      <c r="C103" s="42">
        <v>3.02</v>
      </c>
      <c r="D103" s="42">
        <v>0</v>
      </c>
      <c r="E103" s="42">
        <v>5.29</v>
      </c>
      <c r="F103" s="42">
        <v>5.65</v>
      </c>
      <c r="G103" s="42">
        <v>4.3499999999999996</v>
      </c>
      <c r="H103" s="42">
        <v>4.8499999999999996</v>
      </c>
      <c r="I103" s="42">
        <v>1.75</v>
      </c>
      <c r="J103" s="46">
        <v>2.2000000000000002</v>
      </c>
      <c r="V103" s="44" t="s">
        <v>2373</v>
      </c>
      <c r="W103" s="42">
        <v>3.9</v>
      </c>
      <c r="X103" s="42">
        <v>4.2699999999999996</v>
      </c>
      <c r="Y103" s="42">
        <v>4.17</v>
      </c>
      <c r="Z103" s="42">
        <v>4.2699999999999996</v>
      </c>
      <c r="AA103" s="42">
        <v>0.98</v>
      </c>
      <c r="AB103" s="42">
        <v>3.12</v>
      </c>
      <c r="AC103" s="42">
        <v>1.62</v>
      </c>
      <c r="AD103" s="46">
        <v>1.29</v>
      </c>
      <c r="AF103" s="44" t="s">
        <v>2374</v>
      </c>
      <c r="AG103" s="42">
        <v>4.13</v>
      </c>
      <c r="AH103" s="42">
        <v>6.1</v>
      </c>
      <c r="AI103" s="42">
        <v>3.79</v>
      </c>
      <c r="AJ103" s="42">
        <v>5.22</v>
      </c>
      <c r="AK103" s="42">
        <v>5.46</v>
      </c>
      <c r="AL103" s="42">
        <v>1.87</v>
      </c>
      <c r="AM103" s="42">
        <v>3.81</v>
      </c>
      <c r="AN103" s="46">
        <v>3.11</v>
      </c>
    </row>
    <row r="104" spans="2:40">
      <c r="B104" s="44" t="s">
        <v>2375</v>
      </c>
      <c r="C104" s="42">
        <v>3.02</v>
      </c>
      <c r="D104" s="42">
        <v>4.42</v>
      </c>
      <c r="E104" s="42">
        <v>5.3</v>
      </c>
      <c r="F104" s="42">
        <v>5.64</v>
      </c>
      <c r="G104" s="42">
        <v>4.32</v>
      </c>
      <c r="H104" s="42">
        <v>4.8499999999999996</v>
      </c>
      <c r="I104" s="42">
        <v>1.74</v>
      </c>
      <c r="J104" s="46">
        <v>2.27</v>
      </c>
      <c r="V104" s="44" t="s">
        <v>2376</v>
      </c>
      <c r="W104" s="42">
        <v>3.94</v>
      </c>
      <c r="X104" s="42">
        <v>2.82</v>
      </c>
      <c r="Y104" s="42">
        <v>4.17</v>
      </c>
      <c r="Z104" s="42">
        <v>4.28</v>
      </c>
      <c r="AA104" s="42">
        <v>3.59</v>
      </c>
      <c r="AB104" s="42">
        <v>3.1</v>
      </c>
      <c r="AC104" s="42">
        <v>1.66</v>
      </c>
      <c r="AD104" s="46">
        <v>1.29</v>
      </c>
      <c r="AF104" s="44" t="s">
        <v>2377</v>
      </c>
      <c r="AG104" s="42">
        <v>4.13</v>
      </c>
      <c r="AH104" s="42">
        <v>6.07</v>
      </c>
      <c r="AI104" s="42">
        <v>3.76</v>
      </c>
      <c r="AJ104" s="42">
        <v>3.78</v>
      </c>
      <c r="AK104" s="42">
        <v>4.6900000000000004</v>
      </c>
      <c r="AL104" s="42">
        <v>1.84</v>
      </c>
      <c r="AM104" s="42">
        <v>3.71</v>
      </c>
      <c r="AN104" s="46">
        <v>3.04</v>
      </c>
    </row>
    <row r="105" spans="2:40">
      <c r="B105" s="44" t="s">
        <v>2378</v>
      </c>
      <c r="C105" s="42">
        <v>2.96</v>
      </c>
      <c r="D105" s="42">
        <v>4.3899999999999997</v>
      </c>
      <c r="E105" s="42">
        <v>5.32</v>
      </c>
      <c r="F105" s="42">
        <v>5.67</v>
      </c>
      <c r="G105" s="42">
        <v>4.33</v>
      </c>
      <c r="H105" s="42">
        <v>4.8099999999999996</v>
      </c>
      <c r="I105" s="42">
        <v>1.76</v>
      </c>
      <c r="J105" s="46">
        <v>2.27</v>
      </c>
      <c r="V105" s="44" t="s">
        <v>2379</v>
      </c>
      <c r="W105" s="42">
        <v>3.92</v>
      </c>
      <c r="X105" s="42">
        <v>4.29</v>
      </c>
      <c r="Y105" s="42">
        <v>4.2</v>
      </c>
      <c r="Z105" s="42">
        <v>4.34</v>
      </c>
      <c r="AA105" s="42">
        <v>0.68</v>
      </c>
      <c r="AB105" s="42">
        <v>3.13</v>
      </c>
      <c r="AC105" s="42">
        <v>1.64</v>
      </c>
      <c r="AD105" s="46">
        <v>1.25</v>
      </c>
      <c r="AF105" s="44" t="s">
        <v>2380</v>
      </c>
      <c r="AG105" s="42">
        <v>4.1399999999999997</v>
      </c>
      <c r="AH105" s="42">
        <v>6.1</v>
      </c>
      <c r="AI105" s="42">
        <v>3.77</v>
      </c>
      <c r="AJ105" s="42">
        <v>5.12</v>
      </c>
      <c r="AK105" s="42">
        <v>5.46</v>
      </c>
      <c r="AL105" s="42">
        <v>1.84</v>
      </c>
      <c r="AM105" s="42">
        <v>3.77</v>
      </c>
      <c r="AN105" s="46">
        <v>3.16</v>
      </c>
    </row>
    <row r="106" spans="2:40">
      <c r="B106" s="44" t="s">
        <v>2381</v>
      </c>
      <c r="C106" s="42">
        <v>3.03</v>
      </c>
      <c r="D106" s="42">
        <v>4.37</v>
      </c>
      <c r="E106" s="42">
        <v>5.3</v>
      </c>
      <c r="F106" s="42">
        <v>5.69</v>
      </c>
      <c r="G106" s="42">
        <v>4.3099999999999996</v>
      </c>
      <c r="H106" s="42">
        <v>4.8600000000000003</v>
      </c>
      <c r="I106" s="42">
        <v>1.74</v>
      </c>
      <c r="J106" s="46">
        <v>2.29</v>
      </c>
      <c r="V106" s="44" t="s">
        <v>2382</v>
      </c>
      <c r="W106" s="42">
        <v>2.38</v>
      </c>
      <c r="X106" s="42">
        <v>4.28</v>
      </c>
      <c r="Y106" s="42">
        <v>4.12</v>
      </c>
      <c r="Z106" s="42">
        <v>4.34</v>
      </c>
      <c r="AA106" s="42">
        <v>3.58</v>
      </c>
      <c r="AB106" s="42">
        <v>3.14</v>
      </c>
      <c r="AC106" s="42">
        <v>1.62</v>
      </c>
      <c r="AD106" s="46">
        <v>1.25</v>
      </c>
      <c r="AF106" s="44" t="s">
        <v>2383</v>
      </c>
      <c r="AG106" s="42">
        <v>4.12</v>
      </c>
      <c r="AH106" s="42">
        <v>3.6</v>
      </c>
      <c r="AI106" s="42">
        <v>3.76</v>
      </c>
      <c r="AJ106" s="42">
        <v>5.2</v>
      </c>
      <c r="AK106" s="42">
        <v>5.45</v>
      </c>
      <c r="AL106" s="42">
        <v>1.87</v>
      </c>
      <c r="AM106" s="42">
        <v>3.74</v>
      </c>
      <c r="AN106" s="46">
        <v>3.03</v>
      </c>
    </row>
    <row r="107" spans="2:40">
      <c r="B107" s="44" t="s">
        <v>2384</v>
      </c>
      <c r="C107" s="42">
        <v>3</v>
      </c>
      <c r="D107" s="42">
        <v>2.46</v>
      </c>
      <c r="E107" s="42">
        <v>5.32</v>
      </c>
      <c r="F107" s="42">
        <v>5.65</v>
      </c>
      <c r="G107" s="42">
        <v>4.29</v>
      </c>
      <c r="H107" s="42">
        <v>4.4400000000000004</v>
      </c>
      <c r="I107" s="42">
        <v>1.74</v>
      </c>
      <c r="J107" s="46">
        <v>2.2400000000000002</v>
      </c>
      <c r="V107" s="44" t="s">
        <v>2385</v>
      </c>
      <c r="W107" s="42">
        <v>3.93</v>
      </c>
      <c r="X107" s="42">
        <v>4.28</v>
      </c>
      <c r="Y107" s="42">
        <v>4.17</v>
      </c>
      <c r="Z107" s="42">
        <v>4.2699999999999996</v>
      </c>
      <c r="AA107" s="42">
        <v>3.6</v>
      </c>
      <c r="AB107" s="42">
        <v>3.17</v>
      </c>
      <c r="AC107" s="42">
        <v>1.64</v>
      </c>
      <c r="AD107" s="46">
        <v>1.25</v>
      </c>
      <c r="AF107" s="44" t="s">
        <v>2386</v>
      </c>
      <c r="AG107" s="42">
        <v>4.17</v>
      </c>
      <c r="AH107" s="42">
        <v>6.09</v>
      </c>
      <c r="AI107" s="42">
        <v>3.77</v>
      </c>
      <c r="AJ107" s="42">
        <v>5.18</v>
      </c>
      <c r="AK107" s="42">
        <v>5.46</v>
      </c>
      <c r="AL107" s="42">
        <v>1.87</v>
      </c>
      <c r="AM107" s="42">
        <v>3.77</v>
      </c>
      <c r="AN107" s="46">
        <v>3.07</v>
      </c>
    </row>
    <row r="108" spans="2:40">
      <c r="B108" s="44" t="s">
        <v>2387</v>
      </c>
      <c r="C108" s="42">
        <v>2.96</v>
      </c>
      <c r="D108" s="42">
        <v>4.3899999999999997</v>
      </c>
      <c r="E108" s="42">
        <v>5.3</v>
      </c>
      <c r="F108" s="42">
        <v>5.64</v>
      </c>
      <c r="G108" s="42">
        <v>4.3600000000000003</v>
      </c>
      <c r="H108" s="42">
        <v>4.84</v>
      </c>
      <c r="I108" s="42">
        <v>1.74</v>
      </c>
      <c r="J108" s="46">
        <v>1.47</v>
      </c>
      <c r="V108" s="44" t="s">
        <v>2388</v>
      </c>
      <c r="W108" s="42">
        <v>3.93</v>
      </c>
      <c r="X108" s="42">
        <v>4.32</v>
      </c>
      <c r="Y108" s="42">
        <v>4.1900000000000004</v>
      </c>
      <c r="Z108" s="42">
        <v>4.2699999999999996</v>
      </c>
      <c r="AA108" s="42">
        <v>3.61</v>
      </c>
      <c r="AB108" s="42">
        <v>3.1</v>
      </c>
      <c r="AC108" s="42">
        <v>1.64</v>
      </c>
      <c r="AD108" s="46">
        <v>1.24</v>
      </c>
      <c r="AF108" s="44" t="s">
        <v>2389</v>
      </c>
      <c r="AG108" s="42">
        <v>4.1500000000000004</v>
      </c>
      <c r="AH108" s="42">
        <v>6.12</v>
      </c>
      <c r="AI108" s="42">
        <v>3.77</v>
      </c>
      <c r="AJ108" s="42">
        <v>5.23</v>
      </c>
      <c r="AK108" s="42">
        <v>5.45</v>
      </c>
      <c r="AL108" s="42">
        <v>1.84</v>
      </c>
      <c r="AM108" s="42">
        <v>3.76</v>
      </c>
      <c r="AN108" s="46">
        <v>3.17</v>
      </c>
    </row>
    <row r="109" spans="2:40">
      <c r="B109" s="44" t="s">
        <v>2390</v>
      </c>
      <c r="C109" s="42">
        <v>2.97</v>
      </c>
      <c r="D109" s="42">
        <v>4.4000000000000004</v>
      </c>
      <c r="E109" s="42">
        <v>5.31</v>
      </c>
      <c r="F109" s="42">
        <v>5.63</v>
      </c>
      <c r="G109" s="42">
        <v>4.34</v>
      </c>
      <c r="H109" s="42">
        <v>4.92</v>
      </c>
      <c r="I109" s="42">
        <v>1.77</v>
      </c>
      <c r="J109" s="46">
        <v>2.2200000000000002</v>
      </c>
      <c r="V109" s="44" t="s">
        <v>2391</v>
      </c>
      <c r="W109" s="42">
        <v>3.9</v>
      </c>
      <c r="X109" s="42">
        <v>4.29</v>
      </c>
      <c r="Y109" s="42">
        <v>4.12</v>
      </c>
      <c r="Z109" s="42">
        <v>4.34</v>
      </c>
      <c r="AA109" s="42">
        <v>0.95</v>
      </c>
      <c r="AB109" s="42">
        <v>3.15</v>
      </c>
      <c r="AC109" s="42">
        <v>1.66</v>
      </c>
      <c r="AD109" s="46">
        <v>1.21</v>
      </c>
      <c r="AF109" s="44" t="s">
        <v>2392</v>
      </c>
      <c r="AG109" s="42">
        <v>4.1500000000000004</v>
      </c>
      <c r="AH109" s="42">
        <v>3.03</v>
      </c>
      <c r="AI109" s="42">
        <v>3.76</v>
      </c>
      <c r="AJ109" s="42">
        <v>5.14</v>
      </c>
      <c r="AK109" s="42">
        <v>5.46</v>
      </c>
      <c r="AL109" s="42">
        <v>1.82</v>
      </c>
      <c r="AM109" s="42">
        <v>3.77</v>
      </c>
      <c r="AN109" s="46">
        <v>3.23</v>
      </c>
    </row>
    <row r="110" spans="2:40">
      <c r="B110" s="44" t="s">
        <v>2393</v>
      </c>
      <c r="C110" s="42">
        <v>3.06</v>
      </c>
      <c r="D110" s="42">
        <v>4.3600000000000003</v>
      </c>
      <c r="E110" s="42">
        <v>5.3</v>
      </c>
      <c r="F110" s="42">
        <v>5.62</v>
      </c>
      <c r="G110" s="42">
        <v>4.29</v>
      </c>
      <c r="H110" s="42">
        <v>4.84</v>
      </c>
      <c r="I110" s="42">
        <v>1.78</v>
      </c>
      <c r="J110" s="46">
        <v>2.3199999999999998</v>
      </c>
      <c r="V110" s="44" t="s">
        <v>2394</v>
      </c>
      <c r="W110" s="42">
        <v>0.51</v>
      </c>
      <c r="X110" s="42">
        <v>4.28</v>
      </c>
      <c r="Y110" s="42">
        <v>4.17</v>
      </c>
      <c r="Z110" s="42">
        <v>4.37</v>
      </c>
      <c r="AA110" s="42">
        <v>0.65</v>
      </c>
      <c r="AB110" s="42">
        <v>3.12</v>
      </c>
      <c r="AC110" s="42">
        <v>1.62</v>
      </c>
      <c r="AD110" s="46">
        <v>0.77</v>
      </c>
      <c r="AF110" s="44" t="s">
        <v>2395</v>
      </c>
      <c r="AG110" s="42">
        <v>4.1399999999999997</v>
      </c>
      <c r="AH110" s="42">
        <v>6.1</v>
      </c>
      <c r="AI110" s="42">
        <v>3.79</v>
      </c>
      <c r="AJ110" s="42">
        <v>5.23</v>
      </c>
      <c r="AK110" s="42">
        <v>5.45</v>
      </c>
      <c r="AL110" s="42">
        <v>1.83</v>
      </c>
      <c r="AM110" s="42">
        <v>3.78</v>
      </c>
      <c r="AN110" s="46">
        <v>0</v>
      </c>
    </row>
    <row r="111" spans="2:40">
      <c r="B111" s="44" t="s">
        <v>2396</v>
      </c>
      <c r="C111" s="42">
        <v>3.01</v>
      </c>
      <c r="D111" s="42">
        <v>4.4000000000000004</v>
      </c>
      <c r="E111" s="42">
        <v>1.24</v>
      </c>
      <c r="F111" s="42">
        <v>5.63</v>
      </c>
      <c r="G111" s="42">
        <v>4.34</v>
      </c>
      <c r="H111" s="42">
        <v>4.83</v>
      </c>
      <c r="I111" s="42">
        <v>1.76</v>
      </c>
      <c r="J111" s="46">
        <v>2.27</v>
      </c>
      <c r="V111" s="44" t="s">
        <v>2397</v>
      </c>
      <c r="W111" s="42">
        <v>3.9</v>
      </c>
      <c r="X111" s="42">
        <v>4.3</v>
      </c>
      <c r="Y111" s="42">
        <v>1.24</v>
      </c>
      <c r="Z111" s="42">
        <v>4.3</v>
      </c>
      <c r="AA111" s="42">
        <v>3.36</v>
      </c>
      <c r="AB111" s="42">
        <v>3.15</v>
      </c>
      <c r="AC111" s="42">
        <v>1.61</v>
      </c>
      <c r="AD111" s="46">
        <v>1.22</v>
      </c>
      <c r="AF111" s="44" t="s">
        <v>2398</v>
      </c>
      <c r="AG111" s="42">
        <v>4.16</v>
      </c>
      <c r="AH111" s="42">
        <v>6.14</v>
      </c>
      <c r="AI111" s="42">
        <v>3.77</v>
      </c>
      <c r="AJ111" s="42">
        <v>5.2</v>
      </c>
      <c r="AK111" s="42">
        <v>5.45</v>
      </c>
      <c r="AL111" s="42">
        <v>1.85</v>
      </c>
      <c r="AM111" s="42">
        <v>3.72</v>
      </c>
      <c r="AN111" s="46">
        <v>0</v>
      </c>
    </row>
    <row r="112" spans="2:40">
      <c r="B112" s="44" t="s">
        <v>2399</v>
      </c>
      <c r="C112" s="42">
        <v>3.01</v>
      </c>
      <c r="D112" s="42">
        <v>4.3600000000000003</v>
      </c>
      <c r="E112" s="42">
        <v>5.29</v>
      </c>
      <c r="F112" s="42">
        <v>4.24</v>
      </c>
      <c r="G112" s="42">
        <v>4.3099999999999996</v>
      </c>
      <c r="H112" s="42">
        <v>4.8499999999999996</v>
      </c>
      <c r="I112" s="42">
        <v>1.73</v>
      </c>
      <c r="J112" s="46">
        <v>1.36</v>
      </c>
      <c r="V112" s="44" t="s">
        <v>2400</v>
      </c>
      <c r="W112" s="42">
        <v>3.94</v>
      </c>
      <c r="X112" s="42">
        <v>1.88</v>
      </c>
      <c r="Y112" s="42">
        <v>4.16</v>
      </c>
      <c r="Z112" s="42">
        <v>4.32</v>
      </c>
      <c r="AA112" s="42">
        <v>3.61</v>
      </c>
      <c r="AB112" s="42">
        <v>3.12</v>
      </c>
      <c r="AC112" s="42">
        <v>1.66</v>
      </c>
      <c r="AD112" s="46">
        <v>1.23</v>
      </c>
      <c r="AF112" s="44" t="s">
        <v>2401</v>
      </c>
      <c r="AG112" s="42">
        <v>4.17</v>
      </c>
      <c r="AH112" s="42">
        <v>6.13</v>
      </c>
      <c r="AI112" s="42">
        <v>3.76</v>
      </c>
      <c r="AJ112" s="42">
        <v>5.14</v>
      </c>
      <c r="AK112" s="42">
        <v>5.43</v>
      </c>
      <c r="AL112" s="42">
        <v>1.89</v>
      </c>
      <c r="AM112" s="42">
        <v>3.76</v>
      </c>
      <c r="AN112" s="46">
        <v>3.2</v>
      </c>
    </row>
    <row r="113" spans="2:40" ht="15.75" thickBot="1">
      <c r="B113" s="44" t="s">
        <v>2402</v>
      </c>
      <c r="C113" s="42">
        <v>3.02</v>
      </c>
      <c r="D113" s="42">
        <v>4.38</v>
      </c>
      <c r="E113" s="42">
        <v>5.31</v>
      </c>
      <c r="F113" s="42">
        <v>5.64</v>
      </c>
      <c r="G113" s="42">
        <v>4.33</v>
      </c>
      <c r="H113" s="42">
        <v>3.66</v>
      </c>
      <c r="I113" s="42">
        <v>1.75</v>
      </c>
      <c r="J113" s="46">
        <v>2.19</v>
      </c>
      <c r="V113" s="44" t="s">
        <v>2403</v>
      </c>
      <c r="W113" s="42">
        <v>3.89</v>
      </c>
      <c r="X113" s="42">
        <v>4.2699999999999996</v>
      </c>
      <c r="Y113" s="42">
        <v>4.16</v>
      </c>
      <c r="Z113" s="42">
        <v>4.32</v>
      </c>
      <c r="AA113" s="42">
        <v>0.61</v>
      </c>
      <c r="AB113" s="42">
        <v>3.11</v>
      </c>
      <c r="AC113" s="42">
        <v>1.63</v>
      </c>
      <c r="AD113" s="46">
        <v>1.22</v>
      </c>
      <c r="AF113" s="44" t="s">
        <v>2404</v>
      </c>
      <c r="AG113" s="42">
        <v>4.1500000000000004</v>
      </c>
      <c r="AH113" s="42">
        <v>6.17</v>
      </c>
      <c r="AI113" s="42">
        <v>3.81</v>
      </c>
      <c r="AJ113" s="42">
        <v>5.18</v>
      </c>
      <c r="AK113" s="42">
        <v>5.43</v>
      </c>
      <c r="AL113" s="42">
        <v>1.84</v>
      </c>
      <c r="AM113" s="42">
        <v>3.74</v>
      </c>
      <c r="AN113" s="46">
        <v>3.15</v>
      </c>
    </row>
    <row r="114" spans="2:40">
      <c r="B114" s="44" t="s">
        <v>2405</v>
      </c>
      <c r="C114" s="42">
        <v>2.99</v>
      </c>
      <c r="D114" s="42">
        <v>4.38</v>
      </c>
      <c r="E114" s="42">
        <v>5.28</v>
      </c>
      <c r="F114" s="42">
        <v>5.63</v>
      </c>
      <c r="G114" s="42">
        <v>4.3099999999999996</v>
      </c>
      <c r="H114" s="42">
        <v>0.15</v>
      </c>
      <c r="I114" s="42">
        <v>1.76</v>
      </c>
      <c r="J114" s="46">
        <v>3.24</v>
      </c>
      <c r="V114" s="44" t="s">
        <v>2406</v>
      </c>
      <c r="W114" s="42">
        <v>3.96</v>
      </c>
      <c r="X114" s="42">
        <v>4.25</v>
      </c>
      <c r="Y114" s="42">
        <v>4.16</v>
      </c>
      <c r="Z114" s="42">
        <v>4.3</v>
      </c>
      <c r="AA114" s="42">
        <v>3.57</v>
      </c>
      <c r="AB114" s="42">
        <v>3.16</v>
      </c>
      <c r="AC114" s="42">
        <v>1.63</v>
      </c>
      <c r="AD114" s="46">
        <v>1.23</v>
      </c>
      <c r="AF114" s="62" t="s">
        <v>936</v>
      </c>
      <c r="AG114" s="57">
        <v>3.9943636363636301</v>
      </c>
      <c r="AH114" s="57">
        <v>5.6325714285714197</v>
      </c>
      <c r="AI114" s="57">
        <v>3.71472727272727</v>
      </c>
      <c r="AJ114" s="57">
        <v>4.7845454545454498</v>
      </c>
      <c r="AK114" s="57">
        <v>5.1445454545454501</v>
      </c>
      <c r="AL114" s="57">
        <v>1.8173636363636301</v>
      </c>
      <c r="AM114" s="57">
        <v>3.5009090909090901</v>
      </c>
      <c r="AN114" s="58">
        <v>3.1810256410256401</v>
      </c>
    </row>
    <row r="115" spans="2:40">
      <c r="B115" s="44" t="s">
        <v>2407</v>
      </c>
      <c r="C115" s="42">
        <v>3.01</v>
      </c>
      <c r="D115" s="42">
        <v>4.4000000000000004</v>
      </c>
      <c r="E115" s="42">
        <v>5.27</v>
      </c>
      <c r="F115" s="42">
        <v>5.64</v>
      </c>
      <c r="G115" s="42">
        <v>4.3099999999999996</v>
      </c>
      <c r="H115" s="42">
        <v>4.84</v>
      </c>
      <c r="I115" s="42">
        <v>1.72</v>
      </c>
      <c r="J115" s="46">
        <v>2.29</v>
      </c>
      <c r="V115" s="44" t="s">
        <v>2408</v>
      </c>
      <c r="W115" s="42">
        <v>3.89</v>
      </c>
      <c r="X115" s="42">
        <v>4.25</v>
      </c>
      <c r="Y115" s="42">
        <v>4.17</v>
      </c>
      <c r="Z115" s="42">
        <v>4.24</v>
      </c>
      <c r="AA115" s="42">
        <v>3.62</v>
      </c>
      <c r="AB115" s="42">
        <v>3.16</v>
      </c>
      <c r="AC115" s="42">
        <v>1.66</v>
      </c>
      <c r="AD115" s="46">
        <v>1.25</v>
      </c>
      <c r="AF115" s="47" t="s">
        <v>515</v>
      </c>
      <c r="AG115" s="42">
        <v>0.63468320984527604</v>
      </c>
      <c r="AH115" s="42">
        <v>1.15113279906726</v>
      </c>
      <c r="AI115" s="42">
        <v>0.30373944902261502</v>
      </c>
      <c r="AJ115" s="42">
        <v>1.0957850123945001</v>
      </c>
      <c r="AK115" s="42">
        <v>1.03769730773445</v>
      </c>
      <c r="AL115" s="42">
        <v>0.16853204320477699</v>
      </c>
      <c r="AM115" s="42">
        <v>0.75774851363585904</v>
      </c>
      <c r="AN115" s="46">
        <v>0.174734888885476</v>
      </c>
    </row>
    <row r="116" spans="2:40">
      <c r="B116" s="44" t="s">
        <v>2409</v>
      </c>
      <c r="C116" s="42">
        <v>3.02</v>
      </c>
      <c r="D116" s="42">
        <v>4.3899999999999997</v>
      </c>
      <c r="E116" s="42">
        <v>5.31</v>
      </c>
      <c r="F116" s="42">
        <v>1.54</v>
      </c>
      <c r="G116" s="42">
        <v>4.34</v>
      </c>
      <c r="H116" s="42">
        <v>4.83</v>
      </c>
      <c r="I116" s="42">
        <v>1.77</v>
      </c>
      <c r="J116" s="46">
        <v>2.25</v>
      </c>
      <c r="V116" s="44" t="s">
        <v>2410</v>
      </c>
      <c r="W116" s="42">
        <v>3.89</v>
      </c>
      <c r="X116" s="42">
        <v>4.25</v>
      </c>
      <c r="Y116" s="42">
        <v>1.59</v>
      </c>
      <c r="Z116" s="42">
        <v>4.3</v>
      </c>
      <c r="AA116" s="42">
        <v>3.57</v>
      </c>
      <c r="AB116" s="42">
        <v>3.13</v>
      </c>
      <c r="AC116" s="42">
        <v>1.65</v>
      </c>
      <c r="AD116" s="46">
        <v>1.24</v>
      </c>
      <c r="AF116" s="47" t="s">
        <v>520</v>
      </c>
      <c r="AG116" s="42">
        <v>4.6290468462089098</v>
      </c>
      <c r="AH116" s="42">
        <v>6.7837042276386903</v>
      </c>
      <c r="AI116" s="42">
        <v>4.0184667217498804</v>
      </c>
      <c r="AJ116" s="42">
        <v>5.8803304669399603</v>
      </c>
      <c r="AK116" s="42">
        <v>6.1822427622799099</v>
      </c>
      <c r="AL116" s="42">
        <v>1.98589567956841</v>
      </c>
      <c r="AM116" s="42">
        <v>4.2586576045449496</v>
      </c>
      <c r="AN116" s="46">
        <v>3.3557605299111102</v>
      </c>
    </row>
    <row r="117" spans="2:40">
      <c r="B117" s="44" t="s">
        <v>2411</v>
      </c>
      <c r="C117" s="42">
        <v>3.01</v>
      </c>
      <c r="D117" s="42">
        <v>4.38</v>
      </c>
      <c r="E117" s="42">
        <v>5.35</v>
      </c>
      <c r="F117" s="42">
        <v>5.62</v>
      </c>
      <c r="G117" s="42">
        <v>4.34</v>
      </c>
      <c r="H117" s="42">
        <v>4.88</v>
      </c>
      <c r="I117" s="42">
        <v>1.76</v>
      </c>
      <c r="J117" s="46">
        <v>3.27</v>
      </c>
      <c r="V117" s="44" t="s">
        <v>2412</v>
      </c>
      <c r="W117" s="42">
        <v>3.92</v>
      </c>
      <c r="X117" s="42">
        <v>4.32</v>
      </c>
      <c r="Y117" s="42">
        <v>4.16</v>
      </c>
      <c r="Z117" s="42">
        <v>4.2699999999999996</v>
      </c>
      <c r="AA117" s="42">
        <v>3.58</v>
      </c>
      <c r="AB117" s="42">
        <v>3.14</v>
      </c>
      <c r="AC117" s="42">
        <v>1.64</v>
      </c>
      <c r="AD117" s="46">
        <v>1.28</v>
      </c>
      <c r="AF117" s="47" t="s">
        <v>525</v>
      </c>
      <c r="AG117" s="42">
        <v>3.35968042651835</v>
      </c>
      <c r="AH117" s="42">
        <v>4.4814386295041597</v>
      </c>
      <c r="AI117" s="42">
        <v>3.4109878237046498</v>
      </c>
      <c r="AJ117" s="42">
        <v>3.6887604421509401</v>
      </c>
      <c r="AK117" s="42">
        <v>4.1068481468110001</v>
      </c>
      <c r="AL117" s="42">
        <v>1.64883159315885</v>
      </c>
      <c r="AM117" s="42">
        <v>2.7431605772732301</v>
      </c>
      <c r="AN117" s="46">
        <v>3.0062907521401598</v>
      </c>
    </row>
    <row r="118" spans="2:40" ht="15.75" thickBot="1">
      <c r="B118" s="44" t="s">
        <v>2413</v>
      </c>
      <c r="C118" s="42">
        <v>2.99</v>
      </c>
      <c r="D118" s="42">
        <v>4.37</v>
      </c>
      <c r="E118" s="42">
        <v>5.36</v>
      </c>
      <c r="F118" s="42">
        <v>5.64</v>
      </c>
      <c r="G118" s="42">
        <v>4.3</v>
      </c>
      <c r="H118" s="42">
        <v>4.79</v>
      </c>
      <c r="I118" s="42">
        <v>1.74</v>
      </c>
      <c r="J118" s="46">
        <v>2.2400000000000002</v>
      </c>
      <c r="V118" s="44" t="s">
        <v>2414</v>
      </c>
      <c r="W118" s="42">
        <v>3.89</v>
      </c>
      <c r="X118" s="42">
        <v>4.25</v>
      </c>
      <c r="Y118" s="42">
        <v>4.21</v>
      </c>
      <c r="Z118" s="42">
        <v>4.3099999999999996</v>
      </c>
      <c r="AA118" s="42">
        <v>3.58</v>
      </c>
      <c r="AB118" s="42">
        <v>3.16</v>
      </c>
      <c r="AC118" s="42">
        <v>1.63</v>
      </c>
      <c r="AD118" s="46">
        <v>0</v>
      </c>
      <c r="AF118" s="48" t="s">
        <v>937</v>
      </c>
      <c r="AG118" s="49">
        <v>4.1445631067961104</v>
      </c>
      <c r="AH118" s="49">
        <v>6.0908988764044896</v>
      </c>
      <c r="AI118" s="49">
        <v>3.77207547169811</v>
      </c>
      <c r="AJ118" s="49">
        <v>5.0873737373737304</v>
      </c>
      <c r="AK118" s="49">
        <v>5.4321782178217797</v>
      </c>
      <c r="AL118" s="49">
        <v>1.8451401869158801</v>
      </c>
      <c r="AM118" s="49">
        <v>3.7474489795918302</v>
      </c>
      <c r="AN118" s="50">
        <v>3.15287671232876</v>
      </c>
    </row>
    <row r="119" spans="2:40" ht="15.75" thickBot="1">
      <c r="B119" s="44" t="s">
        <v>2415</v>
      </c>
      <c r="C119" s="42">
        <v>3.04</v>
      </c>
      <c r="D119" s="42">
        <v>4.3600000000000003</v>
      </c>
      <c r="E119" s="42">
        <v>5.31</v>
      </c>
      <c r="F119" s="42">
        <v>5.63</v>
      </c>
      <c r="G119" s="42">
        <v>4.32</v>
      </c>
      <c r="H119" s="42">
        <v>4.8499999999999996</v>
      </c>
      <c r="I119" s="42">
        <v>1.74</v>
      </c>
      <c r="J119" s="46">
        <v>2.27</v>
      </c>
      <c r="V119" s="44" t="s">
        <v>2416</v>
      </c>
      <c r="W119" s="42">
        <v>3.9</v>
      </c>
      <c r="X119" s="42">
        <v>4.28</v>
      </c>
      <c r="Y119" s="42">
        <v>4.1900000000000004</v>
      </c>
      <c r="Z119" s="42">
        <v>4.29</v>
      </c>
      <c r="AA119" s="42">
        <v>3.63</v>
      </c>
      <c r="AB119" s="42">
        <v>3.12</v>
      </c>
      <c r="AC119" s="42">
        <v>1.59</v>
      </c>
      <c r="AD119" s="46">
        <v>1.21</v>
      </c>
    </row>
    <row r="120" spans="2:40" ht="30">
      <c r="B120" s="44" t="s">
        <v>2417</v>
      </c>
      <c r="C120" s="42">
        <v>2.99</v>
      </c>
      <c r="D120" s="42">
        <v>4.3899999999999997</v>
      </c>
      <c r="E120" s="42">
        <v>5.33</v>
      </c>
      <c r="F120" s="42">
        <v>5.64</v>
      </c>
      <c r="G120" s="42">
        <v>4.33</v>
      </c>
      <c r="H120" s="42">
        <v>4.8600000000000003</v>
      </c>
      <c r="I120" s="42">
        <v>1.78</v>
      </c>
      <c r="J120" s="46">
        <v>2.2599999999999998</v>
      </c>
      <c r="V120" s="44" t="s">
        <v>2418</v>
      </c>
      <c r="W120" s="42">
        <v>3.89</v>
      </c>
      <c r="X120" s="42">
        <v>4.29</v>
      </c>
      <c r="Y120" s="42">
        <v>4.1900000000000004</v>
      </c>
      <c r="Z120" s="42">
        <v>3.73</v>
      </c>
      <c r="AA120" s="42">
        <v>3.6</v>
      </c>
      <c r="AB120" s="42">
        <v>3.14</v>
      </c>
      <c r="AC120" s="42">
        <v>1.63</v>
      </c>
      <c r="AD120" s="46">
        <v>1.28</v>
      </c>
      <c r="AF120" s="82" t="s">
        <v>534</v>
      </c>
      <c r="AG120" s="8">
        <v>4.2</v>
      </c>
      <c r="AH120" s="8">
        <v>6.08</v>
      </c>
      <c r="AI120" s="8">
        <v>3.62</v>
      </c>
      <c r="AJ120" s="8">
        <v>5.36</v>
      </c>
      <c r="AK120" s="8">
        <v>5.44</v>
      </c>
      <c r="AL120" s="8">
        <v>1.82</v>
      </c>
      <c r="AM120" s="8">
        <v>3.76</v>
      </c>
      <c r="AN120" s="9">
        <v>2.87</v>
      </c>
    </row>
    <row r="121" spans="2:40">
      <c r="B121" s="44" t="s">
        <v>2419</v>
      </c>
      <c r="C121" s="42">
        <v>3.02</v>
      </c>
      <c r="D121" s="42">
        <v>4.4000000000000004</v>
      </c>
      <c r="E121" s="42">
        <v>5.29</v>
      </c>
      <c r="F121" s="42">
        <v>5.62</v>
      </c>
      <c r="G121" s="42">
        <v>0.26</v>
      </c>
      <c r="H121" s="42">
        <v>4.1100000000000003</v>
      </c>
      <c r="I121" s="42">
        <v>1.76</v>
      </c>
      <c r="J121" s="46">
        <v>2.6</v>
      </c>
      <c r="V121" s="44" t="s">
        <v>2420</v>
      </c>
      <c r="W121" s="42">
        <v>2.29</v>
      </c>
      <c r="X121" s="42">
        <v>4.32</v>
      </c>
      <c r="Y121" s="42">
        <v>4.1399999999999997</v>
      </c>
      <c r="Z121" s="42">
        <v>4.28</v>
      </c>
      <c r="AA121" s="42">
        <v>3.6</v>
      </c>
      <c r="AB121" s="42">
        <v>1.42</v>
      </c>
      <c r="AC121" s="42">
        <v>1.59</v>
      </c>
      <c r="AD121" s="46">
        <v>1.3</v>
      </c>
      <c r="AF121" s="52" t="s">
        <v>539</v>
      </c>
      <c r="AG121" s="11">
        <f>AG120-AG118</f>
        <v>5.5436893203889781E-2</v>
      </c>
      <c r="AH121" s="11">
        <f t="shared" ref="AH121:AN121" si="38">AH120-AH118</f>
        <v>-1.0898876404489499E-2</v>
      </c>
      <c r="AI121" s="11">
        <f t="shared" si="38"/>
        <v>-0.15207547169810987</v>
      </c>
      <c r="AJ121" s="11">
        <f t="shared" si="38"/>
        <v>0.27262626262626988</v>
      </c>
      <c r="AK121" s="11">
        <f t="shared" si="38"/>
        <v>7.8217821782207153E-3</v>
      </c>
      <c r="AL121" s="11">
        <f t="shared" si="38"/>
        <v>-2.5140186915880047E-2</v>
      </c>
      <c r="AM121" s="11">
        <f t="shared" si="38"/>
        <v>1.2551020408169578E-2</v>
      </c>
      <c r="AN121" s="12">
        <f t="shared" si="38"/>
        <v>-0.28287671232875988</v>
      </c>
    </row>
    <row r="122" spans="2:40" ht="15.75" thickBot="1">
      <c r="B122" s="44" t="s">
        <v>2421</v>
      </c>
      <c r="C122" s="42">
        <v>3.02</v>
      </c>
      <c r="D122" s="42">
        <v>4.37</v>
      </c>
      <c r="E122" s="42">
        <v>5.29</v>
      </c>
      <c r="F122" s="42">
        <v>5.64</v>
      </c>
      <c r="G122" s="42">
        <v>4.32</v>
      </c>
      <c r="H122" s="42">
        <v>4.83</v>
      </c>
      <c r="I122" s="42">
        <v>1.74</v>
      </c>
      <c r="J122" s="46">
        <v>2.2400000000000002</v>
      </c>
      <c r="V122" s="44" t="s">
        <v>2422</v>
      </c>
      <c r="W122" s="42">
        <v>3.91</v>
      </c>
      <c r="X122" s="42">
        <v>4.2699999999999996</v>
      </c>
      <c r="Y122" s="42">
        <v>4.16</v>
      </c>
      <c r="Z122" s="42">
        <v>4.29</v>
      </c>
      <c r="AA122" s="42">
        <v>1.87</v>
      </c>
      <c r="AB122" s="42">
        <v>3.11</v>
      </c>
      <c r="AC122" s="42">
        <v>1.63</v>
      </c>
      <c r="AD122" s="46">
        <v>1.23</v>
      </c>
      <c r="AF122" s="53" t="s">
        <v>544</v>
      </c>
      <c r="AG122" s="14">
        <f>(AG121/AG118)*100</f>
        <v>1.3375811098879467</v>
      </c>
      <c r="AH122" s="14">
        <f t="shared" ref="AH122:AN122" si="39">(AH121/AH118)*100</f>
        <v>-0.17893707686907454</v>
      </c>
      <c r="AI122" s="14">
        <f t="shared" si="39"/>
        <v>-4.0316126450579377</v>
      </c>
      <c r="AJ122" s="14">
        <f t="shared" si="39"/>
        <v>5.3588801747246606</v>
      </c>
      <c r="AK122" s="14">
        <f t="shared" si="39"/>
        <v>0.14398979312864169</v>
      </c>
      <c r="AL122" s="14">
        <f t="shared" si="39"/>
        <v>-1.3625082307649174</v>
      </c>
      <c r="AM122" s="14">
        <f t="shared" si="39"/>
        <v>0.33492171545285793</v>
      </c>
      <c r="AN122" s="15">
        <f t="shared" si="39"/>
        <v>-8.9720194647199847</v>
      </c>
    </row>
    <row r="123" spans="2:40" ht="15.75" thickBot="1">
      <c r="B123" s="44" t="s">
        <v>2423</v>
      </c>
      <c r="C123" s="42">
        <v>3.02</v>
      </c>
      <c r="D123" s="42">
        <v>4.41</v>
      </c>
      <c r="E123" s="42">
        <v>5.03</v>
      </c>
      <c r="F123" s="42">
        <v>1.6</v>
      </c>
      <c r="G123" s="42">
        <v>4.33</v>
      </c>
      <c r="H123" s="42">
        <v>2.2000000000000002</v>
      </c>
      <c r="I123" s="42">
        <v>1.78</v>
      </c>
      <c r="J123" s="46">
        <v>2.29</v>
      </c>
      <c r="V123" s="44" t="s">
        <v>2424</v>
      </c>
      <c r="W123" s="42">
        <v>3.92</v>
      </c>
      <c r="X123" s="42">
        <v>4.24</v>
      </c>
      <c r="Y123" s="42">
        <v>4.2</v>
      </c>
      <c r="Z123" s="42">
        <v>4.24</v>
      </c>
      <c r="AA123" s="42">
        <v>3.58</v>
      </c>
      <c r="AB123" s="42">
        <v>3.12</v>
      </c>
      <c r="AC123" s="42">
        <v>1.64</v>
      </c>
      <c r="AD123" s="46">
        <v>1.29</v>
      </c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2:40" ht="30">
      <c r="B124" s="44" t="s">
        <v>2425</v>
      </c>
      <c r="C124" s="42">
        <v>2.97</v>
      </c>
      <c r="D124" s="42">
        <v>4.43</v>
      </c>
      <c r="E124" s="42">
        <v>5.31</v>
      </c>
      <c r="F124" s="42">
        <v>5.63</v>
      </c>
      <c r="G124" s="42">
        <v>4.3099999999999996</v>
      </c>
      <c r="H124" s="42">
        <v>4.8600000000000003</v>
      </c>
      <c r="I124" s="42">
        <v>1.78</v>
      </c>
      <c r="J124" s="46">
        <v>2.23</v>
      </c>
      <c r="V124" s="44" t="s">
        <v>2426</v>
      </c>
      <c r="W124" s="42">
        <v>3.91</v>
      </c>
      <c r="X124" s="42">
        <v>4.33</v>
      </c>
      <c r="Y124" s="42">
        <v>4.18</v>
      </c>
      <c r="Z124" s="42">
        <v>4.28</v>
      </c>
      <c r="AA124" s="42">
        <v>3.56</v>
      </c>
      <c r="AB124" s="42">
        <v>3.14</v>
      </c>
      <c r="AC124" s="42">
        <v>1.64</v>
      </c>
      <c r="AD124" s="46">
        <v>1.21</v>
      </c>
      <c r="AF124" s="82" t="s">
        <v>553</v>
      </c>
      <c r="AG124" s="8">
        <v>4.1399999999999997</v>
      </c>
      <c r="AH124" s="8">
        <v>6.08</v>
      </c>
      <c r="AI124" s="8">
        <v>3.66</v>
      </c>
      <c r="AJ124" s="8">
        <v>5.32</v>
      </c>
      <c r="AK124" s="8">
        <v>5.44</v>
      </c>
      <c r="AL124" s="8">
        <v>1.83</v>
      </c>
      <c r="AM124" s="8">
        <v>3.76</v>
      </c>
      <c r="AN124" s="9">
        <v>2.91</v>
      </c>
    </row>
    <row r="125" spans="2:40">
      <c r="B125" s="44" t="s">
        <v>2427</v>
      </c>
      <c r="C125" s="42">
        <v>3.01</v>
      </c>
      <c r="D125" s="42">
        <v>0</v>
      </c>
      <c r="E125" s="42">
        <v>5.29</v>
      </c>
      <c r="F125" s="42">
        <v>3</v>
      </c>
      <c r="G125" s="42">
        <v>4.32</v>
      </c>
      <c r="H125" s="42">
        <v>4.91</v>
      </c>
      <c r="I125" s="42">
        <v>1.74</v>
      </c>
      <c r="J125" s="46">
        <v>3.28</v>
      </c>
      <c r="V125" s="44" t="s">
        <v>2428</v>
      </c>
      <c r="W125" s="42">
        <v>3.92</v>
      </c>
      <c r="X125" s="42">
        <v>4.2699999999999996</v>
      </c>
      <c r="Y125" s="42">
        <v>4.16</v>
      </c>
      <c r="Z125" s="42">
        <v>4.29</v>
      </c>
      <c r="AA125" s="42">
        <v>3.57</v>
      </c>
      <c r="AB125" s="42">
        <v>3.09</v>
      </c>
      <c r="AC125" s="42">
        <v>1.62</v>
      </c>
      <c r="AD125" s="46">
        <v>1.24</v>
      </c>
      <c r="AF125" s="52" t="s">
        <v>539</v>
      </c>
      <c r="AG125" s="11">
        <f>AG124-AG118</f>
        <v>-4.5631067961107163E-3</v>
      </c>
      <c r="AH125" s="11">
        <f t="shared" ref="AH125:AN125" si="40">AH124-AH118</f>
        <v>-1.0898876404489499E-2</v>
      </c>
      <c r="AI125" s="11">
        <f t="shared" si="40"/>
        <v>-0.11207547169810983</v>
      </c>
      <c r="AJ125" s="11">
        <f t="shared" si="40"/>
        <v>0.23262626262626984</v>
      </c>
      <c r="AK125" s="11">
        <f t="shared" si="40"/>
        <v>7.8217821782207153E-3</v>
      </c>
      <c r="AL125" s="11">
        <f t="shared" si="40"/>
        <v>-1.5140186915880038E-2</v>
      </c>
      <c r="AM125" s="11">
        <f t="shared" si="40"/>
        <v>1.2551020408169578E-2</v>
      </c>
      <c r="AN125" s="12">
        <f t="shared" si="40"/>
        <v>-0.24287671232875985</v>
      </c>
    </row>
    <row r="126" spans="2:40" ht="15.75" thickBot="1">
      <c r="B126" s="44" t="s">
        <v>2429</v>
      </c>
      <c r="C126" s="42">
        <v>3.01</v>
      </c>
      <c r="D126" s="42">
        <v>4.4000000000000004</v>
      </c>
      <c r="E126" s="42">
        <v>5.3</v>
      </c>
      <c r="F126" s="42">
        <v>5.62</v>
      </c>
      <c r="G126" s="42">
        <v>4.32</v>
      </c>
      <c r="H126" s="42">
        <v>3.8</v>
      </c>
      <c r="I126" s="42">
        <v>1.74</v>
      </c>
      <c r="J126" s="46">
        <v>2.2799999999999998</v>
      </c>
      <c r="V126" s="44" t="s">
        <v>2430</v>
      </c>
      <c r="W126" s="42">
        <v>3.91</v>
      </c>
      <c r="X126" s="42">
        <v>4.2699999999999996</v>
      </c>
      <c r="Y126" s="42">
        <v>4.13</v>
      </c>
      <c r="Z126" s="42">
        <v>4.3099999999999996</v>
      </c>
      <c r="AA126" s="42">
        <v>2.74</v>
      </c>
      <c r="AB126" s="42">
        <v>3.14</v>
      </c>
      <c r="AC126" s="42">
        <v>1.64</v>
      </c>
      <c r="AD126" s="46">
        <v>1.24</v>
      </c>
      <c r="AF126" s="53" t="s">
        <v>544</v>
      </c>
      <c r="AG126" s="14">
        <f>(AG125/AG118)*100</f>
        <v>-0.11009862025332157</v>
      </c>
      <c r="AH126" s="14">
        <f t="shared" ref="AH126:AN126" si="41">(AH125/AH118)*100</f>
        <v>-0.17893707686907454</v>
      </c>
      <c r="AI126" s="14">
        <f t="shared" si="41"/>
        <v>-2.9711884753900688</v>
      </c>
      <c r="AJ126" s="14">
        <f t="shared" si="41"/>
        <v>4.5726198749132818</v>
      </c>
      <c r="AK126" s="14">
        <f t="shared" si="41"/>
        <v>0.14398979312864169</v>
      </c>
      <c r="AL126" s="14">
        <f t="shared" si="41"/>
        <v>-0.82054399027461422</v>
      </c>
      <c r="AM126" s="14">
        <f t="shared" si="41"/>
        <v>0.33492171545285793</v>
      </c>
      <c r="AN126" s="15">
        <f t="shared" si="41"/>
        <v>-7.7033368091760117</v>
      </c>
    </row>
    <row r="127" spans="2:40" ht="15.75" thickBot="1">
      <c r="B127" s="44" t="s">
        <v>2431</v>
      </c>
      <c r="C127" s="42">
        <v>3.07</v>
      </c>
      <c r="D127" s="42">
        <v>4.4000000000000004</v>
      </c>
      <c r="E127" s="42">
        <v>5.3</v>
      </c>
      <c r="F127" s="42">
        <v>5.64</v>
      </c>
      <c r="G127" s="42">
        <v>4.3</v>
      </c>
      <c r="H127" s="42">
        <v>4.8600000000000003</v>
      </c>
      <c r="I127" s="42">
        <v>1.76</v>
      </c>
      <c r="J127" s="46">
        <v>2.27</v>
      </c>
      <c r="V127" s="44" t="s">
        <v>2432</v>
      </c>
      <c r="W127" s="42">
        <v>3.9</v>
      </c>
      <c r="X127" s="42">
        <v>4.28</v>
      </c>
      <c r="Y127" s="42">
        <v>2.34</v>
      </c>
      <c r="Z127" s="42">
        <v>4.25</v>
      </c>
      <c r="AA127" s="42">
        <v>0.55000000000000004</v>
      </c>
      <c r="AB127" s="42">
        <v>3.11</v>
      </c>
      <c r="AC127" s="42">
        <v>1.6</v>
      </c>
      <c r="AD127" s="46">
        <v>1.25</v>
      </c>
    </row>
    <row r="128" spans="2:40" ht="30">
      <c r="B128" s="44" t="s">
        <v>2433</v>
      </c>
      <c r="C128" s="42">
        <v>3</v>
      </c>
      <c r="D128" s="42">
        <v>4.38</v>
      </c>
      <c r="E128" s="42">
        <v>5.29</v>
      </c>
      <c r="F128" s="42">
        <v>4.1900000000000004</v>
      </c>
      <c r="G128" s="42">
        <v>4.3</v>
      </c>
      <c r="H128" s="42">
        <v>4.24</v>
      </c>
      <c r="I128" s="42">
        <v>99.99</v>
      </c>
      <c r="J128" s="46">
        <v>0.52</v>
      </c>
      <c r="V128" s="44" t="s">
        <v>2434</v>
      </c>
      <c r="W128" s="42">
        <v>3.91</v>
      </c>
      <c r="X128" s="42">
        <v>4.25</v>
      </c>
      <c r="Y128" s="42">
        <v>0.24</v>
      </c>
      <c r="Z128" s="42">
        <v>4.29</v>
      </c>
      <c r="AA128" s="42">
        <v>3.6</v>
      </c>
      <c r="AB128" s="42">
        <v>3.14</v>
      </c>
      <c r="AC128" s="42">
        <v>1.64</v>
      </c>
      <c r="AD128" s="46">
        <v>1.24</v>
      </c>
      <c r="AF128" s="82" t="s">
        <v>568</v>
      </c>
      <c r="AG128" s="8">
        <v>4.1900000000000004</v>
      </c>
      <c r="AH128" s="8">
        <v>6.13</v>
      </c>
      <c r="AI128" s="8">
        <v>3.69</v>
      </c>
      <c r="AJ128" s="8">
        <v>5.35</v>
      </c>
      <c r="AK128" s="8">
        <v>5.49</v>
      </c>
      <c r="AL128" s="8">
        <v>1.85</v>
      </c>
      <c r="AM128" s="8">
        <v>3.72</v>
      </c>
      <c r="AN128" s="9">
        <v>2.9</v>
      </c>
    </row>
    <row r="129" spans="2:40">
      <c r="B129" s="44" t="s">
        <v>2435</v>
      </c>
      <c r="C129" s="42">
        <v>2.95</v>
      </c>
      <c r="D129" s="42">
        <v>4.38</v>
      </c>
      <c r="E129" s="42">
        <v>5.29</v>
      </c>
      <c r="F129" s="42">
        <v>5.64</v>
      </c>
      <c r="G129" s="42">
        <v>4.3</v>
      </c>
      <c r="H129" s="42">
        <v>4.8</v>
      </c>
      <c r="I129" s="42">
        <v>1.74</v>
      </c>
      <c r="J129" s="46">
        <v>2.25</v>
      </c>
      <c r="V129" s="44" t="s">
        <v>2436</v>
      </c>
      <c r="W129" s="42">
        <v>3.91</v>
      </c>
      <c r="X129" s="42">
        <v>4.28</v>
      </c>
      <c r="Y129" s="42">
        <v>4.2</v>
      </c>
      <c r="Z129" s="42">
        <v>4.3</v>
      </c>
      <c r="AA129" s="42">
        <v>3.57</v>
      </c>
      <c r="AB129" s="42">
        <v>3.14</v>
      </c>
      <c r="AC129" s="42">
        <v>1.65</v>
      </c>
      <c r="AD129" s="46">
        <v>1.22</v>
      </c>
      <c r="AF129" s="52" t="s">
        <v>539</v>
      </c>
      <c r="AG129" s="11">
        <f>AG128-AG118</f>
        <v>4.5436893203889994E-2</v>
      </c>
      <c r="AH129" s="11">
        <f t="shared" ref="AH129:AN129" si="42">AH128-AH118</f>
        <v>3.9101123595510323E-2</v>
      </c>
      <c r="AI129" s="11">
        <f t="shared" si="42"/>
        <v>-8.2075471698110025E-2</v>
      </c>
      <c r="AJ129" s="11">
        <f t="shared" si="42"/>
        <v>0.2626262626262692</v>
      </c>
      <c r="AK129" s="11">
        <f t="shared" si="42"/>
        <v>5.7821782178220538E-2</v>
      </c>
      <c r="AL129" s="11">
        <f t="shared" si="42"/>
        <v>4.8598130841199794E-3</v>
      </c>
      <c r="AM129" s="11">
        <f t="shared" si="42"/>
        <v>-2.7448979591830014E-2</v>
      </c>
      <c r="AN129" s="12">
        <f t="shared" si="42"/>
        <v>-0.25287671232876008</v>
      </c>
    </row>
    <row r="130" spans="2:40" ht="15.75" thickBot="1">
      <c r="B130" s="44" t="s">
        <v>2437</v>
      </c>
      <c r="C130" s="42">
        <v>2.99</v>
      </c>
      <c r="D130" s="42">
        <v>0</v>
      </c>
      <c r="E130" s="42">
        <v>5.29</v>
      </c>
      <c r="F130" s="42">
        <v>5.61</v>
      </c>
      <c r="G130" s="42">
        <v>4.32</v>
      </c>
      <c r="H130" s="42">
        <v>1.1599999999999999</v>
      </c>
      <c r="I130" s="42">
        <v>1.72</v>
      </c>
      <c r="J130" s="46">
        <v>2.23</v>
      </c>
      <c r="V130" s="44" t="s">
        <v>2438</v>
      </c>
      <c r="W130" s="42">
        <v>3.9</v>
      </c>
      <c r="X130" s="42">
        <v>4.2699999999999996</v>
      </c>
      <c r="Y130" s="42">
        <v>4.1500000000000004</v>
      </c>
      <c r="Z130" s="42">
        <v>4.26</v>
      </c>
      <c r="AA130" s="42">
        <v>2.91</v>
      </c>
      <c r="AB130" s="42">
        <v>3.16</v>
      </c>
      <c r="AC130" s="42">
        <v>1.64</v>
      </c>
      <c r="AD130" s="46">
        <v>1.32</v>
      </c>
      <c r="AF130" s="53" t="s">
        <v>544</v>
      </c>
      <c r="AG130" s="14">
        <f>(AG129/AG118)*100</f>
        <v>1.0963011548644093</v>
      </c>
      <c r="AH130" s="14">
        <f t="shared" ref="AH130:AN130" si="43">(AH129/AH118)*100</f>
        <v>0.64195982216982816</v>
      </c>
      <c r="AI130" s="14">
        <f t="shared" si="43"/>
        <v>-2.1758703481391732</v>
      </c>
      <c r="AJ130" s="14">
        <f t="shared" si="43"/>
        <v>5.1623150997718037</v>
      </c>
      <c r="AK130" s="14">
        <f t="shared" si="43"/>
        <v>1.0644308757860705</v>
      </c>
      <c r="AL130" s="14">
        <f t="shared" si="43"/>
        <v>0.26338449070599201</v>
      </c>
      <c r="AM130" s="14">
        <f t="shared" si="43"/>
        <v>-0.73247106875407653</v>
      </c>
      <c r="AN130" s="15">
        <f t="shared" si="43"/>
        <v>-8.0205074730620129</v>
      </c>
    </row>
    <row r="131" spans="2:40">
      <c r="B131" s="44" t="s">
        <v>2439</v>
      </c>
      <c r="C131" s="42">
        <v>3.03</v>
      </c>
      <c r="D131" s="42">
        <v>4.3899999999999997</v>
      </c>
      <c r="E131" s="42">
        <v>5.28</v>
      </c>
      <c r="F131" s="42">
        <v>5.62</v>
      </c>
      <c r="G131" s="42">
        <v>4.34</v>
      </c>
      <c r="H131" s="42">
        <v>4.8600000000000003</v>
      </c>
      <c r="I131" s="42">
        <v>1.78</v>
      </c>
      <c r="J131" s="46">
        <v>2.27</v>
      </c>
      <c r="V131" s="44" t="s">
        <v>2440</v>
      </c>
      <c r="W131" s="42">
        <v>3.9</v>
      </c>
      <c r="X131" s="42">
        <v>4.2699999999999996</v>
      </c>
      <c r="Y131" s="42">
        <v>4.17</v>
      </c>
      <c r="Z131" s="42">
        <v>1.92</v>
      </c>
      <c r="AA131" s="42">
        <v>3.64</v>
      </c>
      <c r="AB131" s="42">
        <v>3.12</v>
      </c>
      <c r="AC131" s="42">
        <v>1.65</v>
      </c>
      <c r="AD131" s="46">
        <v>1.29</v>
      </c>
    </row>
    <row r="132" spans="2:40">
      <c r="B132" s="44" t="s">
        <v>2441</v>
      </c>
      <c r="C132" s="42">
        <v>2.99</v>
      </c>
      <c r="D132" s="42">
        <v>4.37</v>
      </c>
      <c r="E132" s="42">
        <v>5.29</v>
      </c>
      <c r="F132" s="42">
        <v>5.65</v>
      </c>
      <c r="G132" s="42">
        <v>4.34</v>
      </c>
      <c r="H132" s="42">
        <v>4.84</v>
      </c>
      <c r="I132" s="42">
        <v>1.74</v>
      </c>
      <c r="J132" s="46">
        <v>2.2400000000000002</v>
      </c>
      <c r="V132" s="44" t="s">
        <v>2442</v>
      </c>
      <c r="W132" s="42">
        <v>3.93</v>
      </c>
      <c r="X132" s="42">
        <v>4.26</v>
      </c>
      <c r="Y132" s="42">
        <v>4.17</v>
      </c>
      <c r="Z132" s="42">
        <v>4.28</v>
      </c>
      <c r="AA132" s="42">
        <v>3.63</v>
      </c>
      <c r="AB132" s="42">
        <v>3.14</v>
      </c>
      <c r="AC132" s="42">
        <v>1.65</v>
      </c>
      <c r="AD132" s="46">
        <v>1.34</v>
      </c>
    </row>
    <row r="133" spans="2:40">
      <c r="B133" s="44" t="s">
        <v>2443</v>
      </c>
      <c r="C133" s="42">
        <v>3.02</v>
      </c>
      <c r="D133" s="42">
        <v>4.34</v>
      </c>
      <c r="E133" s="42">
        <v>5.29</v>
      </c>
      <c r="F133" s="42">
        <v>5.62</v>
      </c>
      <c r="G133" s="42">
        <v>2.95</v>
      </c>
      <c r="H133" s="42">
        <v>3.04</v>
      </c>
      <c r="I133" s="42">
        <v>1.73</v>
      </c>
      <c r="J133" s="46">
        <v>2.2599999999999998</v>
      </c>
      <c r="V133" s="44" t="s">
        <v>2444</v>
      </c>
      <c r="W133" s="42">
        <v>3.92</v>
      </c>
      <c r="X133" s="42">
        <v>4.2699999999999996</v>
      </c>
      <c r="Y133" s="42">
        <v>4.1500000000000004</v>
      </c>
      <c r="Z133" s="42">
        <v>4.29</v>
      </c>
      <c r="AA133" s="42">
        <v>3.64</v>
      </c>
      <c r="AB133" s="42">
        <v>3.1</v>
      </c>
      <c r="AC133" s="42">
        <v>1.61</v>
      </c>
      <c r="AD133" s="46">
        <v>0.8</v>
      </c>
    </row>
    <row r="134" spans="2:40">
      <c r="B134" s="44" t="s">
        <v>2445</v>
      </c>
      <c r="C134" s="42">
        <v>3</v>
      </c>
      <c r="D134" s="42">
        <v>4.3600000000000003</v>
      </c>
      <c r="E134" s="42">
        <v>5.28</v>
      </c>
      <c r="F134" s="42">
        <v>5.62</v>
      </c>
      <c r="G134" s="42">
        <v>4.32</v>
      </c>
      <c r="H134" s="42">
        <v>4.84</v>
      </c>
      <c r="I134" s="42">
        <v>1.75</v>
      </c>
      <c r="J134" s="46">
        <v>2.2599999999999998</v>
      </c>
      <c r="V134" s="44" t="s">
        <v>2446</v>
      </c>
      <c r="W134" s="42">
        <v>3.91</v>
      </c>
      <c r="X134" s="42">
        <v>1.01</v>
      </c>
      <c r="Y134" s="42">
        <v>4.17</v>
      </c>
      <c r="Z134" s="42">
        <v>0.28999999999999998</v>
      </c>
      <c r="AA134" s="42">
        <v>3.62</v>
      </c>
      <c r="AB134" s="42">
        <v>3.17</v>
      </c>
      <c r="AC134" s="42">
        <v>1.6</v>
      </c>
      <c r="AD134" s="46">
        <v>1.32</v>
      </c>
    </row>
    <row r="135" spans="2:40">
      <c r="B135" s="44" t="s">
        <v>2447</v>
      </c>
      <c r="C135" s="42">
        <v>3.01</v>
      </c>
      <c r="D135" s="42">
        <v>4.37</v>
      </c>
      <c r="E135" s="42">
        <v>5.31</v>
      </c>
      <c r="F135" s="42">
        <v>5.65</v>
      </c>
      <c r="G135" s="42">
        <v>3.53</v>
      </c>
      <c r="H135" s="42">
        <v>4.8499999999999996</v>
      </c>
      <c r="I135" s="42">
        <v>1.75</v>
      </c>
      <c r="J135" s="46">
        <v>2.25</v>
      </c>
      <c r="V135" s="44" t="s">
        <v>2448</v>
      </c>
      <c r="W135" s="42">
        <v>3.93</v>
      </c>
      <c r="X135" s="42">
        <v>4.3</v>
      </c>
      <c r="Y135" s="42">
        <v>1.33</v>
      </c>
      <c r="Z135" s="42">
        <v>4.3</v>
      </c>
      <c r="AA135" s="42">
        <v>3.6</v>
      </c>
      <c r="AB135" s="42">
        <v>3.13</v>
      </c>
      <c r="AC135" s="42">
        <v>1.62</v>
      </c>
      <c r="AD135" s="46">
        <v>1.25</v>
      </c>
    </row>
    <row r="136" spans="2:40">
      <c r="B136" s="44" t="s">
        <v>2449</v>
      </c>
      <c r="C136" s="42">
        <v>2.99</v>
      </c>
      <c r="D136" s="42">
        <v>4.38</v>
      </c>
      <c r="E136" s="42">
        <v>5.29</v>
      </c>
      <c r="F136" s="42">
        <v>5.67</v>
      </c>
      <c r="G136" s="42">
        <v>4.3899999999999997</v>
      </c>
      <c r="H136" s="42">
        <v>4.8099999999999996</v>
      </c>
      <c r="I136" s="42">
        <v>1.73</v>
      </c>
      <c r="J136" s="46">
        <v>2.65</v>
      </c>
      <c r="V136" s="44" t="s">
        <v>2450</v>
      </c>
      <c r="W136" s="42">
        <v>3.93</v>
      </c>
      <c r="X136" s="42">
        <v>4.26</v>
      </c>
      <c r="Y136" s="42">
        <v>4.09</v>
      </c>
      <c r="Z136" s="42">
        <v>4.28</v>
      </c>
      <c r="AA136" s="42">
        <v>3.59</v>
      </c>
      <c r="AB136" s="42">
        <v>3.14</v>
      </c>
      <c r="AC136" s="42">
        <v>1.62</v>
      </c>
      <c r="AD136" s="46">
        <v>1.25</v>
      </c>
    </row>
    <row r="137" spans="2:40">
      <c r="B137" s="44" t="s">
        <v>2451</v>
      </c>
      <c r="C137" s="42">
        <v>3.03</v>
      </c>
      <c r="D137" s="42">
        <v>4.4000000000000004</v>
      </c>
      <c r="E137" s="42">
        <v>5.31</v>
      </c>
      <c r="F137" s="42">
        <v>5.63</v>
      </c>
      <c r="G137" s="42">
        <v>4.3099999999999996</v>
      </c>
      <c r="H137" s="42">
        <v>4.88</v>
      </c>
      <c r="I137" s="42">
        <v>1.75</v>
      </c>
      <c r="J137" s="46">
        <v>2.23</v>
      </c>
      <c r="V137" s="44" t="s">
        <v>2452</v>
      </c>
      <c r="W137" s="42">
        <v>3.93</v>
      </c>
      <c r="X137" s="42">
        <v>4.2699999999999996</v>
      </c>
      <c r="Y137" s="42">
        <v>4.18</v>
      </c>
      <c r="Z137" s="42">
        <v>4.3</v>
      </c>
      <c r="AA137" s="42">
        <v>3.61</v>
      </c>
      <c r="AB137" s="42">
        <v>3.15</v>
      </c>
      <c r="AC137" s="42">
        <v>1.61</v>
      </c>
      <c r="AD137" s="46">
        <v>1.24</v>
      </c>
    </row>
    <row r="138" spans="2:40">
      <c r="B138" s="44" t="s">
        <v>2453</v>
      </c>
      <c r="C138" s="42">
        <v>3.03</v>
      </c>
      <c r="D138" s="42">
        <v>4.42</v>
      </c>
      <c r="E138" s="42">
        <v>5.3</v>
      </c>
      <c r="F138" s="42">
        <v>5.62</v>
      </c>
      <c r="G138" s="42">
        <v>2.4500000000000002</v>
      </c>
      <c r="H138" s="42">
        <v>4.8600000000000003</v>
      </c>
      <c r="I138" s="42">
        <v>1.75</v>
      </c>
      <c r="J138" s="46">
        <v>2.2599999999999998</v>
      </c>
      <c r="V138" s="44" t="s">
        <v>2454</v>
      </c>
      <c r="W138" s="42">
        <v>3.92</v>
      </c>
      <c r="X138" s="42">
        <v>4.29</v>
      </c>
      <c r="Y138" s="42">
        <v>4.16</v>
      </c>
      <c r="Z138" s="42">
        <v>4.33</v>
      </c>
      <c r="AA138" s="42">
        <v>3.6</v>
      </c>
      <c r="AB138" s="42">
        <v>3.13</v>
      </c>
      <c r="AC138" s="42">
        <v>1.59</v>
      </c>
      <c r="AD138" s="46">
        <v>1.24</v>
      </c>
    </row>
    <row r="139" spans="2:40">
      <c r="B139" s="44" t="s">
        <v>2455</v>
      </c>
      <c r="C139" s="42">
        <v>3</v>
      </c>
      <c r="D139" s="42">
        <v>4.42</v>
      </c>
      <c r="E139" s="42">
        <v>5.3</v>
      </c>
      <c r="F139" s="42">
        <v>5.62</v>
      </c>
      <c r="G139" s="42">
        <v>4.33</v>
      </c>
      <c r="H139" s="42">
        <v>4.82</v>
      </c>
      <c r="I139" s="42">
        <v>1.78</v>
      </c>
      <c r="J139" s="46">
        <v>99.99</v>
      </c>
      <c r="V139" s="44" t="s">
        <v>2456</v>
      </c>
      <c r="W139" s="42">
        <v>3.93</v>
      </c>
      <c r="X139" s="42">
        <v>3.32</v>
      </c>
      <c r="Y139" s="42">
        <v>4.1500000000000004</v>
      </c>
      <c r="Z139" s="42">
        <v>4.28</v>
      </c>
      <c r="AA139" s="42">
        <v>3.62</v>
      </c>
      <c r="AB139" s="42">
        <v>3.12</v>
      </c>
      <c r="AC139" s="42">
        <v>1.62</v>
      </c>
      <c r="AD139" s="46">
        <v>1.28</v>
      </c>
    </row>
    <row r="140" spans="2:40">
      <c r="B140" s="44" t="s">
        <v>2457</v>
      </c>
      <c r="C140" s="42">
        <v>3.02</v>
      </c>
      <c r="D140" s="42">
        <v>4.37</v>
      </c>
      <c r="E140" s="42">
        <v>5.3</v>
      </c>
      <c r="F140" s="42">
        <v>5.62</v>
      </c>
      <c r="G140" s="42">
        <v>4.3099999999999996</v>
      </c>
      <c r="H140" s="42">
        <v>4.83</v>
      </c>
      <c r="I140" s="42">
        <v>1.76</v>
      </c>
      <c r="J140" s="46">
        <v>1.63</v>
      </c>
      <c r="V140" s="44" t="s">
        <v>2458</v>
      </c>
      <c r="W140" s="42">
        <v>3.91</v>
      </c>
      <c r="X140" s="42">
        <v>3</v>
      </c>
      <c r="Y140" s="42">
        <v>4.2</v>
      </c>
      <c r="Z140" s="42">
        <v>4.28</v>
      </c>
      <c r="AA140" s="42">
        <v>3.62</v>
      </c>
      <c r="AB140" s="42">
        <v>3.14</v>
      </c>
      <c r="AC140" s="42">
        <v>1.62</v>
      </c>
      <c r="AD140" s="46">
        <v>1.24</v>
      </c>
    </row>
    <row r="141" spans="2:40">
      <c r="B141" s="44" t="s">
        <v>2459</v>
      </c>
      <c r="C141" s="42">
        <v>3.01</v>
      </c>
      <c r="D141" s="42">
        <v>4.4000000000000004</v>
      </c>
      <c r="E141" s="42">
        <v>5.32</v>
      </c>
      <c r="F141" s="42">
        <v>5.61</v>
      </c>
      <c r="G141" s="42">
        <v>4.33</v>
      </c>
      <c r="H141" s="42">
        <v>4.8899999999999997</v>
      </c>
      <c r="I141" s="42">
        <v>1.76</v>
      </c>
      <c r="J141" s="46">
        <v>2.2799999999999998</v>
      </c>
      <c r="V141" s="44" t="s">
        <v>2460</v>
      </c>
      <c r="W141" s="42">
        <v>3.93</v>
      </c>
      <c r="X141" s="42">
        <v>4.28</v>
      </c>
      <c r="Y141" s="42">
        <v>4.16</v>
      </c>
      <c r="Z141" s="42">
        <v>4.32</v>
      </c>
      <c r="AA141" s="42">
        <v>3.59</v>
      </c>
      <c r="AB141" s="42">
        <v>3.12</v>
      </c>
      <c r="AC141" s="42">
        <v>1.63</v>
      </c>
      <c r="AD141" s="46">
        <v>1.32</v>
      </c>
    </row>
    <row r="142" spans="2:40">
      <c r="B142" s="44" t="s">
        <v>2461</v>
      </c>
      <c r="C142" s="42">
        <v>2.98</v>
      </c>
      <c r="D142" s="42">
        <v>4.3899999999999997</v>
      </c>
      <c r="E142" s="42">
        <v>5.3</v>
      </c>
      <c r="F142" s="42">
        <v>5.62</v>
      </c>
      <c r="G142" s="42">
        <v>4.32</v>
      </c>
      <c r="H142" s="42">
        <v>4.82</v>
      </c>
      <c r="I142" s="42">
        <v>1.74</v>
      </c>
      <c r="J142" s="46">
        <v>2.2200000000000002</v>
      </c>
      <c r="V142" s="44" t="s">
        <v>2462</v>
      </c>
      <c r="W142" s="42">
        <v>3.9</v>
      </c>
      <c r="X142" s="42">
        <v>4.29</v>
      </c>
      <c r="Y142" s="42">
        <v>4.1900000000000004</v>
      </c>
      <c r="Z142" s="42">
        <v>4.2699999999999996</v>
      </c>
      <c r="AA142" s="42">
        <v>3.56</v>
      </c>
      <c r="AB142" s="42">
        <v>3.12</v>
      </c>
      <c r="AC142" s="42">
        <v>1.65</v>
      </c>
      <c r="AD142" s="46">
        <v>1.23</v>
      </c>
    </row>
    <row r="143" spans="2:40">
      <c r="B143" s="44" t="s">
        <v>2463</v>
      </c>
      <c r="C143" s="42">
        <v>3.02</v>
      </c>
      <c r="D143" s="42">
        <v>4.3899999999999997</v>
      </c>
      <c r="E143" s="42">
        <v>5.27</v>
      </c>
      <c r="F143" s="42">
        <v>0.11</v>
      </c>
      <c r="G143" s="42">
        <v>4.33</v>
      </c>
      <c r="H143" s="42">
        <v>4.83</v>
      </c>
      <c r="I143" s="42">
        <v>1.74</v>
      </c>
      <c r="J143" s="46">
        <v>2.2400000000000002</v>
      </c>
      <c r="V143" s="44" t="s">
        <v>2464</v>
      </c>
      <c r="W143" s="42">
        <v>3.91</v>
      </c>
      <c r="X143" s="42">
        <v>2.71</v>
      </c>
      <c r="Y143" s="42">
        <v>0.5</v>
      </c>
      <c r="Z143" s="42">
        <v>4.32</v>
      </c>
      <c r="AA143" s="42">
        <v>0.28000000000000003</v>
      </c>
      <c r="AB143" s="42">
        <v>3.11</v>
      </c>
      <c r="AC143" s="42">
        <v>1.59</v>
      </c>
      <c r="AD143" s="46">
        <v>1.22</v>
      </c>
    </row>
    <row r="144" spans="2:40">
      <c r="B144" s="44" t="s">
        <v>2465</v>
      </c>
      <c r="C144" s="42">
        <v>2.97</v>
      </c>
      <c r="D144" s="42">
        <v>4.3499999999999996</v>
      </c>
      <c r="E144" s="42">
        <v>5.28</v>
      </c>
      <c r="F144" s="42">
        <v>5.64</v>
      </c>
      <c r="G144" s="42">
        <v>4.34</v>
      </c>
      <c r="H144" s="42">
        <v>4.88</v>
      </c>
      <c r="I144" s="42">
        <v>1.75</v>
      </c>
      <c r="J144" s="46">
        <v>2.27</v>
      </c>
      <c r="V144" s="44" t="s">
        <v>2466</v>
      </c>
      <c r="W144" s="42">
        <v>1.82</v>
      </c>
      <c r="X144" s="42">
        <v>4.26</v>
      </c>
      <c r="Y144" s="42">
        <v>4.17</v>
      </c>
      <c r="Z144" s="42">
        <v>4.2699999999999996</v>
      </c>
      <c r="AA144" s="42">
        <v>3.57</v>
      </c>
      <c r="AB144" s="42">
        <v>3.13</v>
      </c>
      <c r="AC144" s="42">
        <v>1.66</v>
      </c>
      <c r="AD144" s="46">
        <v>1.26</v>
      </c>
    </row>
    <row r="145" spans="2:30">
      <c r="B145" s="44" t="s">
        <v>2467</v>
      </c>
      <c r="C145" s="42">
        <v>3.02</v>
      </c>
      <c r="D145" s="42">
        <v>4.41</v>
      </c>
      <c r="E145" s="42">
        <v>5.31</v>
      </c>
      <c r="F145" s="42">
        <v>5.62</v>
      </c>
      <c r="G145" s="42">
        <v>4.33</v>
      </c>
      <c r="H145" s="42">
        <v>4.79</v>
      </c>
      <c r="I145" s="42">
        <v>1.74</v>
      </c>
      <c r="J145" s="46">
        <v>2.29</v>
      </c>
      <c r="V145" s="44" t="s">
        <v>2468</v>
      </c>
      <c r="W145" s="42">
        <v>3.91</v>
      </c>
      <c r="X145" s="42">
        <v>4.2699999999999996</v>
      </c>
      <c r="Y145" s="42">
        <v>4.16</v>
      </c>
      <c r="Z145" s="42">
        <v>4.32</v>
      </c>
      <c r="AA145" s="42">
        <v>3.61</v>
      </c>
      <c r="AB145" s="42">
        <v>3.09</v>
      </c>
      <c r="AC145" s="42">
        <v>1.64</v>
      </c>
      <c r="AD145" s="46">
        <v>1.24</v>
      </c>
    </row>
    <row r="146" spans="2:30">
      <c r="B146" s="44" t="s">
        <v>2469</v>
      </c>
      <c r="C146" s="42">
        <v>2.98</v>
      </c>
      <c r="D146" s="42">
        <v>4.4000000000000004</v>
      </c>
      <c r="E146" s="42">
        <v>5.27</v>
      </c>
      <c r="F146" s="42">
        <v>2.75</v>
      </c>
      <c r="G146" s="42">
        <v>4.33</v>
      </c>
      <c r="H146" s="42">
        <v>4.8099999999999996</v>
      </c>
      <c r="I146" s="42">
        <v>1.74</v>
      </c>
      <c r="J146" s="46">
        <v>2.23</v>
      </c>
      <c r="V146" s="44" t="s">
        <v>2470</v>
      </c>
      <c r="W146" s="42">
        <v>3.92</v>
      </c>
      <c r="X146" s="42">
        <v>4.28</v>
      </c>
      <c r="Y146" s="42">
        <v>4.1500000000000004</v>
      </c>
      <c r="Z146" s="42">
        <v>4.32</v>
      </c>
      <c r="AA146" s="42">
        <v>3.55</v>
      </c>
      <c r="AB146" s="42">
        <v>3.11</v>
      </c>
      <c r="AC146" s="42">
        <v>1.63</v>
      </c>
      <c r="AD146" s="46">
        <v>1.23</v>
      </c>
    </row>
    <row r="147" spans="2:30">
      <c r="B147" s="44" t="s">
        <v>2471</v>
      </c>
      <c r="C147" s="42">
        <v>3.02</v>
      </c>
      <c r="D147" s="42">
        <v>4.4400000000000004</v>
      </c>
      <c r="E147" s="42">
        <v>5.31</v>
      </c>
      <c r="F147" s="42">
        <v>5.67</v>
      </c>
      <c r="G147" s="42">
        <v>4.3099999999999996</v>
      </c>
      <c r="H147" s="42">
        <v>4.8499999999999996</v>
      </c>
      <c r="I147" s="42">
        <v>1.74</v>
      </c>
      <c r="J147" s="46">
        <v>2.2200000000000002</v>
      </c>
      <c r="V147" s="44" t="s">
        <v>2472</v>
      </c>
      <c r="W147" s="42">
        <v>3.89</v>
      </c>
      <c r="X147" s="42">
        <v>4.2699999999999996</v>
      </c>
      <c r="Y147" s="42">
        <v>1.67</v>
      </c>
      <c r="Z147" s="42">
        <v>4.26</v>
      </c>
      <c r="AA147" s="42">
        <v>3.6</v>
      </c>
      <c r="AB147" s="42">
        <v>3.16</v>
      </c>
      <c r="AC147" s="42">
        <v>1.59</v>
      </c>
      <c r="AD147" s="46">
        <v>1.27</v>
      </c>
    </row>
    <row r="148" spans="2:30">
      <c r="B148" s="44" t="s">
        <v>2473</v>
      </c>
      <c r="C148" s="42">
        <v>2.99</v>
      </c>
      <c r="D148" s="42">
        <v>4.38</v>
      </c>
      <c r="E148" s="42">
        <v>5.3</v>
      </c>
      <c r="F148" s="42">
        <v>5.6</v>
      </c>
      <c r="G148" s="42">
        <v>4.3600000000000003</v>
      </c>
      <c r="H148" s="42">
        <v>4.83</v>
      </c>
      <c r="I148" s="42">
        <v>1.73</v>
      </c>
      <c r="J148" s="46">
        <v>2.2400000000000002</v>
      </c>
      <c r="V148" s="44" t="s">
        <v>2474</v>
      </c>
      <c r="W148" s="42">
        <v>3.9</v>
      </c>
      <c r="X148" s="42">
        <v>4.2699999999999996</v>
      </c>
      <c r="Y148" s="42">
        <v>4.16</v>
      </c>
      <c r="Z148" s="42">
        <v>4.26</v>
      </c>
      <c r="AA148" s="42">
        <v>3.6</v>
      </c>
      <c r="AB148" s="42">
        <v>3.11</v>
      </c>
      <c r="AC148" s="42">
        <v>1.57</v>
      </c>
      <c r="AD148" s="46">
        <v>1.22</v>
      </c>
    </row>
    <row r="149" spans="2:30">
      <c r="B149" s="44" t="s">
        <v>2475</v>
      </c>
      <c r="C149" s="42">
        <v>3.03</v>
      </c>
      <c r="D149" s="42">
        <v>4.42</v>
      </c>
      <c r="E149" s="42">
        <v>5.27</v>
      </c>
      <c r="F149" s="42">
        <v>4.68</v>
      </c>
      <c r="G149" s="42">
        <v>4.33</v>
      </c>
      <c r="H149" s="42">
        <v>4.8499999999999996</v>
      </c>
      <c r="I149" s="42">
        <v>1.76</v>
      </c>
      <c r="J149" s="46">
        <v>2.27</v>
      </c>
      <c r="V149" s="44" t="s">
        <v>2476</v>
      </c>
      <c r="W149" s="42">
        <v>3.93</v>
      </c>
      <c r="X149" s="42">
        <v>4.28</v>
      </c>
      <c r="Y149" s="42">
        <v>4.16</v>
      </c>
      <c r="Z149" s="42">
        <v>4.3099999999999996</v>
      </c>
      <c r="AA149" s="42">
        <v>3.45</v>
      </c>
      <c r="AB149" s="42">
        <v>3.13</v>
      </c>
      <c r="AC149" s="42">
        <v>1.63</v>
      </c>
      <c r="AD149" s="46">
        <v>1.36</v>
      </c>
    </row>
    <row r="150" spans="2:30">
      <c r="B150" s="44" t="s">
        <v>2477</v>
      </c>
      <c r="C150" s="42">
        <v>2.97</v>
      </c>
      <c r="D150" s="42">
        <v>3.08</v>
      </c>
      <c r="E150" s="42">
        <v>5.28</v>
      </c>
      <c r="F150" s="42">
        <v>5.62</v>
      </c>
      <c r="G150" s="42">
        <v>4.32</v>
      </c>
      <c r="H150" s="42">
        <v>4.83</v>
      </c>
      <c r="I150" s="42">
        <v>1.75</v>
      </c>
      <c r="J150" s="46">
        <v>2.61</v>
      </c>
      <c r="V150" s="44" t="s">
        <v>2478</v>
      </c>
      <c r="W150" s="42">
        <v>3.92</v>
      </c>
      <c r="X150" s="42">
        <v>4.26</v>
      </c>
      <c r="Y150" s="42">
        <v>4.16</v>
      </c>
      <c r="Z150" s="42">
        <v>4.32</v>
      </c>
      <c r="AA150" s="42">
        <v>3.58</v>
      </c>
      <c r="AB150" s="42">
        <v>3.13</v>
      </c>
      <c r="AC150" s="42">
        <v>1.63</v>
      </c>
      <c r="AD150" s="46">
        <v>1.24</v>
      </c>
    </row>
    <row r="151" spans="2:30">
      <c r="B151" s="44" t="s">
        <v>2479</v>
      </c>
      <c r="C151" s="42">
        <v>2.97</v>
      </c>
      <c r="D151" s="42">
        <v>4.42</v>
      </c>
      <c r="E151" s="42">
        <v>5.32</v>
      </c>
      <c r="F151" s="42">
        <v>2.31</v>
      </c>
      <c r="G151" s="42">
        <v>4.4000000000000004</v>
      </c>
      <c r="H151" s="42">
        <v>4.8899999999999997</v>
      </c>
      <c r="I151" s="42">
        <v>1.72</v>
      </c>
      <c r="J151" s="46">
        <v>2.2400000000000002</v>
      </c>
      <c r="V151" s="44" t="s">
        <v>2480</v>
      </c>
      <c r="W151" s="42">
        <v>3.9</v>
      </c>
      <c r="X151" s="42">
        <v>4.3</v>
      </c>
      <c r="Y151" s="42">
        <v>4.1100000000000003</v>
      </c>
      <c r="Z151" s="42">
        <v>4.33</v>
      </c>
      <c r="AA151" s="42">
        <v>3.6</v>
      </c>
      <c r="AB151" s="42">
        <v>3.16</v>
      </c>
      <c r="AC151" s="42">
        <v>1.62</v>
      </c>
      <c r="AD151" s="46">
        <v>1.22</v>
      </c>
    </row>
    <row r="152" spans="2:30">
      <c r="B152" s="44" t="s">
        <v>2481</v>
      </c>
      <c r="C152" s="42">
        <v>2.97</v>
      </c>
      <c r="D152" s="42">
        <v>4.38</v>
      </c>
      <c r="E152" s="42">
        <v>5.28</v>
      </c>
      <c r="F152" s="42">
        <v>5.65</v>
      </c>
      <c r="G152" s="42">
        <v>4.33</v>
      </c>
      <c r="H152" s="42">
        <v>4.83</v>
      </c>
      <c r="I152" s="42">
        <v>1.74</v>
      </c>
      <c r="J152" s="46">
        <v>2.23</v>
      </c>
      <c r="V152" s="44" t="s">
        <v>2482</v>
      </c>
      <c r="W152" s="42">
        <v>3.93</v>
      </c>
      <c r="X152" s="42">
        <v>4.26</v>
      </c>
      <c r="Y152" s="42">
        <v>4.13</v>
      </c>
      <c r="Z152" s="42">
        <v>4.33</v>
      </c>
      <c r="AA152" s="42">
        <v>3.58</v>
      </c>
      <c r="AB152" s="42">
        <v>3.15</v>
      </c>
      <c r="AC152" s="42">
        <v>1.66</v>
      </c>
      <c r="AD152" s="46">
        <v>1.25</v>
      </c>
    </row>
    <row r="153" spans="2:30">
      <c r="B153" s="44" t="s">
        <v>2483</v>
      </c>
      <c r="C153" s="42">
        <v>2.95</v>
      </c>
      <c r="D153" s="42">
        <v>4.34</v>
      </c>
      <c r="E153" s="42">
        <v>5.27</v>
      </c>
      <c r="F153" s="42">
        <v>1.49</v>
      </c>
      <c r="G153" s="42">
        <v>4.34</v>
      </c>
      <c r="H153" s="42">
        <v>4.82</v>
      </c>
      <c r="I153" s="42">
        <v>1.73</v>
      </c>
      <c r="J153" s="46">
        <v>3.25</v>
      </c>
      <c r="V153" s="44" t="s">
        <v>2484</v>
      </c>
      <c r="W153" s="42">
        <v>3.91</v>
      </c>
      <c r="X153" s="42">
        <v>4.2699999999999996</v>
      </c>
      <c r="Y153" s="42">
        <v>4.1500000000000004</v>
      </c>
      <c r="Z153" s="42">
        <v>0.25</v>
      </c>
      <c r="AA153" s="42">
        <v>3.6</v>
      </c>
      <c r="AB153" s="42">
        <v>3.14</v>
      </c>
      <c r="AC153" s="42">
        <v>1.63</v>
      </c>
      <c r="AD153" s="46">
        <v>1.24</v>
      </c>
    </row>
    <row r="154" spans="2:30">
      <c r="B154" s="44" t="s">
        <v>2485</v>
      </c>
      <c r="C154" s="42">
        <v>3.03</v>
      </c>
      <c r="D154" s="42">
        <v>4.37</v>
      </c>
      <c r="E154" s="42">
        <v>5.28</v>
      </c>
      <c r="F154" s="42">
        <v>5.64</v>
      </c>
      <c r="G154" s="42">
        <v>4.3099999999999996</v>
      </c>
      <c r="H154" s="42">
        <v>4.79</v>
      </c>
      <c r="I154" s="42">
        <v>1.8</v>
      </c>
      <c r="J154" s="46">
        <v>2.2400000000000002</v>
      </c>
      <c r="V154" s="44" t="s">
        <v>2486</v>
      </c>
      <c r="W154" s="42">
        <v>3.91</v>
      </c>
      <c r="X154" s="42">
        <v>4.26</v>
      </c>
      <c r="Y154" s="42">
        <v>4.1500000000000004</v>
      </c>
      <c r="Z154" s="42">
        <v>4.2699999999999996</v>
      </c>
      <c r="AA154" s="42">
        <v>3.59</v>
      </c>
      <c r="AB154" s="42">
        <v>3.13</v>
      </c>
      <c r="AC154" s="42">
        <v>1.69</v>
      </c>
      <c r="AD154" s="46">
        <v>1.23</v>
      </c>
    </row>
    <row r="155" spans="2:30">
      <c r="B155" s="44" t="s">
        <v>2487</v>
      </c>
      <c r="C155" s="42">
        <v>2.96</v>
      </c>
      <c r="D155" s="42">
        <v>4.4000000000000004</v>
      </c>
      <c r="E155" s="42">
        <v>5.29</v>
      </c>
      <c r="F155" s="42">
        <v>5.61</v>
      </c>
      <c r="G155" s="42">
        <v>4.3099999999999996</v>
      </c>
      <c r="H155" s="42">
        <v>4.8</v>
      </c>
      <c r="I155" s="42">
        <v>1.72</v>
      </c>
      <c r="J155" s="46">
        <v>2.23</v>
      </c>
      <c r="V155" s="44" t="s">
        <v>2488</v>
      </c>
      <c r="W155" s="42">
        <v>3.94</v>
      </c>
      <c r="X155" s="42">
        <v>4.28</v>
      </c>
      <c r="Y155" s="42">
        <v>4.13</v>
      </c>
      <c r="Z155" s="42">
        <v>4.32</v>
      </c>
      <c r="AA155" s="42">
        <v>3.57</v>
      </c>
      <c r="AB155" s="42">
        <v>3.14</v>
      </c>
      <c r="AC155" s="42">
        <v>1.64</v>
      </c>
      <c r="AD155" s="46">
        <v>1.29</v>
      </c>
    </row>
    <row r="156" spans="2:30">
      <c r="B156" s="44" t="s">
        <v>2489</v>
      </c>
      <c r="C156" s="42">
        <v>2.98</v>
      </c>
      <c r="D156" s="42">
        <v>4.41</v>
      </c>
      <c r="E156" s="42">
        <v>3.96</v>
      </c>
      <c r="F156" s="42">
        <v>5.04</v>
      </c>
      <c r="G156" s="42">
        <v>4.3099999999999996</v>
      </c>
      <c r="H156" s="42">
        <v>4.8499999999999996</v>
      </c>
      <c r="I156" s="42">
        <v>1.77</v>
      </c>
      <c r="J156" s="46">
        <v>2.27</v>
      </c>
      <c r="V156" s="44" t="s">
        <v>2490</v>
      </c>
      <c r="W156" s="42">
        <v>3.92</v>
      </c>
      <c r="X156" s="42">
        <v>4.2699999999999996</v>
      </c>
      <c r="Y156" s="42">
        <v>4.2</v>
      </c>
      <c r="Z156" s="42">
        <v>4.34</v>
      </c>
      <c r="AA156" s="42">
        <v>3.59</v>
      </c>
      <c r="AB156" s="42">
        <v>3.13</v>
      </c>
      <c r="AC156" s="42">
        <v>1.28</v>
      </c>
      <c r="AD156" s="46">
        <v>1.34</v>
      </c>
    </row>
    <row r="157" spans="2:30">
      <c r="B157" s="44" t="s">
        <v>2491</v>
      </c>
      <c r="C157" s="42">
        <v>2.99</v>
      </c>
      <c r="D157" s="42">
        <v>4.4000000000000004</v>
      </c>
      <c r="E157" s="42">
        <v>5.26</v>
      </c>
      <c r="F157" s="42">
        <v>5.64</v>
      </c>
      <c r="G157" s="42">
        <v>4.3099999999999996</v>
      </c>
      <c r="H157" s="42">
        <v>4.7699999999999996</v>
      </c>
      <c r="I157" s="42">
        <v>1.74</v>
      </c>
      <c r="J157" s="46">
        <v>2.23</v>
      </c>
      <c r="V157" s="44" t="s">
        <v>2492</v>
      </c>
      <c r="W157" s="42">
        <v>3.05</v>
      </c>
      <c r="X157" s="42">
        <v>4.28</v>
      </c>
      <c r="Y157" s="42">
        <v>4.1399999999999997</v>
      </c>
      <c r="Z157" s="42">
        <v>4.26</v>
      </c>
      <c r="AA157" s="42">
        <v>3.64</v>
      </c>
      <c r="AB157" s="42">
        <v>3.15</v>
      </c>
      <c r="AC157" s="42">
        <v>1.63</v>
      </c>
      <c r="AD157" s="46">
        <v>1.25</v>
      </c>
    </row>
    <row r="158" spans="2:30">
      <c r="B158" s="44" t="s">
        <v>2493</v>
      </c>
      <c r="C158" s="42">
        <v>2.99</v>
      </c>
      <c r="D158" s="42">
        <v>4.41</v>
      </c>
      <c r="E158" s="42">
        <v>5.3</v>
      </c>
      <c r="F158" s="42">
        <v>5.64</v>
      </c>
      <c r="G158" s="42">
        <v>4.33</v>
      </c>
      <c r="H158" s="42">
        <v>4.93</v>
      </c>
      <c r="I158" s="42">
        <v>1.74</v>
      </c>
      <c r="J158" s="46">
        <v>2.2599999999999998</v>
      </c>
      <c r="V158" s="44" t="s">
        <v>2494</v>
      </c>
      <c r="W158" s="42">
        <v>3.9</v>
      </c>
      <c r="X158" s="42">
        <v>4.2699999999999996</v>
      </c>
      <c r="Y158" s="42">
        <v>4.1399999999999997</v>
      </c>
      <c r="Z158" s="42">
        <v>4.3499999999999996</v>
      </c>
      <c r="AA158" s="42">
        <v>3.64</v>
      </c>
      <c r="AB158" s="42">
        <v>3.11</v>
      </c>
      <c r="AC158" s="42">
        <v>1.61</v>
      </c>
      <c r="AD158" s="46">
        <v>1.26</v>
      </c>
    </row>
    <row r="159" spans="2:30">
      <c r="B159" s="44" t="s">
        <v>2495</v>
      </c>
      <c r="C159" s="42">
        <v>3.01</v>
      </c>
      <c r="D159" s="42">
        <v>4.38</v>
      </c>
      <c r="E159" s="42">
        <v>5.35</v>
      </c>
      <c r="F159" s="42">
        <v>5.64</v>
      </c>
      <c r="G159" s="42">
        <v>4.33</v>
      </c>
      <c r="H159" s="42">
        <v>4.8</v>
      </c>
      <c r="I159" s="42">
        <v>1.72</v>
      </c>
      <c r="J159" s="46">
        <v>2.21</v>
      </c>
      <c r="V159" s="44" t="s">
        <v>2496</v>
      </c>
      <c r="W159" s="42">
        <v>0.98</v>
      </c>
      <c r="X159" s="42">
        <v>4.29</v>
      </c>
      <c r="Y159" s="42">
        <v>2.06</v>
      </c>
      <c r="Z159" s="42">
        <v>4.3</v>
      </c>
      <c r="AA159" s="42">
        <v>3.63</v>
      </c>
      <c r="AB159" s="42">
        <v>3.11</v>
      </c>
      <c r="AC159" s="42">
        <v>1.66</v>
      </c>
      <c r="AD159" s="46">
        <v>1.26</v>
      </c>
    </row>
    <row r="160" spans="2:30">
      <c r="B160" s="44" t="s">
        <v>2497</v>
      </c>
      <c r="C160" s="42">
        <v>3.03</v>
      </c>
      <c r="D160" s="42">
        <v>4.3600000000000003</v>
      </c>
      <c r="E160" s="42">
        <v>5.29</v>
      </c>
      <c r="F160" s="42">
        <v>5.68</v>
      </c>
      <c r="G160" s="42">
        <v>4.32</v>
      </c>
      <c r="H160" s="42">
        <v>4.8099999999999996</v>
      </c>
      <c r="I160" s="42">
        <v>1.78</v>
      </c>
      <c r="J160" s="46">
        <v>2.27</v>
      </c>
      <c r="V160" s="44" t="s">
        <v>2498</v>
      </c>
      <c r="W160" s="42">
        <v>3.91</v>
      </c>
      <c r="X160" s="42">
        <v>4.29</v>
      </c>
      <c r="Y160" s="42">
        <v>4.22</v>
      </c>
      <c r="Z160" s="42">
        <v>4.32</v>
      </c>
      <c r="AA160" s="42">
        <v>3.64</v>
      </c>
      <c r="AB160" s="42">
        <v>3.14</v>
      </c>
      <c r="AC160" s="42">
        <v>1.62</v>
      </c>
      <c r="AD160" s="46">
        <v>1.21</v>
      </c>
    </row>
    <row r="161" spans="2:30">
      <c r="B161" s="44" t="s">
        <v>2499</v>
      </c>
      <c r="C161" s="42">
        <v>3</v>
      </c>
      <c r="D161" s="42">
        <v>4.37</v>
      </c>
      <c r="E161" s="42">
        <v>5.36</v>
      </c>
      <c r="F161" s="42">
        <v>5.64</v>
      </c>
      <c r="G161" s="42">
        <v>4.3499999999999996</v>
      </c>
      <c r="H161" s="42">
        <v>4.8499999999999996</v>
      </c>
      <c r="I161" s="42">
        <v>1.76</v>
      </c>
      <c r="J161" s="46">
        <v>2.31</v>
      </c>
      <c r="V161" s="44" t="s">
        <v>2500</v>
      </c>
      <c r="W161" s="42">
        <v>3.91</v>
      </c>
      <c r="X161" s="42">
        <v>4.28</v>
      </c>
      <c r="Y161" s="42">
        <v>4.1399999999999997</v>
      </c>
      <c r="Z161" s="42">
        <v>4.3</v>
      </c>
      <c r="AA161" s="42">
        <v>3.58</v>
      </c>
      <c r="AB161" s="42">
        <v>3.13</v>
      </c>
      <c r="AC161" s="42">
        <v>1.63</v>
      </c>
      <c r="AD161" s="46">
        <v>1.22</v>
      </c>
    </row>
    <row r="162" spans="2:30">
      <c r="B162" s="44" t="s">
        <v>2501</v>
      </c>
      <c r="C162" s="42">
        <v>2.98</v>
      </c>
      <c r="D162" s="42">
        <v>2.1800000000000002</v>
      </c>
      <c r="E162" s="42">
        <v>4.51</v>
      </c>
      <c r="F162" s="42">
        <v>5.64</v>
      </c>
      <c r="G162" s="42">
        <v>4.3499999999999996</v>
      </c>
      <c r="H162" s="42">
        <v>4.79</v>
      </c>
      <c r="I162" s="42">
        <v>1.79</v>
      </c>
      <c r="J162" s="46">
        <v>2.23</v>
      </c>
      <c r="V162" s="44" t="s">
        <v>2502</v>
      </c>
      <c r="W162" s="42">
        <v>3.91</v>
      </c>
      <c r="X162" s="42">
        <v>4.26</v>
      </c>
      <c r="Y162" s="42">
        <v>4.17</v>
      </c>
      <c r="Z162" s="42">
        <v>4.3099999999999996</v>
      </c>
      <c r="AA162" s="42">
        <v>3.64</v>
      </c>
      <c r="AB162" s="42">
        <v>3.11</v>
      </c>
      <c r="AC162" s="42">
        <v>1.64</v>
      </c>
      <c r="AD162" s="46">
        <v>1.2</v>
      </c>
    </row>
    <row r="163" spans="2:30">
      <c r="B163" s="44" t="s">
        <v>2503</v>
      </c>
      <c r="C163" s="42">
        <v>3.02</v>
      </c>
      <c r="D163" s="42">
        <v>4.3600000000000003</v>
      </c>
      <c r="E163" s="42">
        <v>5.31</v>
      </c>
      <c r="F163" s="42">
        <v>5.63</v>
      </c>
      <c r="G163" s="42">
        <v>4.3099999999999996</v>
      </c>
      <c r="H163" s="42">
        <v>4.8099999999999996</v>
      </c>
      <c r="I163" s="42">
        <v>1.8</v>
      </c>
      <c r="J163" s="46">
        <v>2.19</v>
      </c>
      <c r="V163" s="44" t="s">
        <v>2504</v>
      </c>
      <c r="W163" s="42">
        <v>3.92</v>
      </c>
      <c r="X163" s="42">
        <v>4.2699999999999996</v>
      </c>
      <c r="Y163" s="42">
        <v>4.17</v>
      </c>
      <c r="Z163" s="42">
        <v>4.28</v>
      </c>
      <c r="AA163" s="42">
        <v>3.62</v>
      </c>
      <c r="AB163" s="42">
        <v>3.15</v>
      </c>
      <c r="AC163" s="42">
        <v>1.63</v>
      </c>
      <c r="AD163" s="46">
        <v>1.23</v>
      </c>
    </row>
    <row r="164" spans="2:30">
      <c r="B164" s="44" t="s">
        <v>2505</v>
      </c>
      <c r="C164" s="42">
        <v>2.99</v>
      </c>
      <c r="D164" s="42">
        <v>4.3600000000000003</v>
      </c>
      <c r="E164" s="42">
        <v>5.3</v>
      </c>
      <c r="F164" s="42">
        <v>5.64</v>
      </c>
      <c r="G164" s="42">
        <v>4.29</v>
      </c>
      <c r="H164" s="42">
        <v>4.8099999999999996</v>
      </c>
      <c r="I164" s="42">
        <v>1.79</v>
      </c>
      <c r="J164" s="46">
        <v>2.23</v>
      </c>
      <c r="V164" s="44" t="s">
        <v>2506</v>
      </c>
      <c r="W164" s="42">
        <v>3.93</v>
      </c>
      <c r="X164" s="42">
        <v>4.25</v>
      </c>
      <c r="Y164" s="42">
        <v>4.1399999999999997</v>
      </c>
      <c r="Z164" s="42">
        <v>4.28</v>
      </c>
      <c r="AA164" s="42">
        <v>3.64</v>
      </c>
      <c r="AB164" s="42">
        <v>3.11</v>
      </c>
      <c r="AC164" s="42">
        <v>1.62</v>
      </c>
      <c r="AD164" s="46">
        <v>1.27</v>
      </c>
    </row>
    <row r="165" spans="2:30">
      <c r="B165" s="44" t="s">
        <v>2507</v>
      </c>
      <c r="C165" s="42">
        <v>3</v>
      </c>
      <c r="D165" s="42">
        <v>4.3899999999999997</v>
      </c>
      <c r="E165" s="42">
        <v>5.29</v>
      </c>
      <c r="F165" s="42">
        <v>5.63</v>
      </c>
      <c r="G165" s="42">
        <v>4.3600000000000003</v>
      </c>
      <c r="H165" s="42">
        <v>4.82</v>
      </c>
      <c r="I165" s="42">
        <v>1.77</v>
      </c>
      <c r="J165" s="46">
        <v>2.2799999999999998</v>
      </c>
      <c r="V165" s="44" t="s">
        <v>2508</v>
      </c>
      <c r="W165" s="42">
        <v>3.92</v>
      </c>
      <c r="X165" s="42">
        <v>4.2699999999999996</v>
      </c>
      <c r="Y165" s="42">
        <v>4.1399999999999997</v>
      </c>
      <c r="Z165" s="42">
        <v>4.3</v>
      </c>
      <c r="AA165" s="42">
        <v>3.61</v>
      </c>
      <c r="AB165" s="42">
        <v>3.15</v>
      </c>
      <c r="AC165" s="42">
        <v>1.63</v>
      </c>
      <c r="AD165" s="46">
        <v>1.31</v>
      </c>
    </row>
    <row r="166" spans="2:30">
      <c r="B166" s="44" t="s">
        <v>2509</v>
      </c>
      <c r="C166" s="42">
        <v>2.97</v>
      </c>
      <c r="D166" s="42">
        <v>4.3899999999999997</v>
      </c>
      <c r="E166" s="42">
        <v>5.32</v>
      </c>
      <c r="F166" s="42">
        <v>4.4400000000000004</v>
      </c>
      <c r="G166" s="42">
        <v>4.33</v>
      </c>
      <c r="H166" s="42">
        <v>4.8099999999999996</v>
      </c>
      <c r="I166" s="42">
        <v>1.77</v>
      </c>
      <c r="J166" s="46">
        <v>1.92</v>
      </c>
      <c r="V166" s="44" t="s">
        <v>2510</v>
      </c>
      <c r="W166" s="42">
        <v>3.92</v>
      </c>
      <c r="X166" s="42">
        <v>4.2699999999999996</v>
      </c>
      <c r="Y166" s="42">
        <v>4.18</v>
      </c>
      <c r="Z166" s="42">
        <v>99.99</v>
      </c>
      <c r="AA166" s="42">
        <v>3.58</v>
      </c>
      <c r="AB166" s="42">
        <v>3.14</v>
      </c>
      <c r="AC166" s="42">
        <v>1.62</v>
      </c>
      <c r="AD166" s="46">
        <v>1.25</v>
      </c>
    </row>
    <row r="167" spans="2:30">
      <c r="B167" s="44" t="s">
        <v>2511</v>
      </c>
      <c r="C167" s="42">
        <v>3.02</v>
      </c>
      <c r="D167" s="42">
        <v>4.4000000000000004</v>
      </c>
      <c r="E167" s="42">
        <v>5.33</v>
      </c>
      <c r="F167" s="42">
        <v>4.57</v>
      </c>
      <c r="G167" s="42">
        <v>4.33</v>
      </c>
      <c r="H167" s="42">
        <v>4.8899999999999997</v>
      </c>
      <c r="I167" s="42">
        <v>1.76</v>
      </c>
      <c r="J167" s="46">
        <v>3.27</v>
      </c>
      <c r="V167" s="44" t="s">
        <v>2512</v>
      </c>
      <c r="W167" s="42">
        <v>3.91</v>
      </c>
      <c r="X167" s="42">
        <v>4.28</v>
      </c>
      <c r="Y167" s="42">
        <v>4.13</v>
      </c>
      <c r="Z167" s="42">
        <v>4.29</v>
      </c>
      <c r="AA167" s="42">
        <v>3.59</v>
      </c>
      <c r="AB167" s="42">
        <v>3.13</v>
      </c>
      <c r="AC167" s="42">
        <v>1.64</v>
      </c>
      <c r="AD167" s="46">
        <v>1.25</v>
      </c>
    </row>
    <row r="168" spans="2:30">
      <c r="B168" s="44" t="s">
        <v>2513</v>
      </c>
      <c r="C168" s="42">
        <v>3.03</v>
      </c>
      <c r="D168" s="42">
        <v>4.4000000000000004</v>
      </c>
      <c r="E168" s="42">
        <v>5.3</v>
      </c>
      <c r="F168" s="42">
        <v>5.64</v>
      </c>
      <c r="G168" s="42">
        <v>4.34</v>
      </c>
      <c r="H168" s="42">
        <v>4.8099999999999996</v>
      </c>
      <c r="I168" s="42">
        <v>1.73</v>
      </c>
      <c r="J168" s="46">
        <v>2.27</v>
      </c>
      <c r="V168" s="44" t="s">
        <v>2514</v>
      </c>
      <c r="W168" s="42">
        <v>3.94</v>
      </c>
      <c r="X168" s="42">
        <v>2.34</v>
      </c>
      <c r="Y168" s="42">
        <v>4.16</v>
      </c>
      <c r="Z168" s="42">
        <v>4.2699999999999996</v>
      </c>
      <c r="AA168" s="42">
        <v>3.57</v>
      </c>
      <c r="AB168" s="42">
        <v>3.13</v>
      </c>
      <c r="AC168" s="42">
        <v>1.64</v>
      </c>
      <c r="AD168" s="46">
        <v>1.27</v>
      </c>
    </row>
    <row r="169" spans="2:30">
      <c r="B169" s="44" t="s">
        <v>2515</v>
      </c>
      <c r="C169" s="42">
        <v>3.02</v>
      </c>
      <c r="D169" s="42">
        <v>4.3600000000000003</v>
      </c>
      <c r="E169" s="42">
        <v>5.28</v>
      </c>
      <c r="F169" s="42">
        <v>5.63</v>
      </c>
      <c r="G169" s="42">
        <v>4.3499999999999996</v>
      </c>
      <c r="H169" s="42">
        <v>4.88</v>
      </c>
      <c r="I169" s="42">
        <v>1.73</v>
      </c>
      <c r="J169" s="46">
        <v>2.29</v>
      </c>
      <c r="V169" s="44" t="s">
        <v>2516</v>
      </c>
      <c r="W169" s="42">
        <v>3.9</v>
      </c>
      <c r="X169" s="42">
        <v>4.26</v>
      </c>
      <c r="Y169" s="42">
        <v>4.17</v>
      </c>
      <c r="Z169" s="42">
        <v>4.25</v>
      </c>
      <c r="AA169" s="42">
        <v>3.58</v>
      </c>
      <c r="AB169" s="42">
        <v>3.13</v>
      </c>
      <c r="AC169" s="42">
        <v>1.61</v>
      </c>
      <c r="AD169" s="46">
        <v>1.26</v>
      </c>
    </row>
    <row r="170" spans="2:30">
      <c r="B170" s="44" t="s">
        <v>2517</v>
      </c>
      <c r="C170" s="42">
        <v>3</v>
      </c>
      <c r="D170" s="42">
        <v>4.3899999999999997</v>
      </c>
      <c r="E170" s="42">
        <v>5.26</v>
      </c>
      <c r="F170" s="42">
        <v>5.63</v>
      </c>
      <c r="G170" s="42">
        <v>4.33</v>
      </c>
      <c r="H170" s="42">
        <v>4.83</v>
      </c>
      <c r="I170" s="42">
        <v>1.73</v>
      </c>
      <c r="J170" s="46">
        <v>2.2400000000000002</v>
      </c>
      <c r="V170" s="44" t="s">
        <v>2518</v>
      </c>
      <c r="W170" s="42">
        <v>3.89</v>
      </c>
      <c r="X170" s="42">
        <v>4.3</v>
      </c>
      <c r="Y170" s="42">
        <v>4.12</v>
      </c>
      <c r="Z170" s="42">
        <v>4.3600000000000003</v>
      </c>
      <c r="AA170" s="42">
        <v>3.58</v>
      </c>
      <c r="AB170" s="42">
        <v>3.11</v>
      </c>
      <c r="AC170" s="42">
        <v>1.62</v>
      </c>
      <c r="AD170" s="46">
        <v>1.24</v>
      </c>
    </row>
    <row r="171" spans="2:30">
      <c r="B171" s="44" t="s">
        <v>2519</v>
      </c>
      <c r="C171" s="42">
        <v>3.01</v>
      </c>
      <c r="D171" s="42">
        <v>4.38</v>
      </c>
      <c r="E171" s="42">
        <v>5.24</v>
      </c>
      <c r="F171" s="42">
        <v>5.63</v>
      </c>
      <c r="G171" s="42">
        <v>4.32</v>
      </c>
      <c r="H171" s="42">
        <v>2.42</v>
      </c>
      <c r="I171" s="42">
        <v>1.73</v>
      </c>
      <c r="J171" s="46">
        <v>2.2400000000000002</v>
      </c>
      <c r="V171" s="44" t="s">
        <v>2520</v>
      </c>
      <c r="W171" s="42">
        <v>2.63</v>
      </c>
      <c r="X171" s="42">
        <v>4.26</v>
      </c>
      <c r="Y171" s="42">
        <v>4.2</v>
      </c>
      <c r="Z171" s="42">
        <v>4.32</v>
      </c>
      <c r="AA171" s="42">
        <v>3.62</v>
      </c>
      <c r="AB171" s="42">
        <v>3.15</v>
      </c>
      <c r="AC171" s="42">
        <v>1.63</v>
      </c>
      <c r="AD171" s="46">
        <v>1.24</v>
      </c>
    </row>
    <row r="172" spans="2:30">
      <c r="B172" s="44" t="s">
        <v>2521</v>
      </c>
      <c r="C172" s="42">
        <v>1.17</v>
      </c>
      <c r="D172" s="42">
        <v>4.4000000000000004</v>
      </c>
      <c r="E172" s="42">
        <v>5.28</v>
      </c>
      <c r="F172" s="42">
        <v>5.64</v>
      </c>
      <c r="G172" s="42">
        <v>4.32</v>
      </c>
      <c r="H172" s="42">
        <v>4.8600000000000003</v>
      </c>
      <c r="I172" s="42">
        <v>1.75</v>
      </c>
      <c r="J172" s="46">
        <v>2.2999999999999998</v>
      </c>
      <c r="V172" s="44" t="s">
        <v>2522</v>
      </c>
      <c r="W172" s="42">
        <v>3.92</v>
      </c>
      <c r="X172" s="42">
        <v>4.3</v>
      </c>
      <c r="Y172" s="42">
        <v>4.13</v>
      </c>
      <c r="Z172" s="42">
        <v>4.4000000000000004</v>
      </c>
      <c r="AA172" s="42">
        <v>3.56</v>
      </c>
      <c r="AB172" s="42">
        <v>3.12</v>
      </c>
      <c r="AC172" s="42">
        <v>1.6</v>
      </c>
      <c r="AD172" s="46">
        <v>1.25</v>
      </c>
    </row>
    <row r="173" spans="2:30" ht="15.75" thickBot="1">
      <c r="B173" s="44" t="s">
        <v>2523</v>
      </c>
      <c r="C173" s="42">
        <v>2.95</v>
      </c>
      <c r="D173" s="42">
        <v>4.38</v>
      </c>
      <c r="E173" s="42">
        <v>5.3</v>
      </c>
      <c r="F173" s="42">
        <v>5.62</v>
      </c>
      <c r="G173" s="42">
        <v>4.32</v>
      </c>
      <c r="H173" s="42">
        <v>4.8899999999999997</v>
      </c>
      <c r="I173" s="42">
        <v>1.76</v>
      </c>
      <c r="J173" s="46">
        <v>2.2200000000000002</v>
      </c>
      <c r="V173" s="44" t="s">
        <v>2524</v>
      </c>
      <c r="W173" s="42">
        <v>3.9</v>
      </c>
      <c r="X173" s="42">
        <v>4.2699999999999996</v>
      </c>
      <c r="Y173" s="42">
        <v>4.16</v>
      </c>
      <c r="Z173" s="42">
        <v>4.32</v>
      </c>
      <c r="AA173" s="42">
        <v>3.61</v>
      </c>
      <c r="AB173" s="42">
        <v>3.11</v>
      </c>
      <c r="AC173" s="42">
        <v>1.62</v>
      </c>
      <c r="AD173" s="46">
        <v>1.36</v>
      </c>
    </row>
    <row r="174" spans="2:30">
      <c r="B174" s="45" t="s">
        <v>936</v>
      </c>
      <c r="C174" s="42">
        <v>2.9465294117647001</v>
      </c>
      <c r="D174" s="42">
        <v>4.2850318471337498</v>
      </c>
      <c r="E174" s="42">
        <v>5.1081764705882202</v>
      </c>
      <c r="F174" s="42">
        <v>5.1088235294117599</v>
      </c>
      <c r="G174" s="42">
        <v>4.1863905325443804</v>
      </c>
      <c r="H174" s="42">
        <v>4.5047647058823497</v>
      </c>
      <c r="I174" s="42">
        <v>1.7452976190476199</v>
      </c>
      <c r="J174" s="46">
        <v>2.2166272189349101</v>
      </c>
      <c r="V174" s="44" t="s">
        <v>2525</v>
      </c>
      <c r="W174" s="42">
        <v>2.48</v>
      </c>
      <c r="X174" s="42">
        <v>4.2699999999999996</v>
      </c>
      <c r="Y174" s="42">
        <v>4.17</v>
      </c>
      <c r="Z174" s="42">
        <v>4.3</v>
      </c>
      <c r="AA174" s="42">
        <v>3.62</v>
      </c>
      <c r="AB174" s="42">
        <v>3.14</v>
      </c>
      <c r="AC174" s="42">
        <v>1.65</v>
      </c>
      <c r="AD174" s="46">
        <v>1.24</v>
      </c>
    </row>
    <row r="175" spans="2:30">
      <c r="B175" s="47" t="s">
        <v>515</v>
      </c>
      <c r="C175" s="42">
        <v>0.31924775878287498</v>
      </c>
      <c r="D175" s="42">
        <v>0.49759629123361998</v>
      </c>
      <c r="E175" s="42">
        <v>0.80827024712502005</v>
      </c>
      <c r="F175" s="42">
        <v>1.2714608659191999</v>
      </c>
      <c r="G175" s="42">
        <v>0.56256228175830703</v>
      </c>
      <c r="H175" s="42">
        <v>0.89300431653075496</v>
      </c>
      <c r="I175" s="42">
        <v>8.2965322612738798E-2</v>
      </c>
      <c r="J175" s="46">
        <v>0.41587561803179901</v>
      </c>
      <c r="V175" s="44" t="s">
        <v>2526</v>
      </c>
      <c r="W175" s="42">
        <v>3.93</v>
      </c>
      <c r="X175" s="42">
        <v>4.28</v>
      </c>
      <c r="Y175" s="42">
        <v>4.1399999999999997</v>
      </c>
      <c r="Z175" s="42">
        <v>0.72</v>
      </c>
      <c r="AA175" s="42">
        <v>3.67</v>
      </c>
      <c r="AB175" s="42">
        <v>3.17</v>
      </c>
      <c r="AC175" s="42">
        <v>1.66</v>
      </c>
      <c r="AD175" s="46">
        <v>1.21</v>
      </c>
    </row>
    <row r="176" spans="2:30">
      <c r="B176" s="47" t="s">
        <v>520</v>
      </c>
      <c r="C176" s="42">
        <v>3.26577717054758</v>
      </c>
      <c r="D176" s="42">
        <v>4.7826281383673699</v>
      </c>
      <c r="E176" s="42">
        <v>5.9164467177132396</v>
      </c>
      <c r="F176" s="42">
        <v>6.3802843953309596</v>
      </c>
      <c r="G176" s="42">
        <v>4.7489528143026796</v>
      </c>
      <c r="H176" s="42">
        <v>5.3977690224131001</v>
      </c>
      <c r="I176" s="42">
        <v>1.82826294166035</v>
      </c>
      <c r="J176" s="46">
        <v>2.6325028369667098</v>
      </c>
      <c r="V176" s="44" t="s">
        <v>2527</v>
      </c>
      <c r="W176" s="42">
        <v>3.9</v>
      </c>
      <c r="X176" s="42">
        <v>4.26</v>
      </c>
      <c r="Y176" s="42">
        <v>4.1100000000000003</v>
      </c>
      <c r="Z176" s="42">
        <v>4.26</v>
      </c>
      <c r="AA176" s="42">
        <v>3.61</v>
      </c>
      <c r="AB176" s="42">
        <v>3.11</v>
      </c>
      <c r="AC176" s="42">
        <v>1.61</v>
      </c>
      <c r="AD176" s="46">
        <v>1.24</v>
      </c>
    </row>
    <row r="177" spans="2:30">
      <c r="B177" s="47" t="s">
        <v>525</v>
      </c>
      <c r="C177" s="42">
        <v>2.6272816529818201</v>
      </c>
      <c r="D177" s="42">
        <v>3.7874355559001298</v>
      </c>
      <c r="E177" s="42">
        <v>4.2999062234632</v>
      </c>
      <c r="F177" s="42">
        <v>3.83736266349255</v>
      </c>
      <c r="G177" s="42">
        <v>3.6238282507860702</v>
      </c>
      <c r="H177" s="42">
        <v>3.6117603893515899</v>
      </c>
      <c r="I177" s="42">
        <v>1.6623322964348799</v>
      </c>
      <c r="J177" s="46">
        <v>1.8007516009031099</v>
      </c>
      <c r="V177" s="44" t="s">
        <v>2528</v>
      </c>
      <c r="W177" s="42">
        <v>3.91</v>
      </c>
      <c r="X177" s="42">
        <v>4.29</v>
      </c>
      <c r="Y177" s="42">
        <v>1.48</v>
      </c>
      <c r="Z177" s="42">
        <v>4.26</v>
      </c>
      <c r="AA177" s="42">
        <v>3.6</v>
      </c>
      <c r="AB177" s="42">
        <v>3.11</v>
      </c>
      <c r="AC177" s="42">
        <v>1.63</v>
      </c>
      <c r="AD177" s="46">
        <v>1.29</v>
      </c>
    </row>
    <row r="178" spans="2:30" ht="15.75" thickBot="1">
      <c r="B178" s="48" t="s">
        <v>937</v>
      </c>
      <c r="C178" s="49">
        <v>2.9992121212121199</v>
      </c>
      <c r="D178" s="49">
        <v>4.3873333333333298</v>
      </c>
      <c r="E178" s="49">
        <v>5.29199999999999</v>
      </c>
      <c r="F178" s="49">
        <v>5.5046052631578899</v>
      </c>
      <c r="G178" s="49">
        <v>4.3247770700636901</v>
      </c>
      <c r="H178" s="49">
        <v>4.7989999999999897</v>
      </c>
      <c r="I178" s="49">
        <v>1.7510240963855399</v>
      </c>
      <c r="J178" s="50">
        <v>2.2564189189189201</v>
      </c>
      <c r="V178" s="44" t="s">
        <v>2529</v>
      </c>
      <c r="W178" s="42">
        <v>3.91</v>
      </c>
      <c r="X178" s="42">
        <v>4.29</v>
      </c>
      <c r="Y178" s="42">
        <v>4.13</v>
      </c>
      <c r="Z178" s="42">
        <v>4.29</v>
      </c>
      <c r="AA178" s="42">
        <v>3.61</v>
      </c>
      <c r="AB178" s="42">
        <v>3.15</v>
      </c>
      <c r="AC178" s="42">
        <v>1.62</v>
      </c>
      <c r="AD178" s="46">
        <v>1.23</v>
      </c>
    </row>
    <row r="179" spans="2:30" ht="15.75" thickBot="1">
      <c r="V179" s="44" t="s">
        <v>2530</v>
      </c>
      <c r="W179" s="42">
        <v>3.92</v>
      </c>
      <c r="X179" s="42">
        <v>4.26</v>
      </c>
      <c r="Y179" s="42">
        <v>4.1399999999999997</v>
      </c>
      <c r="Z179" s="42">
        <v>4.37</v>
      </c>
      <c r="AA179" s="42">
        <v>3.43</v>
      </c>
      <c r="AB179" s="42">
        <v>3.16</v>
      </c>
      <c r="AC179" s="42">
        <v>1.63</v>
      </c>
      <c r="AD179" s="46">
        <v>1.2</v>
      </c>
    </row>
    <row r="180" spans="2:30">
      <c r="B180" s="51" t="s">
        <v>1673</v>
      </c>
      <c r="C180" s="8">
        <v>3.04</v>
      </c>
      <c r="D180" s="8">
        <v>4.01</v>
      </c>
      <c r="E180" s="8">
        <v>5.24</v>
      </c>
      <c r="F180" s="8">
        <v>5.77</v>
      </c>
      <c r="G180" s="8">
        <v>4.1900000000000004</v>
      </c>
      <c r="H180" s="8">
        <v>4.38</v>
      </c>
      <c r="I180" s="8">
        <v>1.55</v>
      </c>
      <c r="J180" s="9">
        <v>2.41</v>
      </c>
      <c r="V180" s="44" t="s">
        <v>2531</v>
      </c>
      <c r="W180" s="42">
        <v>3.92</v>
      </c>
      <c r="X180" s="42">
        <v>4.2699999999999996</v>
      </c>
      <c r="Y180" s="42">
        <v>4.24</v>
      </c>
      <c r="Z180" s="42">
        <v>4.32</v>
      </c>
      <c r="AA180" s="42">
        <v>1.94</v>
      </c>
      <c r="AB180" s="42">
        <v>3.14</v>
      </c>
      <c r="AC180" s="42">
        <v>1.63</v>
      </c>
      <c r="AD180" s="46">
        <v>1.25</v>
      </c>
    </row>
    <row r="181" spans="2:30">
      <c r="B181" s="52" t="s">
        <v>945</v>
      </c>
      <c r="C181" s="11">
        <f t="shared" ref="C181:J181" si="44">C180-C178</f>
        <v>4.078787878788015E-2</v>
      </c>
      <c r="D181" s="11">
        <f t="shared" si="44"/>
        <v>-0.37733333333332997</v>
      </c>
      <c r="E181" s="11">
        <f t="shared" si="44"/>
        <v>-5.1999999999989832E-2</v>
      </c>
      <c r="F181" s="11">
        <f t="shared" si="44"/>
        <v>0.26539473684210968</v>
      </c>
      <c r="G181" s="11">
        <f t="shared" si="44"/>
        <v>-0.13477707006368966</v>
      </c>
      <c r="H181" s="11">
        <f t="shared" si="44"/>
        <v>-0.41899999999998983</v>
      </c>
      <c r="I181" s="11">
        <f t="shared" si="44"/>
        <v>-0.20102409638553986</v>
      </c>
      <c r="J181" s="12">
        <f t="shared" si="44"/>
        <v>0.15358108108108004</v>
      </c>
      <c r="V181" s="44" t="s">
        <v>2532</v>
      </c>
      <c r="W181" s="42">
        <v>3.92</v>
      </c>
      <c r="X181" s="42">
        <v>4.2699999999999996</v>
      </c>
      <c r="Y181" s="42">
        <v>4.17</v>
      </c>
      <c r="Z181" s="42">
        <v>4.29</v>
      </c>
      <c r="AA181" s="42">
        <v>3.61</v>
      </c>
      <c r="AB181" s="42">
        <v>3.12</v>
      </c>
      <c r="AC181" s="42">
        <v>1.63</v>
      </c>
      <c r="AD181" s="46">
        <v>1.25</v>
      </c>
    </row>
    <row r="182" spans="2:30" ht="15.75" thickBot="1">
      <c r="B182" s="53" t="s">
        <v>946</v>
      </c>
      <c r="C182" s="14">
        <f>(C181/C178)*100</f>
        <v>1.3599531190009957</v>
      </c>
      <c r="D182" s="14">
        <f t="shared" ref="D182:H182" si="45">(D181/D178)*100</f>
        <v>-8.6005166388086227</v>
      </c>
      <c r="E182" s="14">
        <f t="shared" si="45"/>
        <v>-0.98261526832936386</v>
      </c>
      <c r="F182" s="14">
        <f t="shared" si="45"/>
        <v>4.8213218596869494</v>
      </c>
      <c r="G182" s="14">
        <f>(G181/G178)*100</f>
        <v>-3.1163934667667119</v>
      </c>
      <c r="H182" s="14">
        <f t="shared" si="45"/>
        <v>-8.7309856220043898</v>
      </c>
      <c r="I182" s="14">
        <f>(I181/I178)*100</f>
        <v>-11.480372931502963</v>
      </c>
      <c r="J182" s="15">
        <f>(J181/J178)*100</f>
        <v>6.8064081449318259</v>
      </c>
      <c r="V182" s="44" t="s">
        <v>2533</v>
      </c>
      <c r="W182" s="42">
        <v>3.91</v>
      </c>
      <c r="X182" s="42">
        <v>4.26</v>
      </c>
      <c r="Y182" s="42">
        <v>4.17</v>
      </c>
      <c r="Z182" s="42">
        <v>4.29</v>
      </c>
      <c r="AA182" s="42">
        <v>3.58</v>
      </c>
      <c r="AB182" s="42">
        <v>3.14</v>
      </c>
      <c r="AC182" s="42">
        <v>1.59</v>
      </c>
      <c r="AD182" s="46">
        <v>1.25</v>
      </c>
    </row>
    <row r="183" spans="2:30" ht="15.75" thickBot="1">
      <c r="V183" s="44" t="s">
        <v>2534</v>
      </c>
      <c r="W183" s="42">
        <v>3.93</v>
      </c>
      <c r="X183" s="42">
        <v>4.28</v>
      </c>
      <c r="Y183" s="42">
        <v>4.1500000000000004</v>
      </c>
      <c r="Z183" s="42">
        <v>4.3</v>
      </c>
      <c r="AA183" s="42">
        <v>3.6</v>
      </c>
      <c r="AB183" s="42">
        <v>3.14</v>
      </c>
      <c r="AC183" s="42">
        <v>1.63</v>
      </c>
      <c r="AD183" s="46">
        <v>1.25</v>
      </c>
    </row>
    <row r="184" spans="2:30" ht="30">
      <c r="B184" s="82" t="s">
        <v>553</v>
      </c>
      <c r="C184" s="8">
        <v>2.99</v>
      </c>
      <c r="D184" s="8">
        <v>4.18</v>
      </c>
      <c r="E184" s="8">
        <v>5.28</v>
      </c>
      <c r="F184" s="8">
        <v>5.69</v>
      </c>
      <c r="G184" s="8">
        <v>4.22</v>
      </c>
      <c r="H184" s="8">
        <v>4.3899999999999997</v>
      </c>
      <c r="I184" s="8">
        <v>1.62</v>
      </c>
      <c r="J184" s="9">
        <v>2.44</v>
      </c>
      <c r="V184" s="44" t="s">
        <v>2535</v>
      </c>
      <c r="W184" s="42">
        <v>3.9</v>
      </c>
      <c r="X184" s="42">
        <v>4.28</v>
      </c>
      <c r="Y184" s="42">
        <v>4.1500000000000004</v>
      </c>
      <c r="Z184" s="42">
        <v>4.32</v>
      </c>
      <c r="AA184" s="42">
        <v>3.56</v>
      </c>
      <c r="AB184" s="42">
        <v>3.11</v>
      </c>
      <c r="AC184" s="42">
        <v>1.6</v>
      </c>
      <c r="AD184" s="46">
        <v>1.22</v>
      </c>
    </row>
    <row r="185" spans="2:30">
      <c r="B185" s="52" t="s">
        <v>539</v>
      </c>
      <c r="C185" s="11">
        <f t="shared" ref="C185:J185" si="46">C184-C178</f>
        <v>-9.2121212121196727E-3</v>
      </c>
      <c r="D185" s="11">
        <f t="shared" si="46"/>
        <v>-0.20733333333333004</v>
      </c>
      <c r="E185" s="11">
        <f t="shared" si="46"/>
        <v>-1.1999999999989797E-2</v>
      </c>
      <c r="F185" s="11">
        <f t="shared" si="46"/>
        <v>0.1853947368421105</v>
      </c>
      <c r="G185" s="11">
        <f t="shared" si="46"/>
        <v>-0.1047770700636903</v>
      </c>
      <c r="H185" s="11">
        <f t="shared" si="46"/>
        <v>-0.40899999999999004</v>
      </c>
      <c r="I185" s="11">
        <f t="shared" si="46"/>
        <v>-0.1310240963855398</v>
      </c>
      <c r="J185" s="12">
        <f t="shared" si="46"/>
        <v>0.18358108108107984</v>
      </c>
      <c r="V185" s="44" t="s">
        <v>2536</v>
      </c>
      <c r="W185" s="42">
        <v>3.94</v>
      </c>
      <c r="X185" s="42">
        <v>4.2699999999999996</v>
      </c>
      <c r="Y185" s="42">
        <v>4.1900000000000004</v>
      </c>
      <c r="Z185" s="42">
        <v>4.29</v>
      </c>
      <c r="AA185" s="42">
        <v>0.96</v>
      </c>
      <c r="AB185" s="42">
        <v>3.12</v>
      </c>
      <c r="AC185" s="42">
        <v>1.65</v>
      </c>
      <c r="AD185" s="46">
        <v>0</v>
      </c>
    </row>
    <row r="186" spans="2:30" ht="15.75" thickBot="1">
      <c r="B186" s="53" t="s">
        <v>544</v>
      </c>
      <c r="C186" s="14">
        <f>(C185/C178)*100</f>
        <v>-0.30715137308783047</v>
      </c>
      <c r="D186" s="14">
        <f>(D185/D178)*100</f>
        <v>-4.7257255736209594</v>
      </c>
      <c r="E186" s="14">
        <f>(E185/E178)*100</f>
        <v>-0.22675736961432011</v>
      </c>
      <c r="F186" s="14">
        <f>(F185/F178)*100</f>
        <v>3.3679933070396579</v>
      </c>
      <c r="G186" s="14">
        <f>(G185/G178)*100</f>
        <v>-2.4227160930204263</v>
      </c>
      <c r="H186" s="14">
        <f t="shared" ref="H186" si="47">(H185/H178)*100</f>
        <v>-8.5226088768491532</v>
      </c>
      <c r="I186" s="14">
        <f>(I185/I178)*100</f>
        <v>-7.4827123542159963</v>
      </c>
      <c r="J186" s="15">
        <f>(J185/J178)*100</f>
        <v>8.1359484952836674</v>
      </c>
      <c r="V186" s="44" t="s">
        <v>2537</v>
      </c>
      <c r="W186" s="42">
        <v>3.92</v>
      </c>
      <c r="X186" s="42">
        <v>4.25</v>
      </c>
      <c r="Y186" s="42">
        <v>4.13</v>
      </c>
      <c r="Z186" s="42">
        <v>3.3</v>
      </c>
      <c r="AA186" s="42">
        <v>3.59</v>
      </c>
      <c r="AB186" s="42">
        <v>3.11</v>
      </c>
      <c r="AC186" s="42">
        <v>1.67</v>
      </c>
      <c r="AD186" s="46">
        <v>1.24</v>
      </c>
    </row>
    <row r="187" spans="2:30" ht="15.75" thickBot="1">
      <c r="V187" s="44" t="s">
        <v>2538</v>
      </c>
      <c r="W187" s="42">
        <v>3.12</v>
      </c>
      <c r="X187" s="42">
        <v>4.2699999999999996</v>
      </c>
      <c r="Y187" s="42">
        <v>4.13</v>
      </c>
      <c r="Z187" s="42">
        <v>4.3</v>
      </c>
      <c r="AA187" s="42">
        <v>3.63</v>
      </c>
      <c r="AB187" s="42">
        <v>1.68</v>
      </c>
      <c r="AC187" s="42">
        <v>1.63</v>
      </c>
      <c r="AD187" s="46">
        <v>1.1399999999999999</v>
      </c>
    </row>
    <row r="188" spans="2:30" ht="30">
      <c r="B188" s="82" t="s">
        <v>568</v>
      </c>
      <c r="C188" s="8">
        <v>2.99</v>
      </c>
      <c r="D188" s="8">
        <v>4.1900000000000004</v>
      </c>
      <c r="E188" s="8">
        <v>5.3</v>
      </c>
      <c r="F188" s="8">
        <v>5.73</v>
      </c>
      <c r="G188" s="8">
        <v>4.24</v>
      </c>
      <c r="H188" s="8">
        <v>4.45</v>
      </c>
      <c r="I188" s="8">
        <v>1.61</v>
      </c>
      <c r="J188" s="9">
        <v>2.42</v>
      </c>
      <c r="V188" s="44" t="s">
        <v>2539</v>
      </c>
      <c r="W188" s="42">
        <v>3.9</v>
      </c>
      <c r="X188" s="42">
        <v>4.25</v>
      </c>
      <c r="Y188" s="42">
        <v>4.13</v>
      </c>
      <c r="Z188" s="42">
        <v>0.7</v>
      </c>
      <c r="AA188" s="42">
        <v>3.57</v>
      </c>
      <c r="AB188" s="42">
        <v>3.14</v>
      </c>
      <c r="AC188" s="42">
        <v>1.64</v>
      </c>
      <c r="AD188" s="46">
        <v>1.29</v>
      </c>
    </row>
    <row r="189" spans="2:30">
      <c r="B189" s="52" t="s">
        <v>539</v>
      </c>
      <c r="C189" s="11">
        <f>C188-C178</f>
        <v>-9.2121212121196727E-3</v>
      </c>
      <c r="D189" s="11">
        <f t="shared" ref="D189:J189" si="48">D188-D178</f>
        <v>-0.19733333333332936</v>
      </c>
      <c r="E189" s="11">
        <f>E188-E178</f>
        <v>8.0000000000097771E-3</v>
      </c>
      <c r="F189" s="11">
        <f>F188-F178</f>
        <v>0.22539473684211053</v>
      </c>
      <c r="G189" s="11">
        <f>G188-G178</f>
        <v>-8.4777070063689841E-2</v>
      </c>
      <c r="H189" s="11">
        <f t="shared" si="48"/>
        <v>-0.34899999999998954</v>
      </c>
      <c r="I189" s="11">
        <f>I188-I178</f>
        <v>-0.14102409638553981</v>
      </c>
      <c r="J189" s="12">
        <f t="shared" si="48"/>
        <v>0.16358108108107983</v>
      </c>
      <c r="V189" s="44" t="s">
        <v>2540</v>
      </c>
      <c r="W189" s="42">
        <v>3.91</v>
      </c>
      <c r="X189" s="42">
        <v>4.2699999999999996</v>
      </c>
      <c r="Y189" s="42">
        <v>4.17</v>
      </c>
      <c r="Z189" s="42">
        <v>4.29</v>
      </c>
      <c r="AA189" s="42">
        <v>3.56</v>
      </c>
      <c r="AB189" s="42">
        <v>3.14</v>
      </c>
      <c r="AC189" s="42">
        <v>1.62</v>
      </c>
      <c r="AD189" s="46">
        <v>1.24</v>
      </c>
    </row>
    <row r="190" spans="2:30" ht="15.75" thickBot="1">
      <c r="B190" s="53" t="s">
        <v>544</v>
      </c>
      <c r="C190" s="14">
        <f t="shared" ref="C190:H190" si="49">(C189/C178)*100</f>
        <v>-0.30715137308783047</v>
      </c>
      <c r="D190" s="14">
        <f t="shared" si="49"/>
        <v>-4.4977966874334339</v>
      </c>
      <c r="E190" s="14">
        <f t="shared" si="49"/>
        <v>0.15117157974319334</v>
      </c>
      <c r="F190" s="14">
        <f t="shared" si="49"/>
        <v>4.0946575833633121</v>
      </c>
      <c r="G190" s="14">
        <f t="shared" si="49"/>
        <v>-1.960264510522882</v>
      </c>
      <c r="H190" s="14">
        <f t="shared" si="49"/>
        <v>-7.2723484059176977</v>
      </c>
      <c r="I190" s="14">
        <f t="shared" ref="I190" si="50">(I189/I178)*100</f>
        <v>-8.0538067223998482</v>
      </c>
      <c r="J190" s="15">
        <f>(J189/J178)*100</f>
        <v>7.2495882617157665</v>
      </c>
      <c r="V190" s="44" t="s">
        <v>2541</v>
      </c>
      <c r="W190" s="42">
        <v>3.93</v>
      </c>
      <c r="X190" s="42">
        <v>4.26</v>
      </c>
      <c r="Y190" s="42">
        <v>4.1100000000000003</v>
      </c>
      <c r="Z190" s="42">
        <v>4.29</v>
      </c>
      <c r="AA190" s="42">
        <v>3.61</v>
      </c>
      <c r="AB190" s="42">
        <v>3.14</v>
      </c>
      <c r="AC190" s="42">
        <v>1.61</v>
      </c>
      <c r="AD190" s="46">
        <v>1.26</v>
      </c>
    </row>
    <row r="191" spans="2:30">
      <c r="V191" s="44" t="s">
        <v>2542</v>
      </c>
      <c r="W191" s="42">
        <v>3.92</v>
      </c>
      <c r="X191" s="42">
        <v>4.2699999999999996</v>
      </c>
      <c r="Y191" s="42">
        <v>4.17</v>
      </c>
      <c r="Z191" s="42">
        <v>4.34</v>
      </c>
      <c r="AA191" s="42">
        <v>3.57</v>
      </c>
      <c r="AB191" s="42">
        <v>3.15</v>
      </c>
      <c r="AC191" s="42">
        <v>1.63</v>
      </c>
      <c r="AD191" s="46">
        <v>1.25</v>
      </c>
    </row>
    <row r="192" spans="2:30">
      <c r="V192" s="44" t="s">
        <v>2543</v>
      </c>
      <c r="W192" s="42">
        <v>3.9</v>
      </c>
      <c r="X192" s="42">
        <v>4.29</v>
      </c>
      <c r="Y192" s="42">
        <v>4.1500000000000004</v>
      </c>
      <c r="Z192" s="42">
        <v>4.2699999999999996</v>
      </c>
      <c r="AA192" s="42">
        <v>3.59</v>
      </c>
      <c r="AB192" s="42">
        <v>3.12</v>
      </c>
      <c r="AC192" s="42">
        <v>1.66</v>
      </c>
      <c r="AD192" s="46">
        <v>1.26</v>
      </c>
    </row>
    <row r="193" spans="22:30">
      <c r="V193" s="44" t="s">
        <v>2544</v>
      </c>
      <c r="W193" s="42">
        <v>3.91</v>
      </c>
      <c r="X193" s="42">
        <v>4.26</v>
      </c>
      <c r="Y193" s="42">
        <v>4.17</v>
      </c>
      <c r="Z193" s="42">
        <v>4.2699999999999996</v>
      </c>
      <c r="AA193" s="42">
        <v>3.64</v>
      </c>
      <c r="AB193" s="42">
        <v>3.11</v>
      </c>
      <c r="AC193" s="42">
        <v>1.61</v>
      </c>
      <c r="AD193" s="46">
        <v>1.25</v>
      </c>
    </row>
    <row r="194" spans="22:30">
      <c r="V194" s="44" t="s">
        <v>2545</v>
      </c>
      <c r="W194" s="42">
        <v>0.46</v>
      </c>
      <c r="X194" s="42">
        <v>4.3099999999999996</v>
      </c>
      <c r="Y194" s="42">
        <v>4.1900000000000004</v>
      </c>
      <c r="Z194" s="42">
        <v>4.3099999999999996</v>
      </c>
      <c r="AA194" s="42">
        <v>3.57</v>
      </c>
      <c r="AB194" s="42">
        <v>3.11</v>
      </c>
      <c r="AC194" s="42">
        <v>1.62</v>
      </c>
      <c r="AD194" s="46">
        <v>0.16</v>
      </c>
    </row>
    <row r="195" spans="22:30">
      <c r="V195" s="44" t="s">
        <v>2546</v>
      </c>
      <c r="W195" s="42">
        <v>3.9</v>
      </c>
      <c r="X195" s="42">
        <v>1.07</v>
      </c>
      <c r="Y195" s="42">
        <v>4.13</v>
      </c>
      <c r="Z195" s="42">
        <v>4.3099999999999996</v>
      </c>
      <c r="AA195" s="42">
        <v>3.6</v>
      </c>
      <c r="AB195" s="42">
        <v>3.1</v>
      </c>
      <c r="AC195" s="42">
        <v>1.63</v>
      </c>
      <c r="AD195" s="46">
        <v>1.18</v>
      </c>
    </row>
    <row r="196" spans="22:30">
      <c r="V196" s="44" t="s">
        <v>2547</v>
      </c>
      <c r="W196" s="42">
        <v>3.9</v>
      </c>
      <c r="X196" s="42">
        <v>4.29</v>
      </c>
      <c r="Y196" s="42">
        <v>4.1399999999999997</v>
      </c>
      <c r="Z196" s="42">
        <v>4.29</v>
      </c>
      <c r="AA196" s="42">
        <v>3.62</v>
      </c>
      <c r="AB196" s="42">
        <v>3.13</v>
      </c>
      <c r="AC196" s="42">
        <v>1.61</v>
      </c>
      <c r="AD196" s="46">
        <v>1.2</v>
      </c>
    </row>
    <row r="197" spans="22:30">
      <c r="V197" s="44" t="s">
        <v>2548</v>
      </c>
      <c r="W197" s="42">
        <v>3.9</v>
      </c>
      <c r="X197" s="42">
        <v>4.25</v>
      </c>
      <c r="Y197" s="42">
        <v>4.16</v>
      </c>
      <c r="Z197" s="42">
        <v>4.29</v>
      </c>
      <c r="AA197" s="42">
        <v>3.61</v>
      </c>
      <c r="AB197" s="42">
        <v>3.15</v>
      </c>
      <c r="AC197" s="42">
        <v>1.67</v>
      </c>
      <c r="AD197" s="46">
        <v>1.27</v>
      </c>
    </row>
    <row r="198" spans="22:30">
      <c r="V198" s="44" t="s">
        <v>2549</v>
      </c>
      <c r="W198" s="42">
        <v>3.9</v>
      </c>
      <c r="X198" s="42">
        <v>4.28</v>
      </c>
      <c r="Y198" s="42">
        <v>4.16</v>
      </c>
      <c r="Z198" s="42">
        <v>4.3099999999999996</v>
      </c>
      <c r="AA198" s="42">
        <v>3.65</v>
      </c>
      <c r="AB198" s="42">
        <v>3.14</v>
      </c>
      <c r="AC198" s="42">
        <v>1.62</v>
      </c>
      <c r="AD198" s="46">
        <v>1.23</v>
      </c>
    </row>
    <row r="199" spans="22:30">
      <c r="V199" s="44" t="s">
        <v>2550</v>
      </c>
      <c r="W199" s="42">
        <v>3.92</v>
      </c>
      <c r="X199" s="42">
        <v>4.26</v>
      </c>
      <c r="Y199" s="42">
        <v>4.1399999999999997</v>
      </c>
      <c r="Z199" s="42">
        <v>4.26</v>
      </c>
      <c r="AA199" s="42">
        <v>3.59</v>
      </c>
      <c r="AB199" s="42">
        <v>3.11</v>
      </c>
      <c r="AC199" s="42">
        <v>1.61</v>
      </c>
      <c r="AD199" s="46">
        <v>1.35</v>
      </c>
    </row>
    <row r="200" spans="22:30">
      <c r="V200" s="44" t="s">
        <v>2551</v>
      </c>
      <c r="W200" s="42">
        <v>3.92</v>
      </c>
      <c r="X200" s="42">
        <v>4.2699999999999996</v>
      </c>
      <c r="Y200" s="42">
        <v>4.2</v>
      </c>
      <c r="Z200" s="42">
        <v>2.15</v>
      </c>
      <c r="AA200" s="42">
        <v>3.62</v>
      </c>
      <c r="AB200" s="42">
        <v>3.11</v>
      </c>
      <c r="AC200" s="42">
        <v>1.63</v>
      </c>
      <c r="AD200" s="46">
        <v>1.26</v>
      </c>
    </row>
    <row r="201" spans="22:30">
      <c r="V201" s="44" t="s">
        <v>2552</v>
      </c>
      <c r="W201" s="42">
        <v>3.92</v>
      </c>
      <c r="X201" s="42">
        <v>4.26</v>
      </c>
      <c r="Y201" s="42">
        <v>4.12</v>
      </c>
      <c r="Z201" s="42">
        <v>4.32</v>
      </c>
      <c r="AA201" s="42">
        <v>3.59</v>
      </c>
      <c r="AB201" s="42">
        <v>3.1</v>
      </c>
      <c r="AC201" s="42">
        <v>1.63</v>
      </c>
      <c r="AD201" s="46">
        <v>1.25</v>
      </c>
    </row>
    <row r="202" spans="22:30">
      <c r="V202" s="44" t="s">
        <v>2553</v>
      </c>
      <c r="W202" s="42">
        <v>3.95</v>
      </c>
      <c r="X202" s="42">
        <v>4.3</v>
      </c>
      <c r="Y202" s="42">
        <v>4.17</v>
      </c>
      <c r="Z202" s="42">
        <v>4.26</v>
      </c>
      <c r="AA202" s="42">
        <v>3.61</v>
      </c>
      <c r="AB202" s="42">
        <v>3.13</v>
      </c>
      <c r="AC202" s="42">
        <v>1.63</v>
      </c>
      <c r="AD202" s="46">
        <v>1.25</v>
      </c>
    </row>
    <row r="203" spans="22:30">
      <c r="V203" s="44" t="s">
        <v>2554</v>
      </c>
      <c r="W203" s="42">
        <v>3.89</v>
      </c>
      <c r="X203" s="42">
        <v>4.28</v>
      </c>
      <c r="Y203" s="42">
        <v>4.16</v>
      </c>
      <c r="Z203" s="42">
        <v>4.3</v>
      </c>
      <c r="AA203" s="42">
        <v>3.63</v>
      </c>
      <c r="AB203" s="42">
        <v>3.13</v>
      </c>
      <c r="AC203" s="42">
        <v>1.65</v>
      </c>
      <c r="AD203" s="46">
        <v>1.21</v>
      </c>
    </row>
    <row r="204" spans="22:30">
      <c r="V204" s="44" t="s">
        <v>2555</v>
      </c>
      <c r="W204" s="42">
        <v>3.89</v>
      </c>
      <c r="X204" s="42">
        <v>3.55</v>
      </c>
      <c r="Y204" s="42">
        <v>4.18</v>
      </c>
      <c r="Z204" s="42">
        <v>4.33</v>
      </c>
      <c r="AA204" s="42">
        <v>3.64</v>
      </c>
      <c r="AB204" s="42">
        <v>3.11</v>
      </c>
      <c r="AC204" s="42">
        <v>1.59</v>
      </c>
      <c r="AD204" s="46">
        <v>1.25</v>
      </c>
    </row>
    <row r="205" spans="22:30">
      <c r="V205" s="44" t="s">
        <v>2556</v>
      </c>
      <c r="W205" s="42">
        <v>3.9</v>
      </c>
      <c r="X205" s="42">
        <v>4.28</v>
      </c>
      <c r="Y205" s="42">
        <v>2.88</v>
      </c>
      <c r="Z205" s="42">
        <v>4.3099999999999996</v>
      </c>
      <c r="AA205" s="42">
        <v>3.59</v>
      </c>
      <c r="AB205" s="42">
        <v>3.14</v>
      </c>
      <c r="AC205" s="42">
        <v>1.63</v>
      </c>
      <c r="AD205" s="46">
        <v>1.22</v>
      </c>
    </row>
    <row r="206" spans="22:30">
      <c r="V206" s="44" t="s">
        <v>2557</v>
      </c>
      <c r="W206" s="42">
        <v>3.94</v>
      </c>
      <c r="X206" s="42">
        <v>4.2699999999999996</v>
      </c>
      <c r="Y206" s="42">
        <v>4.21</v>
      </c>
      <c r="Z206" s="42">
        <v>4.32</v>
      </c>
      <c r="AA206" s="42">
        <v>3.61</v>
      </c>
      <c r="AB206" s="42">
        <v>3.06</v>
      </c>
      <c r="AC206" s="42">
        <v>1.62</v>
      </c>
      <c r="AD206" s="46">
        <v>1.24</v>
      </c>
    </row>
    <row r="207" spans="22:30">
      <c r="V207" s="44" t="s">
        <v>2558</v>
      </c>
      <c r="W207" s="42">
        <v>3.91</v>
      </c>
      <c r="X207" s="42">
        <v>4.28</v>
      </c>
      <c r="Y207" s="42">
        <v>4.1500000000000004</v>
      </c>
      <c r="Z207" s="42">
        <v>4.3</v>
      </c>
      <c r="AA207" s="42">
        <v>3.58</v>
      </c>
      <c r="AB207" s="42">
        <v>3.1</v>
      </c>
      <c r="AC207" s="42">
        <v>1.63</v>
      </c>
      <c r="AD207" s="46">
        <v>1.26</v>
      </c>
    </row>
    <row r="208" spans="22:30">
      <c r="V208" s="44" t="s">
        <v>2559</v>
      </c>
      <c r="W208" s="42">
        <v>3.91</v>
      </c>
      <c r="X208" s="42">
        <v>4.32</v>
      </c>
      <c r="Y208" s="42">
        <v>4.1500000000000004</v>
      </c>
      <c r="Z208" s="42">
        <v>4.33</v>
      </c>
      <c r="AA208" s="42">
        <v>3.64</v>
      </c>
      <c r="AB208" s="42">
        <v>3.16</v>
      </c>
      <c r="AC208" s="42">
        <v>1.63</v>
      </c>
      <c r="AD208" s="46">
        <v>1.25</v>
      </c>
    </row>
    <row r="209" spans="22:30">
      <c r="V209" s="44" t="s">
        <v>2560</v>
      </c>
      <c r="W209" s="42">
        <v>3.89</v>
      </c>
      <c r="X209" s="42">
        <v>4.25</v>
      </c>
      <c r="Y209" s="42">
        <v>4.1900000000000004</v>
      </c>
      <c r="Z209" s="42">
        <v>4.3099999999999996</v>
      </c>
      <c r="AA209" s="42">
        <v>3.61</v>
      </c>
      <c r="AB209" s="42">
        <v>3.14</v>
      </c>
      <c r="AC209" s="42">
        <v>1.62</v>
      </c>
      <c r="AD209" s="46">
        <v>1.25</v>
      </c>
    </row>
    <row r="210" spans="22:30">
      <c r="V210" s="44" t="s">
        <v>2561</v>
      </c>
      <c r="W210" s="42">
        <v>3.9</v>
      </c>
      <c r="X210" s="42">
        <v>4.29</v>
      </c>
      <c r="Y210" s="42">
        <v>4.18</v>
      </c>
      <c r="Z210" s="42">
        <v>4.28</v>
      </c>
      <c r="AA210" s="42">
        <v>3.58</v>
      </c>
      <c r="AB210" s="42">
        <v>3.15</v>
      </c>
      <c r="AC210" s="42">
        <v>1.61</v>
      </c>
      <c r="AD210" s="46">
        <v>1.31</v>
      </c>
    </row>
    <row r="211" spans="22:30">
      <c r="V211" s="44" t="s">
        <v>2562</v>
      </c>
      <c r="W211" s="42">
        <v>3.92</v>
      </c>
      <c r="X211" s="42">
        <v>4.2699999999999996</v>
      </c>
      <c r="Y211" s="42">
        <v>4.1500000000000004</v>
      </c>
      <c r="Z211" s="42">
        <v>4.28</v>
      </c>
      <c r="AA211" s="42">
        <v>3.62</v>
      </c>
      <c r="AB211" s="42">
        <v>3.13</v>
      </c>
      <c r="AC211" s="42">
        <v>1.62</v>
      </c>
      <c r="AD211" s="46">
        <v>1.25</v>
      </c>
    </row>
    <row r="212" spans="22:30">
      <c r="V212" s="44" t="s">
        <v>2563</v>
      </c>
      <c r="W212" s="42">
        <v>3.89</v>
      </c>
      <c r="X212" s="42">
        <v>3.93</v>
      </c>
      <c r="Y212" s="42">
        <v>4.12</v>
      </c>
      <c r="Z212" s="42">
        <v>4.28</v>
      </c>
      <c r="AA212" s="42">
        <v>3.63</v>
      </c>
      <c r="AB212" s="42">
        <v>3.15</v>
      </c>
      <c r="AC212" s="42">
        <v>1.62</v>
      </c>
      <c r="AD212" s="46">
        <v>1.25</v>
      </c>
    </row>
    <row r="213" spans="22:30">
      <c r="V213" s="44" t="s">
        <v>2564</v>
      </c>
      <c r="W213" s="42">
        <v>3.93</v>
      </c>
      <c r="X213" s="42">
        <v>4.3</v>
      </c>
      <c r="Y213" s="42">
        <v>4.1399999999999997</v>
      </c>
      <c r="Z213" s="42">
        <v>4.26</v>
      </c>
      <c r="AA213" s="42">
        <v>3.59</v>
      </c>
      <c r="AB213" s="42">
        <v>3.12</v>
      </c>
      <c r="AC213" s="42">
        <v>1.63</v>
      </c>
      <c r="AD213" s="46">
        <v>1.28</v>
      </c>
    </row>
    <row r="214" spans="22:30">
      <c r="V214" s="44" t="s">
        <v>2565</v>
      </c>
      <c r="W214" s="42">
        <v>3.92</v>
      </c>
      <c r="X214" s="42">
        <v>4.3</v>
      </c>
      <c r="Y214" s="42">
        <v>4.18</v>
      </c>
      <c r="Z214" s="42">
        <v>4.3099999999999996</v>
      </c>
      <c r="AA214" s="42">
        <v>3.65</v>
      </c>
      <c r="AB214" s="42">
        <v>3.13</v>
      </c>
      <c r="AC214" s="42">
        <v>1.59</v>
      </c>
      <c r="AD214" s="46">
        <v>1.3</v>
      </c>
    </row>
    <row r="215" spans="22:30">
      <c r="V215" s="44" t="s">
        <v>2566</v>
      </c>
      <c r="W215" s="42">
        <v>3.91</v>
      </c>
      <c r="X215" s="42">
        <v>4.28</v>
      </c>
      <c r="Y215" s="42">
        <v>4.17</v>
      </c>
      <c r="Z215" s="42">
        <v>4.28</v>
      </c>
      <c r="AA215" s="42">
        <v>3.61</v>
      </c>
      <c r="AB215" s="42">
        <v>3.12</v>
      </c>
      <c r="AC215" s="42">
        <v>1.62</v>
      </c>
      <c r="AD215" s="46">
        <v>1.31</v>
      </c>
    </row>
    <row r="216" spans="22:30">
      <c r="V216" s="44" t="s">
        <v>2567</v>
      </c>
      <c r="W216" s="42">
        <v>3.27</v>
      </c>
      <c r="X216" s="42">
        <v>4.24</v>
      </c>
      <c r="Y216" s="42">
        <v>3</v>
      </c>
      <c r="Z216" s="42">
        <v>4.29</v>
      </c>
      <c r="AA216" s="42">
        <v>3.62</v>
      </c>
      <c r="AB216" s="42">
        <v>1.24</v>
      </c>
      <c r="AC216" s="42">
        <v>1.62</v>
      </c>
      <c r="AD216" s="46">
        <v>1.32</v>
      </c>
    </row>
    <row r="217" spans="22:30">
      <c r="V217" s="44" t="s">
        <v>2568</v>
      </c>
      <c r="W217" s="42">
        <v>3.89</v>
      </c>
      <c r="X217" s="42">
        <v>4.25</v>
      </c>
      <c r="Y217" s="42">
        <v>4.12</v>
      </c>
      <c r="Z217" s="42">
        <v>4.29</v>
      </c>
      <c r="AA217" s="42">
        <v>3.59</v>
      </c>
      <c r="AB217" s="42">
        <v>3.14</v>
      </c>
      <c r="AC217" s="42">
        <v>1.62</v>
      </c>
      <c r="AD217" s="46">
        <v>1.23</v>
      </c>
    </row>
    <row r="218" spans="22:30">
      <c r="V218" s="44" t="s">
        <v>2569</v>
      </c>
      <c r="W218" s="42">
        <v>3.89</v>
      </c>
      <c r="X218" s="42">
        <v>4.28</v>
      </c>
      <c r="Y218" s="42">
        <v>4.16</v>
      </c>
      <c r="Z218" s="42">
        <v>4.3</v>
      </c>
      <c r="AA218" s="42">
        <v>3.6</v>
      </c>
      <c r="AB218" s="42">
        <v>3.16</v>
      </c>
      <c r="AC218" s="42">
        <v>1.62</v>
      </c>
      <c r="AD218" s="46">
        <v>1.27</v>
      </c>
    </row>
    <row r="219" spans="22:30">
      <c r="V219" s="44" t="s">
        <v>2570</v>
      </c>
      <c r="W219" s="42">
        <v>3.92</v>
      </c>
      <c r="X219" s="42">
        <v>4.28</v>
      </c>
      <c r="Y219" s="42">
        <v>4.1399999999999997</v>
      </c>
      <c r="Z219" s="42">
        <v>4.3</v>
      </c>
      <c r="AA219" s="42">
        <v>3.6</v>
      </c>
      <c r="AB219" s="42">
        <v>3.13</v>
      </c>
      <c r="AC219" s="42">
        <v>1.62</v>
      </c>
      <c r="AD219" s="46">
        <v>1.31</v>
      </c>
    </row>
    <row r="220" spans="22:30">
      <c r="V220" s="44" t="s">
        <v>2571</v>
      </c>
      <c r="W220" s="42">
        <v>3.92</v>
      </c>
      <c r="X220" s="42">
        <v>4.28</v>
      </c>
      <c r="Y220" s="42">
        <v>3.24</v>
      </c>
      <c r="Z220" s="42">
        <v>4.25</v>
      </c>
      <c r="AA220" s="42">
        <v>3.61</v>
      </c>
      <c r="AB220" s="42">
        <v>3.13</v>
      </c>
      <c r="AC220" s="42">
        <v>1.62</v>
      </c>
      <c r="AD220" s="46">
        <v>1.25</v>
      </c>
    </row>
    <row r="221" spans="22:30">
      <c r="V221" s="44" t="s">
        <v>2572</v>
      </c>
      <c r="W221" s="42">
        <v>3.89</v>
      </c>
      <c r="X221" s="42">
        <v>4.28</v>
      </c>
      <c r="Y221" s="42">
        <v>0.03</v>
      </c>
      <c r="Z221" s="42">
        <v>4.3</v>
      </c>
      <c r="AA221" s="42">
        <v>3.62</v>
      </c>
      <c r="AB221" s="42">
        <v>3.11</v>
      </c>
      <c r="AC221" s="42">
        <v>1.66</v>
      </c>
      <c r="AD221" s="46">
        <v>1.22</v>
      </c>
    </row>
    <row r="222" spans="22:30">
      <c r="V222" s="44" t="s">
        <v>2573</v>
      </c>
      <c r="W222" s="42">
        <v>3.94</v>
      </c>
      <c r="X222" s="42">
        <v>4.3</v>
      </c>
      <c r="Y222" s="42">
        <v>4.1399999999999997</v>
      </c>
      <c r="Z222" s="42">
        <v>4.32</v>
      </c>
      <c r="AA222" s="42">
        <v>3.56</v>
      </c>
      <c r="AB222" s="42">
        <v>3.11</v>
      </c>
      <c r="AC222" s="42">
        <v>1.62</v>
      </c>
      <c r="AD222" s="46">
        <v>1.22</v>
      </c>
    </row>
    <row r="223" spans="22:30">
      <c r="V223" s="44" t="s">
        <v>2574</v>
      </c>
      <c r="W223" s="42">
        <v>3.91</v>
      </c>
      <c r="X223" s="42">
        <v>4.2699999999999996</v>
      </c>
      <c r="Y223" s="42">
        <v>1.65</v>
      </c>
      <c r="Z223" s="42">
        <v>4.2699999999999996</v>
      </c>
      <c r="AA223" s="42">
        <v>3.61</v>
      </c>
      <c r="AB223" s="42">
        <v>3.14</v>
      </c>
      <c r="AC223" s="42">
        <v>1.63</v>
      </c>
      <c r="AD223" s="46">
        <v>1.22</v>
      </c>
    </row>
    <row r="224" spans="22:30">
      <c r="V224" s="44" t="s">
        <v>2575</v>
      </c>
      <c r="W224" s="42">
        <v>3.91</v>
      </c>
      <c r="X224" s="42">
        <v>4.2699999999999996</v>
      </c>
      <c r="Y224" s="42">
        <v>3.3</v>
      </c>
      <c r="Z224" s="42">
        <v>4.29</v>
      </c>
      <c r="AA224" s="42">
        <v>3.64</v>
      </c>
      <c r="AB224" s="42">
        <v>3.16</v>
      </c>
      <c r="AC224" s="42">
        <v>0.38</v>
      </c>
      <c r="AD224" s="46">
        <v>1.26</v>
      </c>
    </row>
    <row r="225" spans="22:30">
      <c r="V225" s="44" t="s">
        <v>2576</v>
      </c>
      <c r="W225" s="42">
        <v>3.9</v>
      </c>
      <c r="X225" s="42">
        <v>4.2699999999999996</v>
      </c>
      <c r="Y225" s="42">
        <v>4.2</v>
      </c>
      <c r="Z225" s="42">
        <v>1.41</v>
      </c>
      <c r="AA225" s="42">
        <v>3.62</v>
      </c>
      <c r="AB225" s="42">
        <v>1.98</v>
      </c>
      <c r="AC225" s="42">
        <v>1.67</v>
      </c>
      <c r="AD225" s="46">
        <v>1.24</v>
      </c>
    </row>
    <row r="226" spans="22:30">
      <c r="V226" s="44" t="s">
        <v>2577</v>
      </c>
      <c r="W226" s="42">
        <v>3.95</v>
      </c>
      <c r="X226" s="42">
        <v>4.2699999999999996</v>
      </c>
      <c r="Y226" s="42">
        <v>4.1399999999999997</v>
      </c>
      <c r="Z226" s="42">
        <v>4.26</v>
      </c>
      <c r="AA226" s="42">
        <v>3.59</v>
      </c>
      <c r="AB226" s="42">
        <v>3.13</v>
      </c>
      <c r="AC226" s="42">
        <v>1.64</v>
      </c>
      <c r="AD226" s="46">
        <v>1.2</v>
      </c>
    </row>
    <row r="227" spans="22:30">
      <c r="V227" s="44" t="s">
        <v>2578</v>
      </c>
      <c r="W227" s="42">
        <v>3.93</v>
      </c>
      <c r="X227" s="42">
        <v>4.26</v>
      </c>
      <c r="Y227" s="42">
        <v>2.92</v>
      </c>
      <c r="Z227" s="42">
        <v>4.28</v>
      </c>
      <c r="AA227" s="42">
        <v>3.6</v>
      </c>
      <c r="AB227" s="42">
        <v>3.13</v>
      </c>
      <c r="AC227" s="42">
        <v>1.61</v>
      </c>
      <c r="AD227" s="46">
        <v>1.2</v>
      </c>
    </row>
    <row r="228" spans="22:30">
      <c r="V228" s="44" t="s">
        <v>2579</v>
      </c>
      <c r="W228" s="42">
        <v>3.9</v>
      </c>
      <c r="X228" s="42">
        <v>4.32</v>
      </c>
      <c r="Y228" s="42">
        <v>4.1900000000000004</v>
      </c>
      <c r="Z228" s="42">
        <v>4.28</v>
      </c>
      <c r="AA228" s="42">
        <v>3.6</v>
      </c>
      <c r="AB228" s="42">
        <v>3.12</v>
      </c>
      <c r="AC228" s="42">
        <v>1.65</v>
      </c>
      <c r="AD228" s="46">
        <v>1.24</v>
      </c>
    </row>
    <row r="229" spans="22:30">
      <c r="V229" s="44" t="s">
        <v>2580</v>
      </c>
      <c r="W229" s="42">
        <v>3.9</v>
      </c>
      <c r="X229" s="42">
        <v>4.26</v>
      </c>
      <c r="Y229" s="42">
        <v>4.1900000000000004</v>
      </c>
      <c r="Z229" s="42">
        <v>4.32</v>
      </c>
      <c r="AA229" s="42">
        <v>3.58</v>
      </c>
      <c r="AB229" s="42">
        <v>3.11</v>
      </c>
      <c r="AC229" s="42">
        <v>1.66</v>
      </c>
      <c r="AD229" s="46">
        <v>1.2</v>
      </c>
    </row>
    <row r="230" spans="22:30">
      <c r="V230" s="44" t="s">
        <v>2581</v>
      </c>
      <c r="W230" s="42">
        <v>3.89</v>
      </c>
      <c r="X230" s="42">
        <v>4.2699999999999996</v>
      </c>
      <c r="Y230" s="42">
        <v>4.16</v>
      </c>
      <c r="Z230" s="42">
        <v>4.32</v>
      </c>
      <c r="AA230" s="42">
        <v>3.63</v>
      </c>
      <c r="AB230" s="42">
        <v>3.15</v>
      </c>
      <c r="AC230" s="42">
        <v>1.69</v>
      </c>
      <c r="AD230" s="46">
        <v>1.27</v>
      </c>
    </row>
    <row r="231" spans="22:30">
      <c r="V231" s="44" t="s">
        <v>2582</v>
      </c>
      <c r="W231" s="42">
        <v>3.94</v>
      </c>
      <c r="X231" s="42">
        <v>4.2699999999999996</v>
      </c>
      <c r="Y231" s="42">
        <v>4.18</v>
      </c>
      <c r="Z231" s="42">
        <v>4.28</v>
      </c>
      <c r="AA231" s="42">
        <v>3.58</v>
      </c>
      <c r="AB231" s="42">
        <v>3.11</v>
      </c>
      <c r="AC231" s="42">
        <v>1.6</v>
      </c>
      <c r="AD231" s="46">
        <v>1.1499999999999999</v>
      </c>
    </row>
    <row r="232" spans="22:30">
      <c r="V232" s="44" t="s">
        <v>2583</v>
      </c>
      <c r="W232" s="42">
        <v>3.9</v>
      </c>
      <c r="X232" s="42">
        <v>4.3099999999999996</v>
      </c>
      <c r="Y232" s="42">
        <v>4.1500000000000004</v>
      </c>
      <c r="Z232" s="42">
        <v>4.25</v>
      </c>
      <c r="AA232" s="42">
        <v>3.61</v>
      </c>
      <c r="AB232" s="42">
        <v>3.12</v>
      </c>
      <c r="AC232" s="42">
        <v>1.63</v>
      </c>
      <c r="AD232" s="46">
        <v>1.25</v>
      </c>
    </row>
    <row r="233" spans="22:30">
      <c r="V233" s="44" t="s">
        <v>2584</v>
      </c>
      <c r="W233" s="42">
        <v>3.9</v>
      </c>
      <c r="X233" s="42">
        <v>4.26</v>
      </c>
      <c r="Y233" s="42">
        <v>4.12</v>
      </c>
      <c r="Z233" s="42">
        <v>4.26</v>
      </c>
      <c r="AA233" s="42">
        <v>3.6</v>
      </c>
      <c r="AB233" s="42">
        <v>3.1</v>
      </c>
      <c r="AC233" s="42">
        <v>1.63</v>
      </c>
      <c r="AD233" s="46">
        <v>1.21</v>
      </c>
    </row>
    <row r="234" spans="22:30">
      <c r="V234" s="44" t="s">
        <v>2585</v>
      </c>
      <c r="W234" s="42">
        <v>3.91</v>
      </c>
      <c r="X234" s="42">
        <v>4.28</v>
      </c>
      <c r="Y234" s="42">
        <v>4.18</v>
      </c>
      <c r="Z234" s="42">
        <v>4.25</v>
      </c>
      <c r="AA234" s="42">
        <v>3.61</v>
      </c>
      <c r="AB234" s="42">
        <v>3.13</v>
      </c>
      <c r="AC234" s="42">
        <v>1.55</v>
      </c>
      <c r="AD234" s="46">
        <v>1.31</v>
      </c>
    </row>
    <row r="235" spans="22:30">
      <c r="V235" s="44" t="s">
        <v>2586</v>
      </c>
      <c r="W235" s="42">
        <v>3.91</v>
      </c>
      <c r="X235" s="42">
        <v>4.28</v>
      </c>
      <c r="Y235" s="42">
        <v>4.1500000000000004</v>
      </c>
      <c r="Z235" s="42">
        <v>4.28</v>
      </c>
      <c r="AA235" s="42">
        <v>3.6</v>
      </c>
      <c r="AB235" s="42">
        <v>3.14</v>
      </c>
      <c r="AC235" s="42">
        <v>1.67</v>
      </c>
      <c r="AD235" s="46">
        <v>1.22</v>
      </c>
    </row>
    <row r="236" spans="22:30">
      <c r="V236" s="44" t="s">
        <v>2587</v>
      </c>
      <c r="W236" s="42">
        <v>3.9</v>
      </c>
      <c r="X236" s="42">
        <v>3.66</v>
      </c>
      <c r="Y236" s="42">
        <v>4.17</v>
      </c>
      <c r="Z236" s="42">
        <v>4.3099999999999996</v>
      </c>
      <c r="AA236" s="42">
        <v>3.59</v>
      </c>
      <c r="AB236" s="42">
        <v>3.11</v>
      </c>
      <c r="AC236" s="42">
        <v>1.63</v>
      </c>
      <c r="AD236" s="46">
        <v>1.27</v>
      </c>
    </row>
    <row r="237" spans="22:30">
      <c r="V237" s="44" t="s">
        <v>2588</v>
      </c>
      <c r="W237" s="42">
        <v>2.29</v>
      </c>
      <c r="X237" s="42">
        <v>4.28</v>
      </c>
      <c r="Y237" s="42">
        <v>4.1399999999999997</v>
      </c>
      <c r="Z237" s="42">
        <v>4.34</v>
      </c>
      <c r="AA237" s="42">
        <v>3.65</v>
      </c>
      <c r="AB237" s="42">
        <v>3.1</v>
      </c>
      <c r="AC237" s="42">
        <v>1.63</v>
      </c>
      <c r="AD237" s="46">
        <v>1.22</v>
      </c>
    </row>
    <row r="238" spans="22:30">
      <c r="V238" s="44" t="s">
        <v>2589</v>
      </c>
      <c r="W238" s="42">
        <v>3.92</v>
      </c>
      <c r="X238" s="42">
        <v>4.26</v>
      </c>
      <c r="Y238" s="42">
        <v>4.1399999999999997</v>
      </c>
      <c r="Z238" s="42">
        <v>4.32</v>
      </c>
      <c r="AA238" s="42">
        <v>3.64</v>
      </c>
      <c r="AB238" s="42">
        <v>3.13</v>
      </c>
      <c r="AC238" s="42">
        <v>1.63</v>
      </c>
      <c r="AD238" s="46">
        <v>1.06</v>
      </c>
    </row>
    <row r="239" spans="22:30">
      <c r="V239" s="44" t="s">
        <v>2590</v>
      </c>
      <c r="W239" s="42">
        <v>3.64</v>
      </c>
      <c r="X239" s="42">
        <v>4.29</v>
      </c>
      <c r="Y239" s="42">
        <v>4.1900000000000004</v>
      </c>
      <c r="Z239" s="42">
        <v>4.32</v>
      </c>
      <c r="AA239" s="42">
        <v>3.62</v>
      </c>
      <c r="AB239" s="42">
        <v>3.15</v>
      </c>
      <c r="AC239" s="42">
        <v>1.65</v>
      </c>
      <c r="AD239" s="46">
        <v>1.25</v>
      </c>
    </row>
    <row r="240" spans="22:30">
      <c r="V240" s="44" t="s">
        <v>2591</v>
      </c>
      <c r="W240" s="42">
        <v>3.9</v>
      </c>
      <c r="X240" s="42">
        <v>4.28</v>
      </c>
      <c r="Y240" s="42">
        <v>4.12</v>
      </c>
      <c r="Z240" s="42">
        <v>4.34</v>
      </c>
      <c r="AA240" s="42">
        <v>3.59</v>
      </c>
      <c r="AB240" s="42">
        <v>3.11</v>
      </c>
      <c r="AC240" s="42">
        <v>1.64</v>
      </c>
      <c r="AD240" s="46">
        <v>1.26</v>
      </c>
    </row>
    <row r="241" spans="22:30">
      <c r="V241" s="44" t="s">
        <v>2592</v>
      </c>
      <c r="W241" s="42">
        <v>3.98</v>
      </c>
      <c r="X241" s="42">
        <v>4.33</v>
      </c>
      <c r="Y241" s="42">
        <v>4.1900000000000004</v>
      </c>
      <c r="Z241" s="42">
        <v>4.32</v>
      </c>
      <c r="AA241" s="42">
        <v>3.57</v>
      </c>
      <c r="AB241" s="42">
        <v>2.69</v>
      </c>
      <c r="AC241" s="42">
        <v>1.63</v>
      </c>
      <c r="AD241" s="46">
        <v>1.32</v>
      </c>
    </row>
    <row r="242" spans="22:30">
      <c r="V242" s="44" t="s">
        <v>2593</v>
      </c>
      <c r="W242" s="42">
        <v>3.92</v>
      </c>
      <c r="X242" s="42">
        <v>4.26</v>
      </c>
      <c r="Y242" s="42">
        <v>1.01</v>
      </c>
      <c r="Z242" s="42">
        <v>4.28</v>
      </c>
      <c r="AA242" s="42">
        <v>3.58</v>
      </c>
      <c r="AB242" s="42">
        <v>3.11</v>
      </c>
      <c r="AC242" s="42">
        <v>1.64</v>
      </c>
      <c r="AD242" s="46">
        <v>1.25</v>
      </c>
    </row>
    <row r="243" spans="22:30">
      <c r="V243" s="44" t="s">
        <v>2594</v>
      </c>
      <c r="W243" s="42">
        <v>3.91</v>
      </c>
      <c r="X243" s="42">
        <v>3.7</v>
      </c>
      <c r="Y243" s="42">
        <v>4.13</v>
      </c>
      <c r="Z243" s="42">
        <v>4.32</v>
      </c>
      <c r="AA243" s="42">
        <v>3.6</v>
      </c>
      <c r="AB243" s="42">
        <v>3.16</v>
      </c>
      <c r="AC243" s="42">
        <v>1.65</v>
      </c>
      <c r="AD243" s="46">
        <v>1.26</v>
      </c>
    </row>
    <row r="244" spans="22:30">
      <c r="V244" s="44" t="s">
        <v>2595</v>
      </c>
      <c r="W244" s="42">
        <v>3.92</v>
      </c>
      <c r="X244" s="42">
        <v>4.28</v>
      </c>
      <c r="Y244" s="42">
        <v>4.21</v>
      </c>
      <c r="Z244" s="42">
        <v>4.2699999999999996</v>
      </c>
      <c r="AA244" s="42">
        <v>3.56</v>
      </c>
      <c r="AB244" s="42">
        <v>3.12</v>
      </c>
      <c r="AC244" s="42">
        <v>1.61</v>
      </c>
      <c r="AD244" s="46">
        <v>1.24</v>
      </c>
    </row>
    <row r="245" spans="22:30">
      <c r="V245" s="44" t="s">
        <v>2596</v>
      </c>
      <c r="W245" s="42">
        <v>3.92</v>
      </c>
      <c r="X245" s="42">
        <v>0.83</v>
      </c>
      <c r="Y245" s="42">
        <v>4.16</v>
      </c>
      <c r="Z245" s="42">
        <v>4.28</v>
      </c>
      <c r="AA245" s="42">
        <v>3.65</v>
      </c>
      <c r="AB245" s="42">
        <v>3.11</v>
      </c>
      <c r="AC245" s="42">
        <v>1.63</v>
      </c>
      <c r="AD245" s="46">
        <v>1.22</v>
      </c>
    </row>
    <row r="246" spans="22:30">
      <c r="V246" s="44" t="s">
        <v>2597</v>
      </c>
      <c r="W246" s="42">
        <v>2.94</v>
      </c>
      <c r="X246" s="42">
        <v>0.09</v>
      </c>
      <c r="Y246" s="42">
        <v>0.01</v>
      </c>
      <c r="Z246" s="42">
        <v>4.29</v>
      </c>
      <c r="AA246" s="42">
        <v>3.64</v>
      </c>
      <c r="AB246" s="42">
        <v>3.14</v>
      </c>
      <c r="AC246" s="42">
        <v>1.63</v>
      </c>
      <c r="AD246" s="46">
        <v>1.23</v>
      </c>
    </row>
    <row r="247" spans="22:30">
      <c r="V247" s="44" t="s">
        <v>2598</v>
      </c>
      <c r="W247" s="42">
        <v>3.92</v>
      </c>
      <c r="X247" s="42">
        <v>4.28</v>
      </c>
      <c r="Y247" s="42">
        <v>4.17</v>
      </c>
      <c r="Z247" s="42">
        <v>4.32</v>
      </c>
      <c r="AA247" s="42">
        <v>3.58</v>
      </c>
      <c r="AB247" s="42">
        <v>3.11</v>
      </c>
      <c r="AC247" s="42">
        <v>1.61</v>
      </c>
      <c r="AD247" s="46">
        <v>1.24</v>
      </c>
    </row>
    <row r="248" spans="22:30">
      <c r="V248" s="44" t="s">
        <v>2599</v>
      </c>
      <c r="W248" s="42">
        <v>3.91</v>
      </c>
      <c r="X248" s="42">
        <v>4.2699999999999996</v>
      </c>
      <c r="Y248" s="42">
        <v>4.16</v>
      </c>
      <c r="Z248" s="42">
        <v>4.28</v>
      </c>
      <c r="AA248" s="42">
        <v>3.61</v>
      </c>
      <c r="AB248" s="42">
        <v>3.15</v>
      </c>
      <c r="AC248" s="42">
        <v>1.62</v>
      </c>
      <c r="AD248" s="46">
        <v>1.25</v>
      </c>
    </row>
    <row r="249" spans="22:30">
      <c r="V249" s="44" t="s">
        <v>2600</v>
      </c>
      <c r="W249" s="42">
        <v>3.9</v>
      </c>
      <c r="X249" s="42">
        <v>4.24</v>
      </c>
      <c r="Y249" s="42">
        <v>4.1900000000000004</v>
      </c>
      <c r="Z249" s="42">
        <v>4.29</v>
      </c>
      <c r="AA249" s="42">
        <v>3.61</v>
      </c>
      <c r="AB249" s="42">
        <v>3.1</v>
      </c>
      <c r="AC249" s="42">
        <v>1.62</v>
      </c>
      <c r="AD249" s="46">
        <v>1.25</v>
      </c>
    </row>
    <row r="250" spans="22:30">
      <c r="V250" s="44" t="s">
        <v>2601</v>
      </c>
      <c r="W250" s="42">
        <v>3.9</v>
      </c>
      <c r="X250" s="42">
        <v>4.2699999999999996</v>
      </c>
      <c r="Y250" s="42">
        <v>3.55</v>
      </c>
      <c r="Z250" s="42">
        <v>4.32</v>
      </c>
      <c r="AA250" s="42">
        <v>2.95</v>
      </c>
      <c r="AB250" s="42">
        <v>3.1</v>
      </c>
      <c r="AC250" s="42">
        <v>1.63</v>
      </c>
      <c r="AD250" s="46">
        <v>1.23</v>
      </c>
    </row>
    <row r="251" spans="22:30">
      <c r="V251" s="44" t="s">
        <v>2602</v>
      </c>
      <c r="W251" s="42">
        <v>1.47</v>
      </c>
      <c r="X251" s="42">
        <v>4.26</v>
      </c>
      <c r="Y251" s="42">
        <v>4.1399999999999997</v>
      </c>
      <c r="Z251" s="42">
        <v>4.3</v>
      </c>
      <c r="AA251" s="42">
        <v>3.59</v>
      </c>
      <c r="AB251" s="42">
        <v>3.11</v>
      </c>
      <c r="AC251" s="42">
        <v>1.64</v>
      </c>
      <c r="AD251" s="46">
        <v>1.32</v>
      </c>
    </row>
    <row r="252" spans="22:30">
      <c r="V252" s="44" t="s">
        <v>2603</v>
      </c>
      <c r="W252" s="42">
        <v>3.91</v>
      </c>
      <c r="X252" s="42">
        <v>4.25</v>
      </c>
      <c r="Y252" s="42">
        <v>4.1500000000000004</v>
      </c>
      <c r="Z252" s="42">
        <v>4.2699999999999996</v>
      </c>
      <c r="AA252" s="42">
        <v>3.61</v>
      </c>
      <c r="AB252" s="42">
        <v>3.14</v>
      </c>
      <c r="AC252" s="42">
        <v>1.64</v>
      </c>
      <c r="AD252" s="46">
        <v>1.28</v>
      </c>
    </row>
    <row r="253" spans="22:30">
      <c r="V253" s="44" t="s">
        <v>2604</v>
      </c>
      <c r="W253" s="42">
        <v>3.92</v>
      </c>
      <c r="X253" s="42">
        <v>4.26</v>
      </c>
      <c r="Y253" s="42">
        <v>4.12</v>
      </c>
      <c r="Z253" s="42">
        <v>4.28</v>
      </c>
      <c r="AA253" s="42">
        <v>3.61</v>
      </c>
      <c r="AB253" s="42">
        <v>3.1</v>
      </c>
      <c r="AC253" s="42">
        <v>1.61</v>
      </c>
      <c r="AD253" s="46">
        <v>1.28</v>
      </c>
    </row>
    <row r="254" spans="22:30">
      <c r="V254" s="44" t="s">
        <v>2605</v>
      </c>
      <c r="W254" s="42">
        <v>3.94</v>
      </c>
      <c r="X254" s="42">
        <v>4.28</v>
      </c>
      <c r="Y254" s="42">
        <v>4.1399999999999997</v>
      </c>
      <c r="Z254" s="42">
        <v>2.35</v>
      </c>
      <c r="AA254" s="42">
        <v>3.6</v>
      </c>
      <c r="AB254" s="42">
        <v>3.11</v>
      </c>
      <c r="AC254" s="42">
        <v>1.62</v>
      </c>
      <c r="AD254" s="46">
        <v>1.1599999999999999</v>
      </c>
    </row>
    <row r="255" spans="22:30">
      <c r="V255" s="44" t="s">
        <v>2606</v>
      </c>
      <c r="W255" s="42">
        <v>3.93</v>
      </c>
      <c r="X255" s="42">
        <v>4.28</v>
      </c>
      <c r="Y255" s="42">
        <v>3.88</v>
      </c>
      <c r="Z255" s="42">
        <v>4.3099999999999996</v>
      </c>
      <c r="AA255" s="42">
        <v>3.6</v>
      </c>
      <c r="AB255" s="42">
        <v>3.12</v>
      </c>
      <c r="AC255" s="42">
        <v>1.63</v>
      </c>
      <c r="AD255" s="46">
        <v>1.19</v>
      </c>
    </row>
    <row r="256" spans="22:30">
      <c r="V256" s="44" t="s">
        <v>2607</v>
      </c>
      <c r="W256" s="42">
        <v>3.91</v>
      </c>
      <c r="X256" s="42">
        <v>4.26</v>
      </c>
      <c r="Y256" s="42">
        <v>4.1500000000000004</v>
      </c>
      <c r="Z256" s="42">
        <v>4.28</v>
      </c>
      <c r="AA256" s="42">
        <v>3.59</v>
      </c>
      <c r="AB256" s="42">
        <v>3.15</v>
      </c>
      <c r="AC256" s="42">
        <v>1.6</v>
      </c>
      <c r="AD256" s="46">
        <v>1.26</v>
      </c>
    </row>
    <row r="257" spans="22:30">
      <c r="V257" s="44" t="s">
        <v>2608</v>
      </c>
      <c r="W257" s="42">
        <v>3.91</v>
      </c>
      <c r="X257" s="42">
        <v>4.25</v>
      </c>
      <c r="Y257" s="42">
        <v>4.18</v>
      </c>
      <c r="Z257" s="42">
        <v>4.32</v>
      </c>
      <c r="AA257" s="42">
        <v>0.81</v>
      </c>
      <c r="AB257" s="42">
        <v>3.14</v>
      </c>
      <c r="AC257" s="42">
        <v>1.61</v>
      </c>
      <c r="AD257" s="46">
        <v>1.22</v>
      </c>
    </row>
    <row r="258" spans="22:30">
      <c r="V258" s="44" t="s">
        <v>2609</v>
      </c>
      <c r="W258" s="42">
        <v>3.92</v>
      </c>
      <c r="X258" s="42">
        <v>4.29</v>
      </c>
      <c r="Y258" s="42">
        <v>4.1399999999999997</v>
      </c>
      <c r="Z258" s="42">
        <v>4.29</v>
      </c>
      <c r="AA258" s="42">
        <v>3.6</v>
      </c>
      <c r="AB258" s="42">
        <v>3.11</v>
      </c>
      <c r="AC258" s="42">
        <v>1.63</v>
      </c>
      <c r="AD258" s="46">
        <v>1.25</v>
      </c>
    </row>
    <row r="259" spans="22:30">
      <c r="V259" s="44" t="s">
        <v>2610</v>
      </c>
      <c r="W259" s="42">
        <v>3.88</v>
      </c>
      <c r="X259" s="42">
        <v>4.2699999999999996</v>
      </c>
      <c r="Y259" s="42">
        <v>4.17</v>
      </c>
      <c r="Z259" s="42">
        <v>4.3899999999999997</v>
      </c>
      <c r="AA259" s="42">
        <v>3.61</v>
      </c>
      <c r="AB259" s="42">
        <v>3.13</v>
      </c>
      <c r="AC259" s="42">
        <v>1.62</v>
      </c>
      <c r="AD259" s="46">
        <v>1.24</v>
      </c>
    </row>
    <row r="260" spans="22:30">
      <c r="V260" s="44" t="s">
        <v>2611</v>
      </c>
      <c r="W260" s="42">
        <v>3.93</v>
      </c>
      <c r="X260" s="42">
        <v>4.2699999999999996</v>
      </c>
      <c r="Y260" s="42">
        <v>4.17</v>
      </c>
      <c r="Z260" s="42">
        <v>4.37</v>
      </c>
      <c r="AA260" s="42">
        <v>3.58</v>
      </c>
      <c r="AB260" s="42">
        <v>3.12</v>
      </c>
      <c r="AC260" s="42">
        <v>1.66</v>
      </c>
      <c r="AD260" s="46">
        <v>1.26</v>
      </c>
    </row>
    <row r="261" spans="22:30">
      <c r="V261" s="44" t="s">
        <v>2612</v>
      </c>
      <c r="W261" s="42">
        <v>3.94</v>
      </c>
      <c r="X261" s="42">
        <v>3.41</v>
      </c>
      <c r="Y261" s="42">
        <v>4.17</v>
      </c>
      <c r="Z261" s="42">
        <v>4.33</v>
      </c>
      <c r="AA261" s="42">
        <v>3.59</v>
      </c>
      <c r="AB261" s="42">
        <v>3.11</v>
      </c>
      <c r="AC261" s="42">
        <v>1.62</v>
      </c>
      <c r="AD261" s="46">
        <v>1.23</v>
      </c>
    </row>
    <row r="262" spans="22:30" ht="15.75" thickBot="1">
      <c r="V262" s="44" t="s">
        <v>2613</v>
      </c>
      <c r="W262" s="42">
        <v>1.24</v>
      </c>
      <c r="X262" s="42">
        <v>4.24</v>
      </c>
      <c r="Y262" s="42">
        <v>4.17</v>
      </c>
      <c r="Z262" s="42">
        <v>4.2699999999999996</v>
      </c>
      <c r="AA262" s="42">
        <v>3.62</v>
      </c>
      <c r="AB262" s="42">
        <v>3.13</v>
      </c>
      <c r="AC262" s="42">
        <v>1.63</v>
      </c>
      <c r="AD262" s="46">
        <v>1.21</v>
      </c>
    </row>
    <row r="263" spans="22:30">
      <c r="V263" s="62" t="s">
        <v>936</v>
      </c>
      <c r="W263" s="57">
        <v>3.75220077220076</v>
      </c>
      <c r="X263" s="57">
        <v>4.1292664092663998</v>
      </c>
      <c r="Y263" s="57">
        <v>3.9294594594594501</v>
      </c>
      <c r="Z263" s="57">
        <v>4.1550972762645797</v>
      </c>
      <c r="AA263" s="57">
        <v>3.4329457364341098</v>
      </c>
      <c r="AB263" s="57">
        <v>3.07220077220077</v>
      </c>
      <c r="AC263" s="57">
        <v>1.61297297297297</v>
      </c>
      <c r="AD263" s="58">
        <v>1.2348249027237299</v>
      </c>
    </row>
    <row r="264" spans="22:30">
      <c r="V264" s="47" t="s">
        <v>515</v>
      </c>
      <c r="W264" s="42">
        <v>0.60904649054418702</v>
      </c>
      <c r="X264" s="42">
        <v>0.59572142636402703</v>
      </c>
      <c r="Y264" s="42">
        <v>0.78968916304150305</v>
      </c>
      <c r="Z264" s="42">
        <v>0.65321182699521996</v>
      </c>
      <c r="AA264" s="42">
        <v>0.62036361318128597</v>
      </c>
      <c r="AB264" s="42">
        <v>0.310768418414055</v>
      </c>
      <c r="AC264" s="42">
        <v>0.122521935799943</v>
      </c>
      <c r="AD264" s="46">
        <v>0.101460485122696</v>
      </c>
    </row>
    <row r="265" spans="22:30">
      <c r="V265" s="47" t="s">
        <v>520</v>
      </c>
      <c r="W265" s="42">
        <v>4.3612472627449499</v>
      </c>
      <c r="X265" s="42">
        <v>4.7249878356304196</v>
      </c>
      <c r="Y265" s="42">
        <v>4.71914862250095</v>
      </c>
      <c r="Z265" s="42">
        <v>4.8083091032598002</v>
      </c>
      <c r="AA265" s="42">
        <v>4.0533093496154002</v>
      </c>
      <c r="AB265" s="42">
        <v>3.38296919061482</v>
      </c>
      <c r="AC265" s="42">
        <v>1.7354949087729099</v>
      </c>
      <c r="AD265" s="46">
        <v>1.33628538784643</v>
      </c>
    </row>
    <row r="266" spans="22:30">
      <c r="V266" s="47" t="s">
        <v>525</v>
      </c>
      <c r="W266" s="42">
        <v>3.1431542816565701</v>
      </c>
      <c r="X266" s="42">
        <v>3.5335449829023702</v>
      </c>
      <c r="Y266" s="42">
        <v>3.1397702964179501</v>
      </c>
      <c r="Z266" s="42">
        <v>3.5018854492693601</v>
      </c>
      <c r="AA266" s="42">
        <v>2.8125821232528199</v>
      </c>
      <c r="AB266" s="42">
        <v>2.7614323537867098</v>
      </c>
      <c r="AC266" s="42">
        <v>1.49045103717302</v>
      </c>
      <c r="AD266" s="46">
        <v>1.13336441760103</v>
      </c>
    </row>
    <row r="267" spans="22:30" ht="15.75" thickBot="1">
      <c r="V267" s="48" t="s">
        <v>937</v>
      </c>
      <c r="W267" s="49">
        <v>3.9107949790794798</v>
      </c>
      <c r="X267" s="49">
        <v>4.2657613168724096</v>
      </c>
      <c r="Y267" s="49">
        <v>4.1490756302520904</v>
      </c>
      <c r="Z267" s="49">
        <v>4.2944262295081899</v>
      </c>
      <c r="AA267" s="49">
        <v>3.5901244813278002</v>
      </c>
      <c r="AB267" s="49">
        <v>3.1287951807228902</v>
      </c>
      <c r="AC267" s="49">
        <v>1.63</v>
      </c>
      <c r="AD267" s="50">
        <v>1.2459756097560899</v>
      </c>
    </row>
    <row r="268" spans="22:30" ht="15.75" thickBot="1"/>
    <row r="269" spans="22:30" ht="30">
      <c r="V269" s="82" t="s">
        <v>534</v>
      </c>
      <c r="W269" s="8">
        <v>3.88</v>
      </c>
      <c r="X269" s="8">
        <v>4.2300000000000004</v>
      </c>
      <c r="Y269" s="8">
        <v>3.88</v>
      </c>
      <c r="Z269" s="8">
        <v>4.43</v>
      </c>
      <c r="AA269" s="8">
        <v>3.58</v>
      </c>
      <c r="AB269" s="8">
        <v>3.17</v>
      </c>
      <c r="AC269" s="8">
        <v>1.72</v>
      </c>
      <c r="AD269" s="9">
        <v>1.1399999999999999</v>
      </c>
    </row>
    <row r="270" spans="22:30">
      <c r="V270" s="52" t="s">
        <v>945</v>
      </c>
      <c r="W270" s="11">
        <f>W269-W267</f>
        <v>-3.0794979079479923E-2</v>
      </c>
      <c r="X270" s="11">
        <f t="shared" ref="X270" si="51">X269-X267</f>
        <v>-3.5761316872409132E-2</v>
      </c>
      <c r="Y270" s="11">
        <f>Y269-Y267</f>
        <v>-0.26907563025209047</v>
      </c>
      <c r="Z270" s="11">
        <f t="shared" ref="Z270" si="52">Z269-Z267</f>
        <v>0.13557377049180985</v>
      </c>
      <c r="AA270" s="11">
        <f>AA269-AA267</f>
        <v>-1.0124481327800083E-2</v>
      </c>
      <c r="AB270" s="11">
        <f>AB269-AB267</f>
        <v>4.1204819277109728E-2</v>
      </c>
      <c r="AC270" s="11">
        <f>AC269-AC267</f>
        <v>9.000000000000008E-2</v>
      </c>
      <c r="AD270" s="12">
        <f t="shared" ref="AD270" si="53">AD269-AD267</f>
        <v>-0.10597560975608999</v>
      </c>
    </row>
    <row r="271" spans="22:30" ht="15.75" thickBot="1">
      <c r="V271" s="53" t="s">
        <v>946</v>
      </c>
      <c r="W271" s="14">
        <f>(W270/W267)*100</f>
        <v>-0.78743527196428031</v>
      </c>
      <c r="X271" s="14">
        <f t="shared" ref="X271" si="54">(X270/X267)*100</f>
        <v>-0.83833375137427479</v>
      </c>
      <c r="Y271" s="14">
        <f>(Y270/Y267)*100</f>
        <v>-6.485194636853171</v>
      </c>
      <c r="Z271" s="14">
        <f t="shared" ref="Z271" si="55">(Z270/Z267)*100</f>
        <v>3.1569705298520443</v>
      </c>
      <c r="AA271" s="14">
        <f>(AA270/AA267)*100</f>
        <v>-0.28200919997224067</v>
      </c>
      <c r="AB271" s="14">
        <f t="shared" ref="AB271" si="56">(AB270/AB267)*100</f>
        <v>1.316954830759794</v>
      </c>
      <c r="AC271" s="14">
        <f>(AC270/AC267)*100</f>
        <v>5.5214723926380422</v>
      </c>
      <c r="AD271" s="15">
        <f>(AD270/AD267)*100</f>
        <v>-8.5054321229318131</v>
      </c>
    </row>
    <row r="272" spans="22:30" ht="15.75" thickBot="1"/>
    <row r="273" spans="22:30" ht="30">
      <c r="V273" s="82" t="s">
        <v>553</v>
      </c>
      <c r="W273" s="8">
        <v>3.86</v>
      </c>
      <c r="X273" s="8">
        <v>4.24</v>
      </c>
      <c r="Y273" s="8">
        <v>3.37</v>
      </c>
      <c r="Z273" s="8">
        <v>4.38</v>
      </c>
      <c r="AA273" s="8">
        <v>3.57</v>
      </c>
      <c r="AB273" s="8">
        <v>3.19</v>
      </c>
      <c r="AC273" s="8">
        <v>1.74</v>
      </c>
      <c r="AD273" s="9">
        <v>1.1200000000000001</v>
      </c>
    </row>
    <row r="274" spans="22:30">
      <c r="V274" s="52" t="s">
        <v>539</v>
      </c>
      <c r="W274" s="11">
        <f>W273-W267</f>
        <v>-5.0794979079479941E-2</v>
      </c>
      <c r="X274" s="11">
        <f t="shared" ref="X274" si="57">X273-X267</f>
        <v>-2.5761316872409346E-2</v>
      </c>
      <c r="Y274" s="11">
        <f>Y273-Y267</f>
        <v>-0.77907563025209026</v>
      </c>
      <c r="Z274" s="11">
        <f t="shared" ref="Z274" si="58">Z273-Z267</f>
        <v>8.5573770491810031E-2</v>
      </c>
      <c r="AA274" s="11">
        <f>AA273-AA267</f>
        <v>-2.0124481327800314E-2</v>
      </c>
      <c r="AB274" s="11">
        <f t="shared" ref="AB274" si="59">AB273-AB267</f>
        <v>6.1204819277109745E-2</v>
      </c>
      <c r="AC274" s="11">
        <f>AC273-AC267</f>
        <v>0.1100000000000001</v>
      </c>
      <c r="AD274" s="12">
        <f>AD273-AD267</f>
        <v>-0.12597560975608979</v>
      </c>
    </row>
    <row r="275" spans="22:30" ht="15.75" thickBot="1">
      <c r="V275" s="53" t="s">
        <v>544</v>
      </c>
      <c r="W275" s="14">
        <f t="shared" ref="W275:AC275" si="60">(W274/W267)*100</f>
        <v>-1.2988402447892071</v>
      </c>
      <c r="X275" s="14">
        <f t="shared" si="60"/>
        <v>-0.60390900846972717</v>
      </c>
      <c r="Y275" s="14">
        <f>(Y274/Y267)*100</f>
        <v>-18.777089156235867</v>
      </c>
      <c r="Z275" s="14">
        <f t="shared" si="60"/>
        <v>1.9926706367385936</v>
      </c>
      <c r="AA275" s="14">
        <f t="shared" si="60"/>
        <v>-0.56055107371534141</v>
      </c>
      <c r="AB275" s="14">
        <f>(AB274/AB267)*100</f>
        <v>1.9561785205437678</v>
      </c>
      <c r="AC275" s="14">
        <f t="shared" si="60"/>
        <v>6.7484662576687189</v>
      </c>
      <c r="AD275" s="15">
        <f>(AD274/AD267)*100</f>
        <v>-10.110599980424221</v>
      </c>
    </row>
    <row r="276" spans="22:30" ht="15.75" thickBot="1"/>
    <row r="277" spans="22:30" ht="30">
      <c r="V277" s="82" t="s">
        <v>568</v>
      </c>
      <c r="W277" s="8">
        <v>3.83</v>
      </c>
      <c r="X277" s="8">
        <v>4.29</v>
      </c>
      <c r="Y277" s="8">
        <v>3.95</v>
      </c>
      <c r="Z277" s="8">
        <v>4.43</v>
      </c>
      <c r="AA277" s="8">
        <v>3.64</v>
      </c>
      <c r="AB277" s="8">
        <v>3.23</v>
      </c>
      <c r="AC277" s="8">
        <v>1.7</v>
      </c>
      <c r="AD277" s="9">
        <v>1.1299999999999999</v>
      </c>
    </row>
    <row r="278" spans="22:30">
      <c r="V278" s="52" t="s">
        <v>539</v>
      </c>
      <c r="W278" s="11">
        <f>W277-W267</f>
        <v>-8.0794979079479745E-2</v>
      </c>
      <c r="X278" s="11">
        <f t="shared" ref="X278:AC278" si="61">X277-X267</f>
        <v>2.4238683127590477E-2</v>
      </c>
      <c r="Y278" s="11">
        <f>Y277-Y267</f>
        <v>-0.19907563025209019</v>
      </c>
      <c r="Z278" s="11">
        <f t="shared" si="61"/>
        <v>0.13557377049180985</v>
      </c>
      <c r="AA278" s="11">
        <f>AA277-AA267</f>
        <v>4.987551867219997E-2</v>
      </c>
      <c r="AB278" s="11">
        <f t="shared" si="61"/>
        <v>0.10120481927710978</v>
      </c>
      <c r="AC278" s="11">
        <f t="shared" si="61"/>
        <v>7.0000000000000062E-2</v>
      </c>
      <c r="AD278" s="12">
        <f>AD277-AD267</f>
        <v>-0.11597560975609</v>
      </c>
    </row>
    <row r="279" spans="22:30" ht="15.75" thickBot="1">
      <c r="V279" s="53" t="s">
        <v>544</v>
      </c>
      <c r="W279" s="14">
        <f>(W278/W267)*100</f>
        <v>-2.0659477040265917</v>
      </c>
      <c r="X279" s="14">
        <f t="shared" ref="X279:AB279" si="62">(X278/X267)*100</f>
        <v>0.56821470605303126</v>
      </c>
      <c r="Y279" s="14">
        <f>(Y278/Y267)*100</f>
        <v>-4.7980718596829899</v>
      </c>
      <c r="Z279" s="14">
        <f t="shared" si="62"/>
        <v>3.1569705298520443</v>
      </c>
      <c r="AA279" s="14">
        <f t="shared" si="62"/>
        <v>1.3892420424863265</v>
      </c>
      <c r="AB279" s="14">
        <f t="shared" si="62"/>
        <v>3.2346259001117166</v>
      </c>
      <c r="AC279" s="14">
        <f>(AC278/AC267)*100</f>
        <v>4.2944785276073665</v>
      </c>
      <c r="AD279" s="15">
        <f>(AD278/AD267)*100</f>
        <v>-9.3080160516780257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0"/>
  <sheetViews>
    <sheetView topLeftCell="AK1" zoomScale="145" zoomScaleNormal="145" workbookViewId="0">
      <pane ySplit="3" topLeftCell="A63" activePane="bottomLeft" state="frozen"/>
      <selection pane="bottomLeft" activeCell="AQ64" sqref="AQ64:AX64"/>
    </sheetView>
  </sheetViews>
  <sheetFormatPr defaultColWidth="8.85546875" defaultRowHeight="15"/>
  <cols>
    <col min="1" max="1" width="8.85546875" style="40"/>
    <col min="2" max="2" width="19.5703125" style="40" bestFit="1" customWidth="1"/>
    <col min="3" max="5" width="5.7109375" style="40" bestFit="1" customWidth="1"/>
    <col min="6" max="6" width="5" style="40" bestFit="1" customWidth="1"/>
    <col min="7" max="8" width="5.7109375" style="40" bestFit="1" customWidth="1"/>
    <col min="9" max="9" width="6.7109375" style="40" bestFit="1" customWidth="1"/>
    <col min="10" max="10" width="5" style="40" bestFit="1" customWidth="1"/>
    <col min="11" max="11" width="8.85546875" style="40"/>
    <col min="12" max="12" width="19.5703125" style="40" bestFit="1" customWidth="1"/>
    <col min="13" max="13" width="5" style="40" bestFit="1" customWidth="1"/>
    <col min="14" max="16" width="5.7109375" style="40" bestFit="1" customWidth="1"/>
    <col min="17" max="17" width="5" style="40" bestFit="1" customWidth="1"/>
    <col min="18" max="19" width="5.7109375" style="40" bestFit="1" customWidth="1"/>
    <col min="20" max="20" width="6.7109375" style="40" bestFit="1" customWidth="1"/>
    <col min="21" max="21" width="8.85546875" style="40"/>
    <col min="22" max="22" width="19.5703125" style="40" bestFit="1" customWidth="1"/>
    <col min="23" max="24" width="5.7109375" style="40" bestFit="1" customWidth="1"/>
    <col min="25" max="25" width="6.7109375" style="40" bestFit="1" customWidth="1"/>
    <col min="26" max="26" width="5" style="40" bestFit="1" customWidth="1"/>
    <col min="27" max="27" width="5.7109375" style="40" bestFit="1" customWidth="1"/>
    <col min="28" max="29" width="5" style="40" bestFit="1" customWidth="1"/>
    <col min="30" max="30" width="6.7109375" style="40" bestFit="1" customWidth="1"/>
    <col min="31" max="31" width="8.85546875" style="40"/>
    <col min="32" max="32" width="19.5703125" style="40" bestFit="1" customWidth="1"/>
    <col min="33" max="35" width="5.7109375" style="40" bestFit="1" customWidth="1"/>
    <col min="36" max="37" width="5" style="40" bestFit="1" customWidth="1"/>
    <col min="38" max="40" width="5.7109375" style="40" bestFit="1" customWidth="1"/>
    <col min="41" max="41" width="8.85546875" style="40"/>
    <col min="42" max="42" width="19.5703125" style="40" bestFit="1" customWidth="1"/>
    <col min="43" max="43" width="6.140625" style="40" bestFit="1" customWidth="1"/>
    <col min="44" max="45" width="7.28515625" style="40" bestFit="1" customWidth="1"/>
    <col min="46" max="46" width="6.140625" style="40" bestFit="1" customWidth="1"/>
    <col min="47" max="48" width="7.28515625" style="40" bestFit="1" customWidth="1"/>
    <col min="49" max="49" width="6.140625" style="40" bestFit="1" customWidth="1"/>
    <col min="50" max="50" width="5" style="40" bestFit="1" customWidth="1"/>
    <col min="51" max="51" width="8.85546875" style="40"/>
    <col min="52" max="52" width="19.5703125" style="40" bestFit="1" customWidth="1"/>
    <col min="53" max="53" width="7.28515625" style="40" bestFit="1" customWidth="1"/>
    <col min="54" max="54" width="6.140625" style="40" bestFit="1" customWidth="1"/>
    <col min="55" max="55" width="8.7109375" style="40" bestFit="1" customWidth="1"/>
    <col min="56" max="57" width="7.28515625" style="40" bestFit="1" customWidth="1"/>
    <col min="58" max="58" width="6.140625" style="40" bestFit="1" customWidth="1"/>
    <col min="59" max="60" width="7.28515625" style="40" bestFit="1" customWidth="1"/>
    <col min="61" max="61" width="8.85546875" style="40"/>
    <col min="62" max="62" width="19.5703125" style="40" bestFit="1" customWidth="1"/>
    <col min="63" max="63" width="6.7109375" style="40" bestFit="1" customWidth="1"/>
    <col min="64" max="65" width="7.28515625" style="40" bestFit="1" customWidth="1"/>
    <col min="66" max="66" width="6.140625" style="40" bestFit="1" customWidth="1"/>
    <col min="67" max="67" width="7.28515625" style="40" bestFit="1" customWidth="1"/>
    <col min="68" max="68" width="6.140625" style="40" bestFit="1" customWidth="1"/>
    <col min="69" max="70" width="7.28515625" style="40" bestFit="1" customWidth="1"/>
    <col min="71" max="71" width="8.85546875" style="40"/>
    <col min="72" max="72" width="19.5703125" style="40" bestFit="1" customWidth="1"/>
    <col min="73" max="74" width="7.28515625" style="40" bestFit="1" customWidth="1"/>
    <col min="75" max="75" width="8.7109375" style="40" bestFit="1" customWidth="1"/>
    <col min="76" max="78" width="7.28515625" style="40" bestFit="1" customWidth="1"/>
    <col min="79" max="79" width="8.7109375" style="40" bestFit="1" customWidth="1"/>
    <col min="80" max="80" width="6.140625" style="40" bestFit="1" customWidth="1"/>
    <col min="81" max="16384" width="8.85546875" style="40"/>
  </cols>
  <sheetData>
    <row r="1" spans="2:80" ht="15.75" thickBot="1"/>
    <row r="2" spans="2:80" s="1" customFormat="1" ht="14.45" customHeight="1">
      <c r="B2" s="85" t="s">
        <v>1</v>
      </c>
      <c r="C2" s="86"/>
      <c r="D2" s="86"/>
      <c r="E2" s="86"/>
      <c r="F2" s="86"/>
      <c r="G2" s="86"/>
      <c r="H2" s="86"/>
      <c r="I2" s="86"/>
      <c r="J2" s="87"/>
      <c r="L2" s="85" t="s">
        <v>2</v>
      </c>
      <c r="M2" s="86"/>
      <c r="N2" s="86"/>
      <c r="O2" s="86"/>
      <c r="P2" s="86"/>
      <c r="Q2" s="86"/>
      <c r="R2" s="86"/>
      <c r="S2" s="86"/>
      <c r="T2" s="87"/>
      <c r="V2" s="85" t="s">
        <v>3</v>
      </c>
      <c r="W2" s="86"/>
      <c r="X2" s="86"/>
      <c r="Y2" s="86"/>
      <c r="Z2" s="86"/>
      <c r="AA2" s="86"/>
      <c r="AB2" s="86"/>
      <c r="AC2" s="86"/>
      <c r="AD2" s="87"/>
      <c r="AF2" s="85" t="s">
        <v>4</v>
      </c>
      <c r="AG2" s="86"/>
      <c r="AH2" s="86"/>
      <c r="AI2" s="86"/>
      <c r="AJ2" s="86"/>
      <c r="AK2" s="86"/>
      <c r="AL2" s="86"/>
      <c r="AM2" s="86"/>
      <c r="AN2" s="87"/>
      <c r="AP2" s="85" t="s">
        <v>5</v>
      </c>
      <c r="AQ2" s="86"/>
      <c r="AR2" s="86"/>
      <c r="AS2" s="86"/>
      <c r="AT2" s="86"/>
      <c r="AU2" s="86"/>
      <c r="AV2" s="86"/>
      <c r="AW2" s="86"/>
      <c r="AX2" s="87"/>
      <c r="AZ2" s="85" t="s">
        <v>6</v>
      </c>
      <c r="BA2" s="86"/>
      <c r="BB2" s="86"/>
      <c r="BC2" s="86"/>
      <c r="BD2" s="86"/>
      <c r="BE2" s="86"/>
      <c r="BF2" s="86"/>
      <c r="BG2" s="86"/>
      <c r="BH2" s="87"/>
      <c r="BJ2" s="85" t="s">
        <v>7</v>
      </c>
      <c r="BK2" s="86"/>
      <c r="BL2" s="86"/>
      <c r="BM2" s="86"/>
      <c r="BN2" s="86"/>
      <c r="BO2" s="86"/>
      <c r="BP2" s="86"/>
      <c r="BQ2" s="86"/>
      <c r="BR2" s="87"/>
      <c r="BT2" s="85" t="s">
        <v>8</v>
      </c>
      <c r="BU2" s="86"/>
      <c r="BV2" s="86"/>
      <c r="BW2" s="86"/>
      <c r="BX2" s="86"/>
      <c r="BY2" s="86"/>
      <c r="BZ2" s="86"/>
      <c r="CA2" s="86"/>
      <c r="CB2" s="87"/>
    </row>
    <row r="3" spans="2:80" s="1" customFormat="1" ht="15.75" thickBot="1">
      <c r="B3" s="28" t="s">
        <v>9</v>
      </c>
      <c r="C3" s="29" t="s">
        <v>10</v>
      </c>
      <c r="D3" s="29" t="s">
        <v>13</v>
      </c>
      <c r="E3" s="29" t="s">
        <v>16</v>
      </c>
      <c r="F3" s="29" t="s">
        <v>19</v>
      </c>
      <c r="G3" s="29" t="s">
        <v>22</v>
      </c>
      <c r="H3" s="29" t="s">
        <v>25</v>
      </c>
      <c r="I3" s="29" t="s">
        <v>28</v>
      </c>
      <c r="J3" s="30" t="s">
        <v>31</v>
      </c>
      <c r="L3" s="28" t="s">
        <v>9</v>
      </c>
      <c r="M3" s="29" t="s">
        <v>10</v>
      </c>
      <c r="N3" s="29" t="s">
        <v>13</v>
      </c>
      <c r="O3" s="29" t="s">
        <v>16</v>
      </c>
      <c r="P3" s="29" t="s">
        <v>19</v>
      </c>
      <c r="Q3" s="29" t="s">
        <v>22</v>
      </c>
      <c r="R3" s="29" t="s">
        <v>25</v>
      </c>
      <c r="S3" s="29" t="s">
        <v>28</v>
      </c>
      <c r="T3" s="30" t="s">
        <v>31</v>
      </c>
      <c r="V3" s="28" t="s">
        <v>9</v>
      </c>
      <c r="W3" s="29" t="s">
        <v>10</v>
      </c>
      <c r="X3" s="29" t="s">
        <v>13</v>
      </c>
      <c r="Y3" s="29" t="s">
        <v>16</v>
      </c>
      <c r="Z3" s="29" t="s">
        <v>19</v>
      </c>
      <c r="AA3" s="29" t="s">
        <v>22</v>
      </c>
      <c r="AB3" s="29" t="s">
        <v>25</v>
      </c>
      <c r="AC3" s="29" t="s">
        <v>28</v>
      </c>
      <c r="AD3" s="30" t="s">
        <v>31</v>
      </c>
      <c r="AF3" s="28" t="s">
        <v>9</v>
      </c>
      <c r="AG3" s="29" t="s">
        <v>10</v>
      </c>
      <c r="AH3" s="29" t="s">
        <v>13</v>
      </c>
      <c r="AI3" s="29" t="s">
        <v>16</v>
      </c>
      <c r="AJ3" s="29" t="s">
        <v>19</v>
      </c>
      <c r="AK3" s="29" t="s">
        <v>22</v>
      </c>
      <c r="AL3" s="29" t="s">
        <v>25</v>
      </c>
      <c r="AM3" s="29" t="s">
        <v>28</v>
      </c>
      <c r="AN3" s="30" t="s">
        <v>31</v>
      </c>
      <c r="AP3" s="28" t="s">
        <v>9</v>
      </c>
      <c r="AQ3" s="29" t="s">
        <v>10</v>
      </c>
      <c r="AR3" s="29" t="s">
        <v>13</v>
      </c>
      <c r="AS3" s="29" t="s">
        <v>16</v>
      </c>
      <c r="AT3" s="29" t="s">
        <v>19</v>
      </c>
      <c r="AU3" s="29" t="s">
        <v>22</v>
      </c>
      <c r="AV3" s="29" t="s">
        <v>25</v>
      </c>
      <c r="AW3" s="29" t="s">
        <v>28</v>
      </c>
      <c r="AX3" s="30" t="s">
        <v>31</v>
      </c>
      <c r="AZ3" s="28" t="s">
        <v>9</v>
      </c>
      <c r="BA3" s="29" t="s">
        <v>10</v>
      </c>
      <c r="BB3" s="29" t="s">
        <v>13</v>
      </c>
      <c r="BC3" s="29" t="s">
        <v>16</v>
      </c>
      <c r="BD3" s="29" t="s">
        <v>19</v>
      </c>
      <c r="BE3" s="29" t="s">
        <v>22</v>
      </c>
      <c r="BF3" s="29" t="s">
        <v>25</v>
      </c>
      <c r="BG3" s="29" t="s">
        <v>28</v>
      </c>
      <c r="BH3" s="30" t="s">
        <v>31</v>
      </c>
      <c r="BJ3" s="28" t="s">
        <v>9</v>
      </c>
      <c r="BK3" s="29" t="s">
        <v>10</v>
      </c>
      <c r="BL3" s="29" t="s">
        <v>13</v>
      </c>
      <c r="BM3" s="29" t="s">
        <v>16</v>
      </c>
      <c r="BN3" s="29" t="s">
        <v>19</v>
      </c>
      <c r="BO3" s="29" t="s">
        <v>22</v>
      </c>
      <c r="BP3" s="29" t="s">
        <v>25</v>
      </c>
      <c r="BQ3" s="29" t="s">
        <v>28</v>
      </c>
      <c r="BR3" s="30" t="s">
        <v>31</v>
      </c>
      <c r="BT3" s="28" t="s">
        <v>9</v>
      </c>
      <c r="BU3" s="29" t="s">
        <v>10</v>
      </c>
      <c r="BV3" s="29" t="s">
        <v>13</v>
      </c>
      <c r="BW3" s="29" t="s">
        <v>16</v>
      </c>
      <c r="BX3" s="29" t="s">
        <v>19</v>
      </c>
      <c r="BY3" s="29" t="s">
        <v>22</v>
      </c>
      <c r="BZ3" s="29" t="s">
        <v>25</v>
      </c>
      <c r="CA3" s="29" t="s">
        <v>28</v>
      </c>
      <c r="CB3" s="30" t="s">
        <v>31</v>
      </c>
    </row>
    <row r="4" spans="2:80">
      <c r="B4" s="43" t="s">
        <v>2614</v>
      </c>
      <c r="C4" s="57">
        <v>3.01</v>
      </c>
      <c r="D4" s="57">
        <v>4.3499999999999996</v>
      </c>
      <c r="E4" s="57">
        <v>5.28</v>
      </c>
      <c r="F4" s="57">
        <v>5.66</v>
      </c>
      <c r="G4" s="57">
        <v>4.3</v>
      </c>
      <c r="H4" s="57">
        <v>4.8600000000000003</v>
      </c>
      <c r="I4" s="57">
        <v>1.74</v>
      </c>
      <c r="J4" s="58">
        <v>3.25</v>
      </c>
      <c r="L4" s="43" t="s">
        <v>2614</v>
      </c>
      <c r="M4" s="57">
        <v>2.84</v>
      </c>
      <c r="N4" s="57">
        <v>5.45</v>
      </c>
      <c r="O4" s="57">
        <v>5.16</v>
      </c>
      <c r="P4" s="57">
        <v>6.06</v>
      </c>
      <c r="Q4" s="57">
        <v>0</v>
      </c>
      <c r="R4" s="57">
        <v>3.72</v>
      </c>
      <c r="S4" s="57">
        <v>3.08</v>
      </c>
      <c r="T4" s="58">
        <v>3.42</v>
      </c>
      <c r="V4" s="43" t="s">
        <v>2614</v>
      </c>
      <c r="W4" s="57">
        <v>3.92</v>
      </c>
      <c r="X4" s="57">
        <v>4.3099999999999996</v>
      </c>
      <c r="Y4" s="57">
        <v>4.1399999999999997</v>
      </c>
      <c r="Z4" s="57">
        <v>4.29</v>
      </c>
      <c r="AA4" s="57">
        <v>3.58</v>
      </c>
      <c r="AB4" s="57">
        <v>3.15</v>
      </c>
      <c r="AC4" s="57">
        <v>1.63</v>
      </c>
      <c r="AD4" s="58">
        <v>1.18</v>
      </c>
      <c r="AF4" s="43" t="s">
        <v>2614</v>
      </c>
      <c r="AG4" s="57">
        <v>4.13</v>
      </c>
      <c r="AH4" s="57">
        <v>6.07</v>
      </c>
      <c r="AI4" s="57">
        <v>3.77</v>
      </c>
      <c r="AJ4" s="57">
        <v>5.15</v>
      </c>
      <c r="AK4" s="57">
        <v>4.66</v>
      </c>
      <c r="AL4" s="57">
        <v>1.85</v>
      </c>
      <c r="AM4" s="57">
        <v>3.75</v>
      </c>
      <c r="AN4" s="58">
        <v>3.08</v>
      </c>
      <c r="AP4" s="43" t="s">
        <v>2614</v>
      </c>
      <c r="AQ4" s="57">
        <v>2.59</v>
      </c>
      <c r="AR4" s="57">
        <v>1.17</v>
      </c>
      <c r="AS4" s="57">
        <v>7.88</v>
      </c>
      <c r="AT4" s="57">
        <v>3.04</v>
      </c>
      <c r="AU4" s="57">
        <v>1.37</v>
      </c>
      <c r="AV4" s="57">
        <v>99.99</v>
      </c>
      <c r="AW4" s="57">
        <v>1.17</v>
      </c>
      <c r="AX4" s="58">
        <v>6.72</v>
      </c>
      <c r="AZ4" s="43" t="s">
        <v>2614</v>
      </c>
      <c r="BA4" s="57">
        <v>0.53</v>
      </c>
      <c r="BB4" s="57">
        <v>0.53</v>
      </c>
      <c r="BC4" s="57">
        <v>0.39</v>
      </c>
      <c r="BD4" s="57">
        <v>1.61</v>
      </c>
      <c r="BE4" s="57">
        <v>2.21</v>
      </c>
      <c r="BF4" s="57">
        <v>2.21</v>
      </c>
      <c r="BG4" s="57">
        <v>0.73</v>
      </c>
      <c r="BH4" s="58">
        <v>1.37</v>
      </c>
      <c r="BJ4" s="43" t="s">
        <v>2614</v>
      </c>
      <c r="BK4" s="57">
        <v>12.69</v>
      </c>
      <c r="BL4" s="57">
        <v>0</v>
      </c>
      <c r="BM4" s="57">
        <v>1.61</v>
      </c>
      <c r="BN4" s="57">
        <v>3.56</v>
      </c>
      <c r="BO4" s="57">
        <v>1.61</v>
      </c>
      <c r="BP4" s="57">
        <v>0.85</v>
      </c>
      <c r="BQ4" s="57">
        <v>0.24</v>
      </c>
      <c r="BR4" s="58">
        <v>0.24</v>
      </c>
      <c r="BT4" s="43" t="s">
        <v>2614</v>
      </c>
      <c r="BU4" s="57">
        <v>0.85</v>
      </c>
      <c r="BV4" s="57">
        <v>0.45</v>
      </c>
      <c r="BW4" s="57">
        <v>0.15</v>
      </c>
      <c r="BX4" s="57">
        <v>2.59</v>
      </c>
      <c r="BY4" s="57">
        <v>2.21</v>
      </c>
      <c r="BZ4" s="57">
        <v>0.73</v>
      </c>
      <c r="CA4" s="57">
        <v>0.39</v>
      </c>
      <c r="CB4" s="58">
        <v>2.21</v>
      </c>
    </row>
    <row r="5" spans="2:80">
      <c r="B5" s="44" t="s">
        <v>2614</v>
      </c>
      <c r="C5" s="42">
        <v>3</v>
      </c>
      <c r="D5" s="42">
        <v>4.41</v>
      </c>
      <c r="E5" s="42">
        <v>5.28</v>
      </c>
      <c r="F5" s="42">
        <v>5.61</v>
      </c>
      <c r="G5" s="42">
        <v>4.34</v>
      </c>
      <c r="H5" s="42">
        <v>4.84</v>
      </c>
      <c r="I5" s="42">
        <v>1.76</v>
      </c>
      <c r="J5" s="46">
        <v>2.23</v>
      </c>
      <c r="L5" s="44" t="s">
        <v>2614</v>
      </c>
      <c r="M5" s="42">
        <v>2.85</v>
      </c>
      <c r="N5" s="42">
        <v>5.43</v>
      </c>
      <c r="O5" s="42">
        <v>1.82</v>
      </c>
      <c r="P5" s="42">
        <v>6.07</v>
      </c>
      <c r="Q5" s="42">
        <v>5.12</v>
      </c>
      <c r="R5" s="42">
        <v>3.72</v>
      </c>
      <c r="S5" s="42">
        <v>3.04</v>
      </c>
      <c r="T5" s="46">
        <v>3.41</v>
      </c>
      <c r="V5" s="44" t="s">
        <v>2614</v>
      </c>
      <c r="W5" s="42">
        <v>1.65</v>
      </c>
      <c r="X5" s="42">
        <v>4.26</v>
      </c>
      <c r="Y5" s="42">
        <v>4.1900000000000004</v>
      </c>
      <c r="Z5" s="42">
        <v>4.4000000000000004</v>
      </c>
      <c r="AA5" s="42">
        <v>3.62</v>
      </c>
      <c r="AB5" s="42">
        <v>1.92</v>
      </c>
      <c r="AC5" s="42">
        <v>1.64</v>
      </c>
      <c r="AD5" s="46">
        <v>1.26</v>
      </c>
      <c r="AF5" s="44" t="s">
        <v>2614</v>
      </c>
      <c r="AG5" s="42">
        <v>4.1399999999999997</v>
      </c>
      <c r="AH5" s="42">
        <v>6.06</v>
      </c>
      <c r="AI5" s="42">
        <v>3.78</v>
      </c>
      <c r="AJ5" s="42">
        <v>5.26</v>
      </c>
      <c r="AK5" s="42">
        <v>5.45</v>
      </c>
      <c r="AL5" s="42">
        <v>1.85</v>
      </c>
      <c r="AM5" s="42">
        <v>3.77</v>
      </c>
      <c r="AN5" s="46">
        <v>3.17</v>
      </c>
      <c r="AP5" s="44" t="s">
        <v>2614</v>
      </c>
      <c r="AQ5" s="42">
        <v>2.59</v>
      </c>
      <c r="AR5" s="42">
        <v>0</v>
      </c>
      <c r="AS5" s="42">
        <v>2.59</v>
      </c>
      <c r="AT5" s="42">
        <v>3.56</v>
      </c>
      <c r="AU5" s="42">
        <v>1.37</v>
      </c>
      <c r="AV5" s="42">
        <v>1.37</v>
      </c>
      <c r="AW5" s="42">
        <v>1.17</v>
      </c>
      <c r="AX5" s="46">
        <v>0</v>
      </c>
      <c r="AZ5" s="44" t="s">
        <v>2614</v>
      </c>
      <c r="BA5" s="42">
        <v>0.53</v>
      </c>
      <c r="BB5" s="42">
        <v>4.18</v>
      </c>
      <c r="BC5" s="42">
        <v>0.39</v>
      </c>
      <c r="BD5" s="42">
        <v>1.61</v>
      </c>
      <c r="BE5" s="42">
        <v>9.24</v>
      </c>
      <c r="BF5" s="42">
        <v>9.24</v>
      </c>
      <c r="BG5" s="42">
        <v>0.73</v>
      </c>
      <c r="BH5" s="46">
        <v>1.17</v>
      </c>
      <c r="BJ5" s="44" t="s">
        <v>2614</v>
      </c>
      <c r="BK5" s="42">
        <v>12.69</v>
      </c>
      <c r="BL5" s="42">
        <v>1.37</v>
      </c>
      <c r="BM5" s="42">
        <v>1.61</v>
      </c>
      <c r="BN5" s="42">
        <v>3.56</v>
      </c>
      <c r="BO5" s="42">
        <v>1.89</v>
      </c>
      <c r="BP5" s="42">
        <v>2.21</v>
      </c>
      <c r="BQ5" s="42">
        <v>0.2</v>
      </c>
      <c r="BR5" s="46">
        <v>0.85</v>
      </c>
      <c r="BT5" s="44" t="s">
        <v>2614</v>
      </c>
      <c r="BU5" s="42">
        <v>0.85</v>
      </c>
      <c r="BV5" s="42">
        <v>0.45</v>
      </c>
      <c r="BW5" s="42">
        <v>0.15</v>
      </c>
      <c r="BX5" s="42">
        <v>0</v>
      </c>
      <c r="BY5" s="42">
        <v>1.89</v>
      </c>
      <c r="BZ5" s="42">
        <v>0.33</v>
      </c>
      <c r="CA5" s="42">
        <v>0.28000000000000003</v>
      </c>
      <c r="CB5" s="46">
        <v>2.21</v>
      </c>
    </row>
    <row r="6" spans="2:80">
      <c r="B6" s="44" t="s">
        <v>2614</v>
      </c>
      <c r="C6" s="42">
        <v>0.5</v>
      </c>
      <c r="D6" s="42">
        <v>4.41</v>
      </c>
      <c r="E6" s="42">
        <v>5.3</v>
      </c>
      <c r="F6" s="42">
        <v>3.98</v>
      </c>
      <c r="G6" s="42">
        <v>4.32</v>
      </c>
      <c r="H6" s="42">
        <v>4.83</v>
      </c>
      <c r="I6" s="42">
        <v>1.75</v>
      </c>
      <c r="J6" s="46">
        <v>0.85</v>
      </c>
      <c r="L6" s="44" t="s">
        <v>2614</v>
      </c>
      <c r="M6" s="42">
        <v>2.79</v>
      </c>
      <c r="N6" s="42">
        <v>5.43</v>
      </c>
      <c r="O6" s="42">
        <v>5.16</v>
      </c>
      <c r="P6" s="42">
        <v>6.12</v>
      </c>
      <c r="Q6" s="42">
        <v>0</v>
      </c>
      <c r="R6" s="42">
        <v>3.74</v>
      </c>
      <c r="S6" s="42">
        <v>3.04</v>
      </c>
      <c r="T6" s="46">
        <v>3.48</v>
      </c>
      <c r="V6" s="44" t="s">
        <v>2614</v>
      </c>
      <c r="W6" s="42">
        <v>3.89</v>
      </c>
      <c r="X6" s="42">
        <v>4.26</v>
      </c>
      <c r="Y6" s="42">
        <v>4.1900000000000004</v>
      </c>
      <c r="Z6" s="42">
        <v>4.3499999999999996</v>
      </c>
      <c r="AA6" s="42">
        <v>3.57</v>
      </c>
      <c r="AB6" s="42">
        <v>3.11</v>
      </c>
      <c r="AC6" s="42">
        <v>1.65</v>
      </c>
      <c r="AD6" s="46">
        <v>1.24</v>
      </c>
      <c r="AF6" s="44" t="s">
        <v>2614</v>
      </c>
      <c r="AG6" s="42">
        <v>4.1399999999999997</v>
      </c>
      <c r="AH6" s="42">
        <v>6.09</v>
      </c>
      <c r="AI6" s="42">
        <v>0.49</v>
      </c>
      <c r="AJ6" s="42">
        <v>5.12</v>
      </c>
      <c r="AK6" s="42">
        <v>5.46</v>
      </c>
      <c r="AL6" s="42">
        <v>1.81</v>
      </c>
      <c r="AM6" s="42">
        <v>3.71</v>
      </c>
      <c r="AN6" s="46">
        <v>0</v>
      </c>
      <c r="AP6" s="44" t="s">
        <v>2614</v>
      </c>
      <c r="AQ6" s="42">
        <v>0</v>
      </c>
      <c r="AR6" s="42">
        <v>0</v>
      </c>
      <c r="AS6" s="42">
        <v>0</v>
      </c>
      <c r="AT6" s="42">
        <v>2.59</v>
      </c>
      <c r="AU6" s="42">
        <v>1.61</v>
      </c>
      <c r="AV6" s="42">
        <v>5.74</v>
      </c>
      <c r="AW6" s="42">
        <v>0</v>
      </c>
      <c r="AX6" s="46">
        <v>3.04</v>
      </c>
      <c r="AZ6" s="44" t="s">
        <v>2614</v>
      </c>
      <c r="BA6" s="42">
        <v>0.53</v>
      </c>
      <c r="BB6" s="42">
        <v>0.73</v>
      </c>
      <c r="BC6" s="42">
        <v>0.39</v>
      </c>
      <c r="BD6" s="42">
        <v>3.56</v>
      </c>
      <c r="BE6" s="42">
        <v>2.21</v>
      </c>
      <c r="BF6" s="42">
        <v>1.89</v>
      </c>
      <c r="BG6" s="42">
        <v>0.73</v>
      </c>
      <c r="BH6" s="46">
        <v>1.17</v>
      </c>
      <c r="BJ6" s="44" t="s">
        <v>2614</v>
      </c>
      <c r="BK6" s="42">
        <v>12.69</v>
      </c>
      <c r="BL6" s="42">
        <v>1.37</v>
      </c>
      <c r="BM6" s="42">
        <v>1.89</v>
      </c>
      <c r="BN6" s="42">
        <v>0</v>
      </c>
      <c r="BO6" s="42">
        <v>1.89</v>
      </c>
      <c r="BP6" s="42">
        <v>2.59</v>
      </c>
      <c r="BQ6" s="42">
        <v>0.24</v>
      </c>
      <c r="BR6" s="46">
        <v>0.24</v>
      </c>
      <c r="BT6" s="44" t="s">
        <v>2614</v>
      </c>
      <c r="BU6" s="42">
        <v>0.73</v>
      </c>
      <c r="BV6" s="42">
        <v>0.45</v>
      </c>
      <c r="BW6" s="42">
        <v>0.15</v>
      </c>
      <c r="BX6" s="42">
        <v>1.17</v>
      </c>
      <c r="BY6" s="42">
        <v>2.21</v>
      </c>
      <c r="BZ6" s="42">
        <v>0.73</v>
      </c>
      <c r="CA6" s="42">
        <v>0.33</v>
      </c>
      <c r="CB6" s="46">
        <v>1.89</v>
      </c>
    </row>
    <row r="7" spans="2:80">
      <c r="B7" s="44" t="s">
        <v>2614</v>
      </c>
      <c r="C7" s="42">
        <v>2.0299999999999998</v>
      </c>
      <c r="D7" s="42">
        <v>4.37</v>
      </c>
      <c r="E7" s="42">
        <v>5.28</v>
      </c>
      <c r="F7" s="42">
        <v>5.62</v>
      </c>
      <c r="G7" s="42">
        <v>4.33</v>
      </c>
      <c r="H7" s="42">
        <v>4.83</v>
      </c>
      <c r="I7" s="42">
        <v>1.74</v>
      </c>
      <c r="J7" s="46">
        <v>2.27</v>
      </c>
      <c r="L7" s="44" t="s">
        <v>2614</v>
      </c>
      <c r="M7" s="42">
        <v>2.84</v>
      </c>
      <c r="N7" s="42">
        <v>5.43</v>
      </c>
      <c r="O7" s="42">
        <v>5.2</v>
      </c>
      <c r="P7" s="42">
        <v>6.01</v>
      </c>
      <c r="Q7" s="42">
        <v>0</v>
      </c>
      <c r="R7" s="42">
        <v>3.72</v>
      </c>
      <c r="S7" s="42">
        <v>0.22</v>
      </c>
      <c r="T7" s="46">
        <v>3.52</v>
      </c>
      <c r="V7" s="44" t="s">
        <v>2614</v>
      </c>
      <c r="W7" s="42">
        <v>3.91</v>
      </c>
      <c r="X7" s="42">
        <v>4.2699999999999996</v>
      </c>
      <c r="Y7" s="42">
        <v>4.18</v>
      </c>
      <c r="Z7" s="42">
        <v>4.32</v>
      </c>
      <c r="AA7" s="42">
        <v>3.58</v>
      </c>
      <c r="AB7" s="42">
        <v>3.12</v>
      </c>
      <c r="AC7" s="42">
        <v>1.66</v>
      </c>
      <c r="AD7" s="46">
        <v>1.28</v>
      </c>
      <c r="AF7" s="44" t="s">
        <v>2614</v>
      </c>
      <c r="AG7" s="42">
        <v>4.1399999999999997</v>
      </c>
      <c r="AH7" s="42">
        <v>6.06</v>
      </c>
      <c r="AI7" s="42">
        <v>0.4</v>
      </c>
      <c r="AJ7" s="42">
        <v>5.6</v>
      </c>
      <c r="AK7" s="42">
        <v>5.45</v>
      </c>
      <c r="AL7" s="42">
        <v>1.86</v>
      </c>
      <c r="AM7" s="42">
        <v>3.79</v>
      </c>
      <c r="AN7" s="46">
        <v>0</v>
      </c>
      <c r="AP7" s="44" t="s">
        <v>2614</v>
      </c>
      <c r="AQ7" s="42">
        <v>2.21</v>
      </c>
      <c r="AR7" s="42">
        <v>1.17</v>
      </c>
      <c r="AS7" s="42">
        <v>2.59</v>
      </c>
      <c r="AT7" s="42">
        <v>14.87</v>
      </c>
      <c r="AU7" s="42">
        <v>1.37</v>
      </c>
      <c r="AV7" s="42">
        <v>1.17</v>
      </c>
      <c r="AW7" s="42">
        <v>1.37</v>
      </c>
      <c r="AX7" s="46">
        <v>0</v>
      </c>
      <c r="AZ7" s="44" t="s">
        <v>2614</v>
      </c>
      <c r="BA7" s="42">
        <v>0.53</v>
      </c>
      <c r="BB7" s="42">
        <v>4.18</v>
      </c>
      <c r="BC7" s="42">
        <v>0.39</v>
      </c>
      <c r="BD7" s="42">
        <v>1.61</v>
      </c>
      <c r="BE7" s="42">
        <v>2.21</v>
      </c>
      <c r="BF7" s="42">
        <v>1.89</v>
      </c>
      <c r="BG7" s="42">
        <v>0.62</v>
      </c>
      <c r="BH7" s="46">
        <v>1.17</v>
      </c>
      <c r="BJ7" s="44" t="s">
        <v>2614</v>
      </c>
      <c r="BK7" s="42">
        <v>12.69</v>
      </c>
      <c r="BL7" s="42">
        <v>1.37</v>
      </c>
      <c r="BM7" s="42">
        <v>1.61</v>
      </c>
      <c r="BN7" s="42">
        <v>3.56</v>
      </c>
      <c r="BO7" s="42">
        <v>1.17</v>
      </c>
      <c r="BP7" s="42">
        <v>2.59</v>
      </c>
      <c r="BQ7" s="42">
        <v>0.24</v>
      </c>
      <c r="BR7" s="46">
        <v>0.24</v>
      </c>
      <c r="BT7" s="44" t="s">
        <v>2614</v>
      </c>
      <c r="BU7" s="42">
        <v>0.85</v>
      </c>
      <c r="BV7" s="42">
        <v>0.45</v>
      </c>
      <c r="BW7" s="42">
        <v>0.17</v>
      </c>
      <c r="BX7" s="42">
        <v>1.17</v>
      </c>
      <c r="BY7" s="42">
        <v>0.85</v>
      </c>
      <c r="BZ7" s="42">
        <v>0.73</v>
      </c>
      <c r="CA7" s="42">
        <v>0.28000000000000003</v>
      </c>
      <c r="CB7" s="46">
        <v>3.56</v>
      </c>
    </row>
    <row r="8" spans="2:80">
      <c r="B8" s="44" t="s">
        <v>2614</v>
      </c>
      <c r="C8" s="42">
        <v>3.02</v>
      </c>
      <c r="D8" s="42">
        <v>4.3899999999999997</v>
      </c>
      <c r="E8" s="42">
        <v>5.31</v>
      </c>
      <c r="F8" s="42">
        <v>5.65</v>
      </c>
      <c r="G8" s="42">
        <v>4.33</v>
      </c>
      <c r="H8" s="42">
        <v>4.8499999999999996</v>
      </c>
      <c r="I8" s="42">
        <v>1.76</v>
      </c>
      <c r="J8" s="46">
        <v>2.2799999999999998</v>
      </c>
      <c r="L8" s="44" t="s">
        <v>2614</v>
      </c>
      <c r="M8" s="42">
        <v>2.83</v>
      </c>
      <c r="N8" s="42">
        <v>5.43</v>
      </c>
      <c r="O8" s="42">
        <v>5.18</v>
      </c>
      <c r="P8" s="42">
        <v>6.06</v>
      </c>
      <c r="Q8" s="42">
        <v>0</v>
      </c>
      <c r="R8" s="42">
        <v>3.77</v>
      </c>
      <c r="S8" s="42">
        <v>3.03</v>
      </c>
      <c r="T8" s="46">
        <v>3.48</v>
      </c>
      <c r="V8" s="44" t="s">
        <v>2614</v>
      </c>
      <c r="W8" s="42">
        <v>3.93</v>
      </c>
      <c r="X8" s="42">
        <v>4.28</v>
      </c>
      <c r="Y8" s="42">
        <v>4.1500000000000004</v>
      </c>
      <c r="Z8" s="42">
        <v>4.32</v>
      </c>
      <c r="AA8" s="42">
        <v>3.62</v>
      </c>
      <c r="AB8" s="42">
        <v>3.1</v>
      </c>
      <c r="AC8" s="42">
        <v>1.61</v>
      </c>
      <c r="AD8" s="46">
        <v>1.23</v>
      </c>
      <c r="AF8" s="44" t="s">
        <v>2614</v>
      </c>
      <c r="AG8" s="42">
        <v>4.12</v>
      </c>
      <c r="AH8" s="42">
        <v>5.8</v>
      </c>
      <c r="AI8" s="42">
        <v>0.75</v>
      </c>
      <c r="AJ8" s="42">
        <v>5.13</v>
      </c>
      <c r="AK8" s="42">
        <v>5.49</v>
      </c>
      <c r="AL8" s="42">
        <v>1.86</v>
      </c>
      <c r="AM8" s="42">
        <v>3.77</v>
      </c>
      <c r="AN8" s="46">
        <v>3.14</v>
      </c>
      <c r="AP8" s="44" t="s">
        <v>2614</v>
      </c>
      <c r="AQ8" s="42">
        <v>2.59</v>
      </c>
      <c r="AR8" s="42">
        <v>3.04</v>
      </c>
      <c r="AS8" s="42">
        <v>2.59</v>
      </c>
      <c r="AT8" s="42">
        <v>2.59</v>
      </c>
      <c r="AU8" s="42">
        <v>1.37</v>
      </c>
      <c r="AV8" s="42">
        <v>85.32</v>
      </c>
      <c r="AW8" s="42">
        <v>1.17</v>
      </c>
      <c r="AX8" s="46">
        <v>0</v>
      </c>
      <c r="AZ8" s="44" t="s">
        <v>2614</v>
      </c>
      <c r="BA8" s="42">
        <v>0.62</v>
      </c>
      <c r="BB8" s="42">
        <v>0.45</v>
      </c>
      <c r="BC8" s="42">
        <v>0.39</v>
      </c>
      <c r="BD8" s="42">
        <v>1.61</v>
      </c>
      <c r="BE8" s="42">
        <v>2.59</v>
      </c>
      <c r="BF8" s="42">
        <v>1.89</v>
      </c>
      <c r="BG8" s="42">
        <v>0.62</v>
      </c>
      <c r="BH8" s="46">
        <v>1.37</v>
      </c>
      <c r="BJ8" s="44" t="s">
        <v>2614</v>
      </c>
      <c r="BK8" s="42">
        <v>9.24</v>
      </c>
      <c r="BL8" s="42">
        <v>1.61</v>
      </c>
      <c r="BM8" s="42">
        <v>1.61</v>
      </c>
      <c r="BN8" s="42">
        <v>3.56</v>
      </c>
      <c r="BO8" s="42">
        <v>1.89</v>
      </c>
      <c r="BP8" s="42">
        <v>2.59</v>
      </c>
      <c r="BQ8" s="42">
        <v>0.2</v>
      </c>
      <c r="BR8" s="46">
        <v>0.2</v>
      </c>
      <c r="BT8" s="44" t="s">
        <v>2614</v>
      </c>
      <c r="BU8" s="42">
        <v>0.85</v>
      </c>
      <c r="BV8" s="42">
        <v>0.45</v>
      </c>
      <c r="BW8" s="42">
        <v>0.15</v>
      </c>
      <c r="BX8" s="42">
        <v>1.17</v>
      </c>
      <c r="BY8" s="42">
        <v>2.21</v>
      </c>
      <c r="BZ8" s="42">
        <v>0.73</v>
      </c>
      <c r="CA8" s="42">
        <v>0.33</v>
      </c>
      <c r="CB8" s="46">
        <v>2.21</v>
      </c>
    </row>
    <row r="9" spans="2:80">
      <c r="B9" s="44" t="s">
        <v>2615</v>
      </c>
      <c r="C9" s="42">
        <v>2.99</v>
      </c>
      <c r="D9" s="42">
        <v>4.4000000000000004</v>
      </c>
      <c r="E9" s="42">
        <v>5.29</v>
      </c>
      <c r="F9" s="42">
        <v>5.61</v>
      </c>
      <c r="G9" s="42">
        <v>4.32</v>
      </c>
      <c r="H9" s="42">
        <v>4.8</v>
      </c>
      <c r="I9" s="42">
        <v>1.77</v>
      </c>
      <c r="J9" s="46">
        <v>1.51</v>
      </c>
      <c r="L9" s="44" t="s">
        <v>2615</v>
      </c>
      <c r="M9" s="42">
        <v>2.79</v>
      </c>
      <c r="N9" s="42">
        <v>5.42</v>
      </c>
      <c r="O9" s="42">
        <v>5.16</v>
      </c>
      <c r="P9" s="42">
        <v>6.04</v>
      </c>
      <c r="Q9" s="42">
        <v>0</v>
      </c>
      <c r="R9" s="42">
        <v>3.73</v>
      </c>
      <c r="S9" s="42">
        <v>3.08</v>
      </c>
      <c r="T9" s="46">
        <v>3.35</v>
      </c>
      <c r="V9" s="44" t="s">
        <v>2615</v>
      </c>
      <c r="W9" s="42">
        <v>3.9</v>
      </c>
      <c r="X9" s="42">
        <v>4.26</v>
      </c>
      <c r="Y9" s="42">
        <v>4.16</v>
      </c>
      <c r="Z9" s="42">
        <v>0</v>
      </c>
      <c r="AA9" s="42">
        <v>3.63</v>
      </c>
      <c r="AB9" s="42">
        <v>3.1</v>
      </c>
      <c r="AC9" s="42">
        <v>1.64</v>
      </c>
      <c r="AD9" s="46">
        <v>1.27</v>
      </c>
      <c r="AF9" s="44" t="s">
        <v>2615</v>
      </c>
      <c r="AG9" s="42">
        <v>2.84</v>
      </c>
      <c r="AH9" s="42">
        <v>6.12</v>
      </c>
      <c r="AI9" s="42">
        <v>3.79</v>
      </c>
      <c r="AJ9" s="42">
        <v>5.18</v>
      </c>
      <c r="AK9" s="42">
        <v>5.5</v>
      </c>
      <c r="AL9" s="42">
        <v>1.83</v>
      </c>
      <c r="AM9" s="42">
        <v>3.75</v>
      </c>
      <c r="AN9" s="46">
        <v>3.17</v>
      </c>
      <c r="AP9" s="44" t="s">
        <v>2615</v>
      </c>
      <c r="AQ9" s="42">
        <v>2.59</v>
      </c>
      <c r="AR9" s="42">
        <v>3.04</v>
      </c>
      <c r="AS9" s="42">
        <v>2.59</v>
      </c>
      <c r="AT9" s="42">
        <v>3.56</v>
      </c>
      <c r="AU9" s="42">
        <v>1.37</v>
      </c>
      <c r="AV9" s="42">
        <v>1.37</v>
      </c>
      <c r="AW9" s="42">
        <v>1.17</v>
      </c>
      <c r="AX9" s="46">
        <v>0</v>
      </c>
      <c r="AZ9" s="44" t="s">
        <v>2615</v>
      </c>
      <c r="BA9" s="42">
        <v>0.53</v>
      </c>
      <c r="BB9" s="42">
        <v>4.18</v>
      </c>
      <c r="BC9" s="42">
        <v>0.39</v>
      </c>
      <c r="BD9" s="42">
        <v>1.61</v>
      </c>
      <c r="BE9" s="42">
        <v>2.21</v>
      </c>
      <c r="BF9" s="42">
        <v>1.89</v>
      </c>
      <c r="BG9" s="42">
        <v>0.73</v>
      </c>
      <c r="BH9" s="46">
        <v>1.17</v>
      </c>
      <c r="BJ9" s="44" t="s">
        <v>2615</v>
      </c>
      <c r="BK9" s="42">
        <v>7.88</v>
      </c>
      <c r="BL9" s="42">
        <v>0</v>
      </c>
      <c r="BM9" s="42">
        <v>0.2</v>
      </c>
      <c r="BN9" s="42">
        <v>1.89</v>
      </c>
      <c r="BO9" s="42">
        <v>1.61</v>
      </c>
      <c r="BP9" s="42">
        <v>3.04</v>
      </c>
      <c r="BQ9" s="42">
        <v>0.2</v>
      </c>
      <c r="BR9" s="46">
        <v>0.45</v>
      </c>
      <c r="BT9" s="44" t="s">
        <v>2615</v>
      </c>
      <c r="BU9" s="42">
        <v>0</v>
      </c>
      <c r="BV9" s="42">
        <v>1.17</v>
      </c>
      <c r="BW9" s="42">
        <v>0.11</v>
      </c>
      <c r="BX9" s="42">
        <v>3.04</v>
      </c>
      <c r="BY9" s="42">
        <v>0.85</v>
      </c>
      <c r="BZ9" s="42">
        <v>0.28000000000000003</v>
      </c>
      <c r="CA9" s="42">
        <v>0.39</v>
      </c>
      <c r="CB9" s="46">
        <v>2.59</v>
      </c>
    </row>
    <row r="10" spans="2:80">
      <c r="B10" s="44" t="s">
        <v>2615</v>
      </c>
      <c r="C10" s="42">
        <v>3.02</v>
      </c>
      <c r="D10" s="42">
        <v>4.41</v>
      </c>
      <c r="E10" s="42">
        <v>5.3</v>
      </c>
      <c r="F10" s="42">
        <v>5.66</v>
      </c>
      <c r="G10" s="42">
        <v>4.3499999999999996</v>
      </c>
      <c r="H10" s="42">
        <v>2.54</v>
      </c>
      <c r="I10" s="42">
        <v>1.76</v>
      </c>
      <c r="J10" s="46">
        <v>2.2200000000000002</v>
      </c>
      <c r="L10" s="44" t="s">
        <v>2615</v>
      </c>
      <c r="M10" s="42">
        <v>2.82</v>
      </c>
      <c r="N10" s="42">
        <v>5.42</v>
      </c>
      <c r="O10" s="42">
        <v>5.22</v>
      </c>
      <c r="P10" s="42">
        <v>4.92</v>
      </c>
      <c r="Q10" s="42">
        <v>0</v>
      </c>
      <c r="R10" s="42">
        <v>3.7</v>
      </c>
      <c r="S10" s="42">
        <v>3.04</v>
      </c>
      <c r="T10" s="46">
        <v>3.54</v>
      </c>
      <c r="V10" s="44" t="s">
        <v>2615</v>
      </c>
      <c r="W10" s="42">
        <v>3.92</v>
      </c>
      <c r="X10" s="42">
        <v>4.2699999999999996</v>
      </c>
      <c r="Y10" s="42">
        <v>4.1900000000000004</v>
      </c>
      <c r="Z10" s="42">
        <v>4.29</v>
      </c>
      <c r="AA10" s="42">
        <v>3.6</v>
      </c>
      <c r="AB10" s="42">
        <v>3.11</v>
      </c>
      <c r="AC10" s="42">
        <v>1.64</v>
      </c>
      <c r="AD10" s="46">
        <v>0.64</v>
      </c>
      <c r="AF10" s="44" t="s">
        <v>2615</v>
      </c>
      <c r="AG10" s="42">
        <v>4.1500000000000004</v>
      </c>
      <c r="AH10" s="42">
        <v>6.08</v>
      </c>
      <c r="AI10" s="42">
        <v>3.79</v>
      </c>
      <c r="AJ10" s="42">
        <v>5.59</v>
      </c>
      <c r="AK10" s="42">
        <v>5.46</v>
      </c>
      <c r="AL10" s="42">
        <v>1.83</v>
      </c>
      <c r="AM10" s="42">
        <v>3.74</v>
      </c>
      <c r="AN10" s="46">
        <v>3.24</v>
      </c>
      <c r="AP10" s="44" t="s">
        <v>2615</v>
      </c>
      <c r="AQ10" s="42">
        <v>2.59</v>
      </c>
      <c r="AR10" s="42">
        <v>1.17</v>
      </c>
      <c r="AS10" s="42">
        <v>2.59</v>
      </c>
      <c r="AT10" s="42">
        <v>3.56</v>
      </c>
      <c r="AU10" s="42">
        <v>1.37</v>
      </c>
      <c r="AV10" s="42">
        <v>99.99</v>
      </c>
      <c r="AW10" s="42">
        <v>1.37</v>
      </c>
      <c r="AX10" s="46">
        <v>1.37</v>
      </c>
      <c r="AZ10" s="44" t="s">
        <v>2615</v>
      </c>
      <c r="BA10" s="42">
        <v>0.45</v>
      </c>
      <c r="BB10" s="42">
        <v>0.39</v>
      </c>
      <c r="BC10" s="42">
        <v>0.33</v>
      </c>
      <c r="BD10" s="42">
        <v>1.61</v>
      </c>
      <c r="BE10" s="42">
        <v>14.87</v>
      </c>
      <c r="BF10" s="42">
        <v>9.24</v>
      </c>
      <c r="BG10" s="42">
        <v>0.45</v>
      </c>
      <c r="BH10" s="46">
        <v>1.37</v>
      </c>
      <c r="BJ10" s="44" t="s">
        <v>2615</v>
      </c>
      <c r="BK10" s="42">
        <v>9.24</v>
      </c>
      <c r="BL10" s="42">
        <v>1.37</v>
      </c>
      <c r="BM10" s="42">
        <v>0.2</v>
      </c>
      <c r="BN10" s="42">
        <v>1.89</v>
      </c>
      <c r="BO10" s="42">
        <v>1.37</v>
      </c>
      <c r="BP10" s="42">
        <v>2.59</v>
      </c>
      <c r="BQ10" s="42">
        <v>0.2</v>
      </c>
      <c r="BR10" s="46">
        <v>0.45</v>
      </c>
      <c r="BT10" s="44" t="s">
        <v>2615</v>
      </c>
      <c r="BU10" s="42">
        <v>0.85</v>
      </c>
      <c r="BV10" s="42">
        <v>0.45</v>
      </c>
      <c r="BW10" s="42">
        <v>0.15</v>
      </c>
      <c r="BX10" s="42">
        <v>0</v>
      </c>
      <c r="BY10" s="42">
        <v>2.21</v>
      </c>
      <c r="BZ10" s="42">
        <v>0.33</v>
      </c>
      <c r="CA10" s="42">
        <v>0.28000000000000003</v>
      </c>
      <c r="CB10" s="46">
        <v>2.21</v>
      </c>
    </row>
    <row r="11" spans="2:80">
      <c r="B11" s="44" t="s">
        <v>2615</v>
      </c>
      <c r="C11" s="42">
        <v>2.97</v>
      </c>
      <c r="D11" s="42">
        <v>2.94</v>
      </c>
      <c r="E11" s="42">
        <v>5.3</v>
      </c>
      <c r="F11" s="42">
        <v>5.62</v>
      </c>
      <c r="G11" s="42">
        <v>4.32</v>
      </c>
      <c r="H11" s="42">
        <v>2.35</v>
      </c>
      <c r="I11" s="42">
        <v>1.75</v>
      </c>
      <c r="J11" s="46">
        <v>2.29</v>
      </c>
      <c r="L11" s="44" t="s">
        <v>2615</v>
      </c>
      <c r="M11" s="42">
        <v>2.86</v>
      </c>
      <c r="N11" s="42">
        <v>5.45</v>
      </c>
      <c r="O11" s="42">
        <v>5.25</v>
      </c>
      <c r="P11" s="42">
        <v>5.81</v>
      </c>
      <c r="Q11" s="42">
        <v>0</v>
      </c>
      <c r="R11" s="42">
        <v>3.7</v>
      </c>
      <c r="S11" s="42">
        <v>1.1299999999999999</v>
      </c>
      <c r="T11" s="46">
        <v>3.48</v>
      </c>
      <c r="V11" s="44" t="s">
        <v>2615</v>
      </c>
      <c r="W11" s="42">
        <v>3.9</v>
      </c>
      <c r="X11" s="42">
        <v>4.26</v>
      </c>
      <c r="Y11" s="42">
        <v>4.16</v>
      </c>
      <c r="Z11" s="42">
        <v>4.32</v>
      </c>
      <c r="AA11" s="42">
        <v>3.59</v>
      </c>
      <c r="AB11" s="42">
        <v>3.12</v>
      </c>
      <c r="AC11" s="42">
        <v>1.63</v>
      </c>
      <c r="AD11" s="46">
        <v>1.21</v>
      </c>
      <c r="AF11" s="44" t="s">
        <v>2615</v>
      </c>
      <c r="AG11" s="42">
        <v>1.64</v>
      </c>
      <c r="AH11" s="42">
        <v>6.02</v>
      </c>
      <c r="AI11" s="42">
        <v>3.77</v>
      </c>
      <c r="AJ11" s="42">
        <v>5.19</v>
      </c>
      <c r="AK11" s="42">
        <v>5.45</v>
      </c>
      <c r="AL11" s="42">
        <v>1.83</v>
      </c>
      <c r="AM11" s="42">
        <v>3.8</v>
      </c>
      <c r="AN11" s="46">
        <v>3.03</v>
      </c>
      <c r="AP11" s="44" t="s">
        <v>2615</v>
      </c>
      <c r="AQ11" s="42">
        <v>2.21</v>
      </c>
      <c r="AR11" s="42">
        <v>0</v>
      </c>
      <c r="AS11" s="42">
        <v>2.59</v>
      </c>
      <c r="AT11" s="42">
        <v>3.04</v>
      </c>
      <c r="AU11" s="42">
        <v>1.17</v>
      </c>
      <c r="AV11" s="42">
        <v>1.37</v>
      </c>
      <c r="AW11" s="42">
        <v>0.33</v>
      </c>
      <c r="AX11" s="46">
        <v>0</v>
      </c>
      <c r="AZ11" s="44" t="s">
        <v>2615</v>
      </c>
      <c r="BA11" s="42">
        <v>0.45</v>
      </c>
      <c r="BB11" s="42">
        <v>0.45</v>
      </c>
      <c r="BC11" s="42">
        <v>0.15</v>
      </c>
      <c r="BD11" s="42">
        <v>3.56</v>
      </c>
      <c r="BE11" s="42">
        <v>17.43</v>
      </c>
      <c r="BF11" s="42">
        <v>7.88</v>
      </c>
      <c r="BG11" s="42">
        <v>0.39</v>
      </c>
      <c r="BH11" s="46">
        <v>1.17</v>
      </c>
      <c r="BJ11" s="44" t="s">
        <v>2615</v>
      </c>
      <c r="BK11" s="42">
        <v>14.87</v>
      </c>
      <c r="BL11" s="42">
        <v>1.37</v>
      </c>
      <c r="BM11" s="42">
        <v>1.61</v>
      </c>
      <c r="BN11" s="42">
        <v>3.56</v>
      </c>
      <c r="BO11" s="42">
        <v>1.89</v>
      </c>
      <c r="BP11" s="42">
        <v>2.59</v>
      </c>
      <c r="BQ11" s="42">
        <v>0.24</v>
      </c>
      <c r="BR11" s="46">
        <v>0.2</v>
      </c>
      <c r="BT11" s="44" t="s">
        <v>2615</v>
      </c>
      <c r="BU11" s="42">
        <v>0.85</v>
      </c>
      <c r="BV11" s="42">
        <v>0.45</v>
      </c>
      <c r="BW11" s="42">
        <v>0.15</v>
      </c>
      <c r="BX11" s="42">
        <v>1.17</v>
      </c>
      <c r="BY11" s="42">
        <v>2.21</v>
      </c>
      <c r="BZ11" s="42">
        <v>0.62</v>
      </c>
      <c r="CA11" s="42">
        <v>0.24</v>
      </c>
      <c r="CB11" s="46">
        <v>2.21</v>
      </c>
    </row>
    <row r="12" spans="2:80">
      <c r="B12" s="44" t="s">
        <v>2615</v>
      </c>
      <c r="C12" s="42">
        <v>3.02</v>
      </c>
      <c r="D12" s="42">
        <v>0</v>
      </c>
      <c r="E12" s="42">
        <v>5.32</v>
      </c>
      <c r="F12" s="42">
        <v>5.6</v>
      </c>
      <c r="G12" s="42">
        <v>4.3099999999999996</v>
      </c>
      <c r="H12" s="42">
        <v>4.8499999999999996</v>
      </c>
      <c r="I12" s="42">
        <v>1.76</v>
      </c>
      <c r="J12" s="46">
        <v>2.2400000000000002</v>
      </c>
      <c r="L12" s="44" t="s">
        <v>2615</v>
      </c>
      <c r="M12" s="42">
        <v>2.85</v>
      </c>
      <c r="N12" s="42">
        <v>0.1</v>
      </c>
      <c r="O12" s="42">
        <v>5.15</v>
      </c>
      <c r="P12" s="42">
        <v>2.84</v>
      </c>
      <c r="Q12" s="42">
        <v>0</v>
      </c>
      <c r="R12" s="42">
        <v>3.73</v>
      </c>
      <c r="S12" s="42">
        <v>3.06</v>
      </c>
      <c r="T12" s="46">
        <v>3.46</v>
      </c>
      <c r="V12" s="44" t="s">
        <v>2615</v>
      </c>
      <c r="W12" s="42">
        <v>3.92</v>
      </c>
      <c r="X12" s="42">
        <v>4.29</v>
      </c>
      <c r="Y12" s="42">
        <v>4.18</v>
      </c>
      <c r="Z12" s="42">
        <v>4.3099999999999996</v>
      </c>
      <c r="AA12" s="42">
        <v>3.63</v>
      </c>
      <c r="AB12" s="42">
        <v>3.1</v>
      </c>
      <c r="AC12" s="42">
        <v>1.6</v>
      </c>
      <c r="AD12" s="46">
        <v>1.28</v>
      </c>
      <c r="AF12" s="44" t="s">
        <v>2615</v>
      </c>
      <c r="AG12" s="42">
        <v>4.17</v>
      </c>
      <c r="AH12" s="42">
        <v>0</v>
      </c>
      <c r="AI12" s="42">
        <v>3.74</v>
      </c>
      <c r="AJ12" s="42">
        <v>5.22</v>
      </c>
      <c r="AK12" s="42">
        <v>5.48</v>
      </c>
      <c r="AL12" s="42">
        <v>1.83</v>
      </c>
      <c r="AM12" s="42">
        <v>3.76</v>
      </c>
      <c r="AN12" s="46">
        <v>0</v>
      </c>
      <c r="AP12" s="44" t="s">
        <v>2615</v>
      </c>
      <c r="AQ12" s="42">
        <v>0.85</v>
      </c>
      <c r="AR12" s="42">
        <v>0</v>
      </c>
      <c r="AS12" s="42">
        <v>7.88</v>
      </c>
      <c r="AT12" s="42">
        <v>3.04</v>
      </c>
      <c r="AU12" s="42">
        <v>1.61</v>
      </c>
      <c r="AV12" s="42">
        <v>6.72</v>
      </c>
      <c r="AW12" s="42">
        <v>0.33</v>
      </c>
      <c r="AX12" s="46">
        <v>2.59</v>
      </c>
      <c r="AZ12" s="44" t="s">
        <v>2615</v>
      </c>
      <c r="BA12" s="42">
        <v>0.53</v>
      </c>
      <c r="BB12" s="42">
        <v>4.18</v>
      </c>
      <c r="BC12" s="42">
        <v>0.39</v>
      </c>
      <c r="BD12" s="42">
        <v>1.61</v>
      </c>
      <c r="BE12" s="42">
        <v>2.21</v>
      </c>
      <c r="BF12" s="42">
        <v>1.89</v>
      </c>
      <c r="BG12" s="42">
        <v>0.62</v>
      </c>
      <c r="BH12" s="46">
        <v>1.17</v>
      </c>
      <c r="BJ12" s="44" t="s">
        <v>2615</v>
      </c>
      <c r="BK12" s="42">
        <v>14.87</v>
      </c>
      <c r="BL12" s="42">
        <v>1.37</v>
      </c>
      <c r="BM12" s="42">
        <v>1.61</v>
      </c>
      <c r="BN12" s="42">
        <v>1.89</v>
      </c>
      <c r="BO12" s="42">
        <v>1.89</v>
      </c>
      <c r="BP12" s="42">
        <v>3.04</v>
      </c>
      <c r="BQ12" s="42">
        <v>0.24</v>
      </c>
      <c r="BR12" s="46">
        <v>0.24</v>
      </c>
      <c r="BT12" s="44" t="s">
        <v>2615</v>
      </c>
      <c r="BU12" s="42">
        <v>0.73</v>
      </c>
      <c r="BV12" s="42">
        <v>1.17</v>
      </c>
      <c r="BW12" s="42">
        <v>0.15</v>
      </c>
      <c r="BX12" s="42">
        <v>1.17</v>
      </c>
      <c r="BY12" s="42">
        <v>2.21</v>
      </c>
      <c r="BZ12" s="42">
        <v>0.73</v>
      </c>
      <c r="CA12" s="42">
        <v>0.33</v>
      </c>
      <c r="CB12" s="46">
        <v>2.21</v>
      </c>
    </row>
    <row r="13" spans="2:80">
      <c r="B13" s="44" t="s">
        <v>2615</v>
      </c>
      <c r="C13" s="42">
        <v>2.95</v>
      </c>
      <c r="D13" s="42">
        <v>4.3600000000000003</v>
      </c>
      <c r="E13" s="42">
        <v>5.32</v>
      </c>
      <c r="F13" s="42">
        <v>5.64</v>
      </c>
      <c r="G13" s="42">
        <v>4.32</v>
      </c>
      <c r="H13" s="42">
        <v>4.88</v>
      </c>
      <c r="I13" s="42">
        <v>1.68</v>
      </c>
      <c r="J13" s="46">
        <v>2.2400000000000002</v>
      </c>
      <c r="L13" s="44" t="s">
        <v>2615</v>
      </c>
      <c r="M13" s="42">
        <v>2.82</v>
      </c>
      <c r="N13" s="42">
        <v>5.5</v>
      </c>
      <c r="O13" s="42">
        <v>5.17</v>
      </c>
      <c r="P13" s="42">
        <v>0.04</v>
      </c>
      <c r="Q13" s="42">
        <v>0</v>
      </c>
      <c r="R13" s="42">
        <v>2.52</v>
      </c>
      <c r="S13" s="42">
        <v>3.08</v>
      </c>
      <c r="T13" s="46">
        <v>3.5</v>
      </c>
      <c r="V13" s="44" t="s">
        <v>2615</v>
      </c>
      <c r="W13" s="42">
        <v>3.91</v>
      </c>
      <c r="X13" s="42">
        <v>4.2699999999999996</v>
      </c>
      <c r="Y13" s="42">
        <v>4.16</v>
      </c>
      <c r="Z13" s="42">
        <v>4.2699999999999996</v>
      </c>
      <c r="AA13" s="42">
        <v>3.56</v>
      </c>
      <c r="AB13" s="42">
        <v>3.15</v>
      </c>
      <c r="AC13" s="42">
        <v>1.63</v>
      </c>
      <c r="AD13" s="46">
        <v>1.23</v>
      </c>
      <c r="AF13" s="44" t="s">
        <v>2615</v>
      </c>
      <c r="AG13" s="42">
        <v>4.1900000000000004</v>
      </c>
      <c r="AH13" s="42">
        <v>6.08</v>
      </c>
      <c r="AI13" s="42">
        <v>3.78</v>
      </c>
      <c r="AJ13" s="42">
        <v>5.34</v>
      </c>
      <c r="AK13" s="42">
        <v>5.43</v>
      </c>
      <c r="AL13" s="42">
        <v>1.85</v>
      </c>
      <c r="AM13" s="42">
        <v>3.76</v>
      </c>
      <c r="AN13" s="46">
        <v>0</v>
      </c>
      <c r="AP13" s="44" t="s">
        <v>2615</v>
      </c>
      <c r="AQ13" s="42">
        <v>2.59</v>
      </c>
      <c r="AR13" s="42">
        <v>1.17</v>
      </c>
      <c r="AS13" s="42">
        <v>2.59</v>
      </c>
      <c r="AT13" s="42">
        <v>3.56</v>
      </c>
      <c r="AU13" s="42">
        <v>1.17</v>
      </c>
      <c r="AV13" s="42">
        <v>1.17</v>
      </c>
      <c r="AW13" s="42">
        <v>1.37</v>
      </c>
      <c r="AX13" s="46">
        <v>2.59</v>
      </c>
      <c r="AZ13" s="44" t="s">
        <v>2615</v>
      </c>
      <c r="BA13" s="42">
        <v>0.53</v>
      </c>
      <c r="BB13" s="42">
        <v>4.18</v>
      </c>
      <c r="BC13" s="42">
        <v>0.39</v>
      </c>
      <c r="BD13" s="42">
        <v>1.61</v>
      </c>
      <c r="BE13" s="42">
        <v>2.21</v>
      </c>
      <c r="BF13" s="42">
        <v>1.89</v>
      </c>
      <c r="BG13" s="42">
        <v>0.73</v>
      </c>
      <c r="BH13" s="46">
        <v>1.17</v>
      </c>
      <c r="BJ13" s="44" t="s">
        <v>2615</v>
      </c>
      <c r="BK13" s="42">
        <v>12.69</v>
      </c>
      <c r="BL13" s="42">
        <v>1.61</v>
      </c>
      <c r="BM13" s="42">
        <v>1.61</v>
      </c>
      <c r="BN13" s="42">
        <v>1.61</v>
      </c>
      <c r="BO13" s="42">
        <v>1.89</v>
      </c>
      <c r="BP13" s="42">
        <v>2.59</v>
      </c>
      <c r="BQ13" s="42">
        <v>0.24</v>
      </c>
      <c r="BR13" s="46">
        <v>0.24</v>
      </c>
      <c r="BT13" s="44" t="s">
        <v>2615</v>
      </c>
      <c r="BU13" s="42">
        <v>0.85</v>
      </c>
      <c r="BV13" s="42">
        <v>0.45</v>
      </c>
      <c r="BW13" s="42">
        <v>0.15</v>
      </c>
      <c r="BX13" s="42">
        <v>1.17</v>
      </c>
      <c r="BY13" s="42">
        <v>1.89</v>
      </c>
      <c r="BZ13" s="42">
        <v>0.62</v>
      </c>
      <c r="CA13" s="42">
        <v>0.28000000000000003</v>
      </c>
      <c r="CB13" s="46">
        <v>1.89</v>
      </c>
    </row>
    <row r="14" spans="2:80">
      <c r="B14" s="44" t="s">
        <v>2616</v>
      </c>
      <c r="C14" s="42">
        <v>3.02</v>
      </c>
      <c r="D14" s="42">
        <v>0</v>
      </c>
      <c r="E14" s="42">
        <v>5.3</v>
      </c>
      <c r="F14" s="42">
        <v>5.16</v>
      </c>
      <c r="G14" s="42">
        <v>4.3099999999999996</v>
      </c>
      <c r="H14" s="42">
        <v>4.8499999999999996</v>
      </c>
      <c r="I14" s="42">
        <v>1.76</v>
      </c>
      <c r="J14" s="46">
        <v>2.27</v>
      </c>
      <c r="L14" s="44" t="s">
        <v>2617</v>
      </c>
      <c r="M14" s="42">
        <v>2.83</v>
      </c>
      <c r="N14" s="42">
        <v>1.03</v>
      </c>
      <c r="O14" s="42">
        <v>5.14</v>
      </c>
      <c r="P14" s="42">
        <v>6.06</v>
      </c>
      <c r="Q14" s="42">
        <v>0</v>
      </c>
      <c r="R14" s="42">
        <v>2.99</v>
      </c>
      <c r="S14" s="42">
        <v>3.06</v>
      </c>
      <c r="T14" s="46">
        <v>3.46</v>
      </c>
      <c r="V14" s="44" t="s">
        <v>2617</v>
      </c>
      <c r="W14" s="42">
        <v>3.91</v>
      </c>
      <c r="X14" s="42">
        <v>4.28</v>
      </c>
      <c r="Y14" s="42">
        <v>4.1399999999999997</v>
      </c>
      <c r="Z14" s="42">
        <v>4.33</v>
      </c>
      <c r="AA14" s="42">
        <v>0</v>
      </c>
      <c r="AB14" s="42">
        <v>3.1</v>
      </c>
      <c r="AC14" s="42">
        <v>1.62</v>
      </c>
      <c r="AD14" s="46">
        <v>1.27</v>
      </c>
      <c r="AF14" s="44" t="s">
        <v>2617</v>
      </c>
      <c r="AG14" s="42">
        <v>4.18</v>
      </c>
      <c r="AH14" s="42">
        <v>2.95</v>
      </c>
      <c r="AI14" s="42">
        <v>3.79</v>
      </c>
      <c r="AJ14" s="42">
        <v>1.81</v>
      </c>
      <c r="AK14" s="42">
        <v>5.49</v>
      </c>
      <c r="AL14" s="42">
        <v>1.85</v>
      </c>
      <c r="AM14" s="42">
        <v>3.77</v>
      </c>
      <c r="AN14" s="46">
        <v>3.18</v>
      </c>
      <c r="AP14" s="44" t="s">
        <v>2617</v>
      </c>
      <c r="AQ14" s="42">
        <v>2.21</v>
      </c>
      <c r="AR14" s="42">
        <v>1.17</v>
      </c>
      <c r="AS14" s="42">
        <v>2.59</v>
      </c>
      <c r="AT14" s="42">
        <v>3.04</v>
      </c>
      <c r="AU14" s="42">
        <v>1.37</v>
      </c>
      <c r="AV14" s="42">
        <v>1.17</v>
      </c>
      <c r="AW14" s="42">
        <v>1.37</v>
      </c>
      <c r="AX14" s="46">
        <v>0</v>
      </c>
      <c r="AZ14" s="44" t="s">
        <v>2617</v>
      </c>
      <c r="BA14" s="42">
        <v>0.53</v>
      </c>
      <c r="BB14" s="42">
        <v>4.18</v>
      </c>
      <c r="BC14" s="42">
        <v>0.39</v>
      </c>
      <c r="BD14" s="42">
        <v>1.61</v>
      </c>
      <c r="BE14" s="42">
        <v>2.21</v>
      </c>
      <c r="BF14" s="42">
        <v>1.89</v>
      </c>
      <c r="BG14" s="42">
        <v>0.62</v>
      </c>
      <c r="BH14" s="46">
        <v>1.17</v>
      </c>
      <c r="BJ14" s="44" t="s">
        <v>2617</v>
      </c>
      <c r="BK14" s="42">
        <v>14.87</v>
      </c>
      <c r="BL14" s="42">
        <v>1.61</v>
      </c>
      <c r="BM14" s="42">
        <v>1.89</v>
      </c>
      <c r="BN14" s="42">
        <v>0</v>
      </c>
      <c r="BO14" s="42">
        <v>1.61</v>
      </c>
      <c r="BP14" s="42">
        <v>2.59</v>
      </c>
      <c r="BQ14" s="42">
        <v>0.24</v>
      </c>
      <c r="BR14" s="46">
        <v>0.24</v>
      </c>
      <c r="BT14" s="44" t="s">
        <v>2617</v>
      </c>
      <c r="BU14" s="42">
        <v>0.85</v>
      </c>
      <c r="BV14" s="42">
        <v>7.88</v>
      </c>
      <c r="BW14" s="42">
        <v>0.15</v>
      </c>
      <c r="BX14" s="42">
        <v>2.21</v>
      </c>
      <c r="BY14" s="42">
        <v>2.21</v>
      </c>
      <c r="BZ14" s="42">
        <v>0.73</v>
      </c>
      <c r="CA14" s="42">
        <v>0.28000000000000003</v>
      </c>
      <c r="CB14" s="46">
        <v>2.21</v>
      </c>
    </row>
    <row r="15" spans="2:80">
      <c r="B15" s="44" t="s">
        <v>2616</v>
      </c>
      <c r="C15" s="42">
        <v>3.02</v>
      </c>
      <c r="D15" s="42">
        <v>4.37</v>
      </c>
      <c r="E15" s="42">
        <v>5.3</v>
      </c>
      <c r="F15" s="42">
        <v>1.42</v>
      </c>
      <c r="G15" s="42">
        <v>4.3600000000000003</v>
      </c>
      <c r="H15" s="42">
        <v>4.83</v>
      </c>
      <c r="I15" s="42">
        <v>1.75</v>
      </c>
      <c r="J15" s="46">
        <v>2.19</v>
      </c>
      <c r="L15" s="44" t="s">
        <v>2617</v>
      </c>
      <c r="M15" s="42">
        <v>2.85</v>
      </c>
      <c r="N15" s="42">
        <v>5.49</v>
      </c>
      <c r="O15" s="42">
        <v>5.15</v>
      </c>
      <c r="P15" s="42">
        <v>6.06</v>
      </c>
      <c r="Q15" s="42">
        <v>0</v>
      </c>
      <c r="R15" s="42">
        <v>3.71</v>
      </c>
      <c r="S15" s="42">
        <v>3.05</v>
      </c>
      <c r="T15" s="46">
        <v>3.45</v>
      </c>
      <c r="V15" s="44" t="s">
        <v>2617</v>
      </c>
      <c r="W15" s="42">
        <v>3.89</v>
      </c>
      <c r="X15" s="42">
        <v>4.25</v>
      </c>
      <c r="Y15" s="42">
        <v>4.18</v>
      </c>
      <c r="Z15" s="42">
        <v>4.38</v>
      </c>
      <c r="AA15" s="42">
        <v>3.61</v>
      </c>
      <c r="AB15" s="42">
        <v>3.14</v>
      </c>
      <c r="AC15" s="42">
        <v>1.65</v>
      </c>
      <c r="AD15" s="46">
        <v>1.22</v>
      </c>
      <c r="AF15" s="44" t="s">
        <v>2617</v>
      </c>
      <c r="AG15" s="42">
        <v>0.08</v>
      </c>
      <c r="AH15" s="42">
        <v>6.09</v>
      </c>
      <c r="AI15" s="42">
        <v>3.78</v>
      </c>
      <c r="AJ15" s="42">
        <v>5.15</v>
      </c>
      <c r="AK15" s="42">
        <v>5.08</v>
      </c>
      <c r="AL15" s="42">
        <v>1.83</v>
      </c>
      <c r="AM15" s="42">
        <v>0.7</v>
      </c>
      <c r="AN15" s="46">
        <v>3.14</v>
      </c>
      <c r="AP15" s="44" t="s">
        <v>2617</v>
      </c>
      <c r="AQ15" s="42">
        <v>2.59</v>
      </c>
      <c r="AR15" s="42">
        <v>1.17</v>
      </c>
      <c r="AS15" s="42">
        <v>2.59</v>
      </c>
      <c r="AT15" s="42">
        <v>3.04</v>
      </c>
      <c r="AU15" s="42">
        <v>1.37</v>
      </c>
      <c r="AV15" s="42">
        <v>1.37</v>
      </c>
      <c r="AW15" s="42">
        <v>1.37</v>
      </c>
      <c r="AX15" s="46">
        <v>6.72</v>
      </c>
      <c r="AZ15" s="44" t="s">
        <v>2617</v>
      </c>
      <c r="BA15" s="42">
        <v>0.62</v>
      </c>
      <c r="BB15" s="42">
        <v>0.45</v>
      </c>
      <c r="BC15" s="42">
        <v>0.39</v>
      </c>
      <c r="BD15" s="42">
        <v>1.61</v>
      </c>
      <c r="BE15" s="42">
        <v>2.59</v>
      </c>
      <c r="BF15" s="42">
        <v>1.89</v>
      </c>
      <c r="BG15" s="42">
        <v>0.62</v>
      </c>
      <c r="BH15" s="46">
        <v>4.18</v>
      </c>
      <c r="BJ15" s="44" t="s">
        <v>2617</v>
      </c>
      <c r="BK15" s="42">
        <v>14.87</v>
      </c>
      <c r="BL15" s="42">
        <v>1.61</v>
      </c>
      <c r="BM15" s="42">
        <v>1.61</v>
      </c>
      <c r="BN15" s="42">
        <v>3.56</v>
      </c>
      <c r="BO15" s="42">
        <v>1.61</v>
      </c>
      <c r="BP15" s="42">
        <v>2.21</v>
      </c>
      <c r="BQ15" s="42">
        <v>0.24</v>
      </c>
      <c r="BR15" s="46">
        <v>0.24</v>
      </c>
      <c r="BT15" s="44" t="s">
        <v>2617</v>
      </c>
      <c r="BU15" s="42">
        <v>0.85</v>
      </c>
      <c r="BV15" s="42">
        <v>1.17</v>
      </c>
      <c r="BW15" s="42">
        <v>0.13</v>
      </c>
      <c r="BX15" s="42">
        <v>0</v>
      </c>
      <c r="BY15" s="42">
        <v>0</v>
      </c>
      <c r="BZ15" s="42">
        <v>0.28000000000000003</v>
      </c>
      <c r="CA15" s="42">
        <v>0.53</v>
      </c>
      <c r="CB15" s="46">
        <v>3.56</v>
      </c>
    </row>
    <row r="16" spans="2:80">
      <c r="B16" s="44" t="s">
        <v>2616</v>
      </c>
      <c r="C16" s="42">
        <v>2.96</v>
      </c>
      <c r="D16" s="42">
        <v>4.3899999999999997</v>
      </c>
      <c r="E16" s="42">
        <v>5.26</v>
      </c>
      <c r="F16" s="42">
        <v>5.62</v>
      </c>
      <c r="G16" s="42">
        <v>4.34</v>
      </c>
      <c r="H16" s="42">
        <v>4.82</v>
      </c>
      <c r="I16" s="42">
        <v>1.74</v>
      </c>
      <c r="J16" s="46">
        <v>2.27</v>
      </c>
      <c r="L16" s="44" t="s">
        <v>2617</v>
      </c>
      <c r="M16" s="42">
        <v>2.86</v>
      </c>
      <c r="N16" s="42">
        <v>5.43</v>
      </c>
      <c r="O16" s="42">
        <v>5.14</v>
      </c>
      <c r="P16" s="42">
        <v>6.04</v>
      </c>
      <c r="Q16" s="42">
        <v>0</v>
      </c>
      <c r="R16" s="42">
        <v>3.73</v>
      </c>
      <c r="S16" s="42">
        <v>0.23</v>
      </c>
      <c r="T16" s="46">
        <v>3.01</v>
      </c>
      <c r="V16" s="44" t="s">
        <v>2617</v>
      </c>
      <c r="W16" s="42">
        <v>3.9</v>
      </c>
      <c r="X16" s="42">
        <v>4.29</v>
      </c>
      <c r="Y16" s="42">
        <v>4.13</v>
      </c>
      <c r="Z16" s="42">
        <v>4.28</v>
      </c>
      <c r="AA16" s="42">
        <v>3.61</v>
      </c>
      <c r="AB16" s="42">
        <v>3.15</v>
      </c>
      <c r="AC16" s="42">
        <v>1.66</v>
      </c>
      <c r="AD16" s="46">
        <v>1.24</v>
      </c>
      <c r="AF16" s="44" t="s">
        <v>2617</v>
      </c>
      <c r="AG16" s="42">
        <v>4.1399999999999997</v>
      </c>
      <c r="AH16" s="42">
        <v>6.15</v>
      </c>
      <c r="AI16" s="42">
        <v>3.79</v>
      </c>
      <c r="AJ16" s="42">
        <v>5.1100000000000003</v>
      </c>
      <c r="AK16" s="42">
        <v>5.41</v>
      </c>
      <c r="AL16" s="42">
        <v>1.83</v>
      </c>
      <c r="AM16" s="42">
        <v>3.73</v>
      </c>
      <c r="AN16" s="46">
        <v>3.16</v>
      </c>
      <c r="AP16" s="44" t="s">
        <v>2617</v>
      </c>
      <c r="AQ16" s="42">
        <v>2.21</v>
      </c>
      <c r="AR16" s="42">
        <v>1.17</v>
      </c>
      <c r="AS16" s="42">
        <v>2.59</v>
      </c>
      <c r="AT16" s="42">
        <v>3.56</v>
      </c>
      <c r="AU16" s="42">
        <v>1.37</v>
      </c>
      <c r="AV16" s="42">
        <v>1.17</v>
      </c>
      <c r="AW16" s="42">
        <v>0.28000000000000003</v>
      </c>
      <c r="AX16" s="46">
        <v>0</v>
      </c>
      <c r="AZ16" s="44" t="s">
        <v>2617</v>
      </c>
      <c r="BA16" s="42">
        <v>0.53</v>
      </c>
      <c r="BB16" s="42">
        <v>0.45</v>
      </c>
      <c r="BC16" s="42">
        <v>0.39</v>
      </c>
      <c r="BD16" s="42">
        <v>1.61</v>
      </c>
      <c r="BE16" s="42">
        <v>2.21</v>
      </c>
      <c r="BF16" s="42">
        <v>1.89</v>
      </c>
      <c r="BG16" s="42">
        <v>0.73</v>
      </c>
      <c r="BH16" s="46">
        <v>1.17</v>
      </c>
      <c r="BJ16" s="44" t="s">
        <v>2617</v>
      </c>
      <c r="BK16" s="42">
        <v>14.87</v>
      </c>
      <c r="BL16" s="42">
        <v>1.37</v>
      </c>
      <c r="BM16" s="42">
        <v>1.61</v>
      </c>
      <c r="BN16" s="42">
        <v>4.18</v>
      </c>
      <c r="BO16" s="42">
        <v>1.89</v>
      </c>
      <c r="BP16" s="42">
        <v>2.59</v>
      </c>
      <c r="BQ16" s="42">
        <v>0.24</v>
      </c>
      <c r="BR16" s="46">
        <v>0.53</v>
      </c>
      <c r="BT16" s="44" t="s">
        <v>2617</v>
      </c>
      <c r="BU16" s="42">
        <v>0.73</v>
      </c>
      <c r="BV16" s="42">
        <v>0.45</v>
      </c>
      <c r="BW16" s="42">
        <v>0.15</v>
      </c>
      <c r="BX16" s="42">
        <v>1.17</v>
      </c>
      <c r="BY16" s="42">
        <v>1.89</v>
      </c>
      <c r="BZ16" s="42">
        <v>0.73</v>
      </c>
      <c r="CA16" s="42">
        <v>0.33</v>
      </c>
      <c r="CB16" s="46">
        <v>2.21</v>
      </c>
    </row>
    <row r="17" spans="2:80">
      <c r="B17" s="44" t="s">
        <v>2616</v>
      </c>
      <c r="C17" s="42">
        <v>2.99</v>
      </c>
      <c r="D17" s="42">
        <v>4.4000000000000004</v>
      </c>
      <c r="E17" s="42">
        <v>5.3</v>
      </c>
      <c r="F17" s="42">
        <v>5.63</v>
      </c>
      <c r="G17" s="42">
        <v>4.33</v>
      </c>
      <c r="H17" s="42">
        <v>2.2799999999999998</v>
      </c>
      <c r="I17" s="42">
        <v>1.77</v>
      </c>
      <c r="J17" s="46">
        <v>2.23</v>
      </c>
      <c r="L17" s="44" t="s">
        <v>2617</v>
      </c>
      <c r="M17" s="42">
        <v>2.85</v>
      </c>
      <c r="N17" s="42">
        <v>5.41</v>
      </c>
      <c r="O17" s="42">
        <v>5.18</v>
      </c>
      <c r="P17" s="42">
        <v>4.8499999999999996</v>
      </c>
      <c r="Q17" s="42">
        <v>0</v>
      </c>
      <c r="R17" s="42">
        <v>3.73</v>
      </c>
      <c r="S17" s="42">
        <v>3.1</v>
      </c>
      <c r="T17" s="46">
        <v>3.42</v>
      </c>
      <c r="V17" s="44" t="s">
        <v>2617</v>
      </c>
      <c r="W17" s="42">
        <v>1.72</v>
      </c>
      <c r="X17" s="42">
        <v>4.28</v>
      </c>
      <c r="Y17" s="42">
        <v>4.2300000000000004</v>
      </c>
      <c r="Z17" s="42">
        <v>4.2699999999999996</v>
      </c>
      <c r="AA17" s="42">
        <v>3.68</v>
      </c>
      <c r="AB17" s="42">
        <v>3.17</v>
      </c>
      <c r="AC17" s="42">
        <v>1.62</v>
      </c>
      <c r="AD17" s="46">
        <v>1.28</v>
      </c>
      <c r="AF17" s="44" t="s">
        <v>2617</v>
      </c>
      <c r="AG17" s="42">
        <v>4.13</v>
      </c>
      <c r="AH17" s="42">
        <v>6.11</v>
      </c>
      <c r="AI17" s="42">
        <v>3.75</v>
      </c>
      <c r="AJ17" s="42">
        <v>5.61</v>
      </c>
      <c r="AK17" s="42">
        <v>5.45</v>
      </c>
      <c r="AL17" s="42">
        <v>1.83</v>
      </c>
      <c r="AM17" s="42">
        <v>3.75</v>
      </c>
      <c r="AN17" s="46">
        <v>3.05</v>
      </c>
      <c r="AP17" s="44" t="s">
        <v>2617</v>
      </c>
      <c r="AQ17" s="42">
        <v>2.59</v>
      </c>
      <c r="AR17" s="42">
        <v>1.17</v>
      </c>
      <c r="AS17" s="42">
        <v>2.59</v>
      </c>
      <c r="AT17" s="42">
        <v>3.56</v>
      </c>
      <c r="AU17" s="42">
        <v>1.37</v>
      </c>
      <c r="AV17" s="42">
        <v>1.37</v>
      </c>
      <c r="AW17" s="42">
        <v>1.17</v>
      </c>
      <c r="AX17" s="46">
        <v>0</v>
      </c>
      <c r="AZ17" s="44" t="s">
        <v>2617</v>
      </c>
      <c r="BA17" s="42">
        <v>0.53</v>
      </c>
      <c r="BB17" s="42">
        <v>4.18</v>
      </c>
      <c r="BC17" s="42">
        <v>0.33</v>
      </c>
      <c r="BD17" s="42">
        <v>1.61</v>
      </c>
      <c r="BE17" s="42">
        <v>2.21</v>
      </c>
      <c r="BF17" s="42">
        <v>1.89</v>
      </c>
      <c r="BG17" s="42">
        <v>0.62</v>
      </c>
      <c r="BH17" s="46">
        <v>1.17</v>
      </c>
      <c r="BJ17" s="44" t="s">
        <v>2617</v>
      </c>
      <c r="BK17" s="42">
        <v>10.83</v>
      </c>
      <c r="BL17" s="42">
        <v>1.37</v>
      </c>
      <c r="BM17" s="42">
        <v>1.89</v>
      </c>
      <c r="BN17" s="42">
        <v>3.56</v>
      </c>
      <c r="BO17" s="42">
        <v>1.37</v>
      </c>
      <c r="BP17" s="42">
        <v>2.59</v>
      </c>
      <c r="BQ17" s="42">
        <v>0.24</v>
      </c>
      <c r="BR17" s="46">
        <v>0.62</v>
      </c>
      <c r="BT17" s="44" t="s">
        <v>2617</v>
      </c>
      <c r="BU17" s="42">
        <v>0.85</v>
      </c>
      <c r="BV17" s="42">
        <v>0.45</v>
      </c>
      <c r="BW17" s="42">
        <v>0.15</v>
      </c>
      <c r="BX17" s="42">
        <v>1.17</v>
      </c>
      <c r="BY17" s="42">
        <v>0.85</v>
      </c>
      <c r="BZ17" s="42">
        <v>0.53</v>
      </c>
      <c r="CA17" s="42">
        <v>0.33</v>
      </c>
      <c r="CB17" s="46">
        <v>3.56</v>
      </c>
    </row>
    <row r="18" spans="2:80">
      <c r="B18" s="44" t="s">
        <v>2616</v>
      </c>
      <c r="C18" s="42">
        <v>2.98</v>
      </c>
      <c r="D18" s="42">
        <v>4.3899999999999997</v>
      </c>
      <c r="E18" s="42">
        <v>5.29</v>
      </c>
      <c r="F18" s="42">
        <v>4.21</v>
      </c>
      <c r="G18" s="42">
        <v>4.34</v>
      </c>
      <c r="H18" s="42">
        <v>4.8600000000000003</v>
      </c>
      <c r="I18" s="42">
        <v>1.77</v>
      </c>
      <c r="J18" s="46">
        <v>2.29</v>
      </c>
      <c r="L18" s="44" t="s">
        <v>2617</v>
      </c>
      <c r="M18" s="42">
        <v>2.82</v>
      </c>
      <c r="N18" s="42">
        <v>5.48</v>
      </c>
      <c r="O18" s="42">
        <v>5.19</v>
      </c>
      <c r="P18" s="42">
        <v>6.02</v>
      </c>
      <c r="Q18" s="42">
        <v>0</v>
      </c>
      <c r="R18" s="42">
        <v>3.72</v>
      </c>
      <c r="S18" s="42">
        <v>3.09</v>
      </c>
      <c r="T18" s="46">
        <v>3.46</v>
      </c>
      <c r="V18" s="44" t="s">
        <v>2617</v>
      </c>
      <c r="W18" s="42">
        <v>3.94</v>
      </c>
      <c r="X18" s="42">
        <v>4.32</v>
      </c>
      <c r="Y18" s="42">
        <v>4.16</v>
      </c>
      <c r="Z18" s="42">
        <v>3.1</v>
      </c>
      <c r="AA18" s="42">
        <v>3.58</v>
      </c>
      <c r="AB18" s="42">
        <v>3.14</v>
      </c>
      <c r="AC18" s="42">
        <v>1.64</v>
      </c>
      <c r="AD18" s="46">
        <v>1.26</v>
      </c>
      <c r="AF18" s="44" t="s">
        <v>2617</v>
      </c>
      <c r="AG18" s="42">
        <v>4.1399999999999997</v>
      </c>
      <c r="AH18" s="42">
        <v>6.09</v>
      </c>
      <c r="AI18" s="42">
        <v>3.76</v>
      </c>
      <c r="AJ18" s="42">
        <v>4.07</v>
      </c>
      <c r="AK18" s="42">
        <v>5.45</v>
      </c>
      <c r="AL18" s="42">
        <v>1.86</v>
      </c>
      <c r="AM18" s="42">
        <v>3.72</v>
      </c>
      <c r="AN18" s="46">
        <v>3.18</v>
      </c>
      <c r="AP18" s="44" t="s">
        <v>2617</v>
      </c>
      <c r="AQ18" s="42">
        <v>2.21</v>
      </c>
      <c r="AR18" s="42">
        <v>1.17</v>
      </c>
      <c r="AS18" s="42">
        <v>2.21</v>
      </c>
      <c r="AT18" s="42">
        <v>17.43</v>
      </c>
      <c r="AU18" s="42">
        <v>1.37</v>
      </c>
      <c r="AV18" s="42">
        <v>1.37</v>
      </c>
      <c r="AW18" s="42">
        <v>1.37</v>
      </c>
      <c r="AX18" s="46">
        <v>0</v>
      </c>
      <c r="AZ18" s="44" t="s">
        <v>2617</v>
      </c>
      <c r="BA18" s="42">
        <v>0.53</v>
      </c>
      <c r="BB18" s="42">
        <v>4.18</v>
      </c>
      <c r="BC18" s="42">
        <v>0.39</v>
      </c>
      <c r="BD18" s="42">
        <v>1.89</v>
      </c>
      <c r="BE18" s="42">
        <v>20.43</v>
      </c>
      <c r="BF18" s="42">
        <v>1.61</v>
      </c>
      <c r="BG18" s="42">
        <v>0.62</v>
      </c>
      <c r="BH18" s="46">
        <v>1.17</v>
      </c>
      <c r="BJ18" s="44" t="s">
        <v>2617</v>
      </c>
      <c r="BK18" s="42">
        <v>9.24</v>
      </c>
      <c r="BL18" s="42">
        <v>1.61</v>
      </c>
      <c r="BM18" s="42">
        <v>1.89</v>
      </c>
      <c r="BN18" s="42">
        <v>1.89</v>
      </c>
      <c r="BO18" s="42">
        <v>1.89</v>
      </c>
      <c r="BP18" s="42">
        <v>2.59</v>
      </c>
      <c r="BQ18" s="42">
        <v>0.24</v>
      </c>
      <c r="BR18" s="46">
        <v>0.24</v>
      </c>
      <c r="BT18" s="44" t="s">
        <v>2617</v>
      </c>
      <c r="BU18" s="42">
        <v>0.85</v>
      </c>
      <c r="BV18" s="42">
        <v>0.39</v>
      </c>
      <c r="BW18" s="42">
        <v>0.15</v>
      </c>
      <c r="BX18" s="42">
        <v>1.17</v>
      </c>
      <c r="BY18" s="42">
        <v>2.21</v>
      </c>
      <c r="BZ18" s="42">
        <v>0.73</v>
      </c>
      <c r="CA18" s="42">
        <v>0.33</v>
      </c>
      <c r="CB18" s="46">
        <v>2.21</v>
      </c>
    </row>
    <row r="19" spans="2:80">
      <c r="B19" s="44" t="s">
        <v>2618</v>
      </c>
      <c r="C19" s="42">
        <v>2.99</v>
      </c>
      <c r="D19" s="42">
        <v>4.34</v>
      </c>
      <c r="E19" s="42">
        <v>5.29</v>
      </c>
      <c r="F19" s="42">
        <v>5.65</v>
      </c>
      <c r="G19" s="42">
        <v>4.34</v>
      </c>
      <c r="H19" s="42">
        <v>4.84</v>
      </c>
      <c r="I19" s="42">
        <v>1.76</v>
      </c>
      <c r="J19" s="46">
        <v>2.21</v>
      </c>
      <c r="L19" s="44" t="s">
        <v>2616</v>
      </c>
      <c r="M19" s="42">
        <v>2.84</v>
      </c>
      <c r="N19" s="42">
        <v>5.45</v>
      </c>
      <c r="O19" s="42">
        <v>5.12</v>
      </c>
      <c r="P19" s="42">
        <v>6.08</v>
      </c>
      <c r="Q19" s="42">
        <v>0</v>
      </c>
      <c r="R19" s="42">
        <v>3.71</v>
      </c>
      <c r="S19" s="42">
        <v>3.03</v>
      </c>
      <c r="T19" s="46">
        <v>3.47</v>
      </c>
      <c r="V19" s="44" t="s">
        <v>2619</v>
      </c>
      <c r="W19" s="42">
        <v>3.93</v>
      </c>
      <c r="X19" s="42">
        <v>4.2699999999999996</v>
      </c>
      <c r="Y19" s="42">
        <v>4.18</v>
      </c>
      <c r="Z19" s="42">
        <v>4.3</v>
      </c>
      <c r="AA19" s="42">
        <v>3.61</v>
      </c>
      <c r="AB19" s="42">
        <v>3.15</v>
      </c>
      <c r="AC19" s="42">
        <v>1.61</v>
      </c>
      <c r="AD19" s="46">
        <v>1.24</v>
      </c>
      <c r="AF19" s="44" t="s">
        <v>2616</v>
      </c>
      <c r="AG19" s="42">
        <v>4.13</v>
      </c>
      <c r="AH19" s="42">
        <v>6.09</v>
      </c>
      <c r="AI19" s="42">
        <v>3.76</v>
      </c>
      <c r="AJ19" s="42">
        <v>4.13</v>
      </c>
      <c r="AK19" s="42">
        <v>5.44</v>
      </c>
      <c r="AL19" s="42">
        <v>1.85</v>
      </c>
      <c r="AM19" s="42">
        <v>3.75</v>
      </c>
      <c r="AN19" s="46">
        <v>3.2</v>
      </c>
      <c r="AP19" s="44" t="s">
        <v>2616</v>
      </c>
      <c r="AQ19" s="42">
        <v>0</v>
      </c>
      <c r="AR19" s="42">
        <v>1.17</v>
      </c>
      <c r="AS19" s="42">
        <v>2.59</v>
      </c>
      <c r="AT19" s="42">
        <v>3.56</v>
      </c>
      <c r="AU19" s="42">
        <v>1.37</v>
      </c>
      <c r="AV19" s="42">
        <v>1.37</v>
      </c>
      <c r="AW19" s="42">
        <v>1.17</v>
      </c>
      <c r="AX19" s="46">
        <v>0</v>
      </c>
      <c r="AZ19" s="44" t="s">
        <v>2616</v>
      </c>
      <c r="BA19" s="42">
        <v>0.53</v>
      </c>
      <c r="BB19" s="42">
        <v>0.45</v>
      </c>
      <c r="BC19" s="42">
        <v>0.33</v>
      </c>
      <c r="BD19" s="42">
        <v>1.61</v>
      </c>
      <c r="BE19" s="42">
        <v>2.21</v>
      </c>
      <c r="BF19" s="42">
        <v>1.89</v>
      </c>
      <c r="BG19" s="42">
        <v>0.73</v>
      </c>
      <c r="BH19" s="46">
        <v>1.17</v>
      </c>
      <c r="BJ19" s="44" t="s">
        <v>2616</v>
      </c>
      <c r="BK19" s="42">
        <v>10.83</v>
      </c>
      <c r="BL19" s="42">
        <v>0</v>
      </c>
      <c r="BM19" s="42">
        <v>0.2</v>
      </c>
      <c r="BN19" s="42">
        <v>1.89</v>
      </c>
      <c r="BO19" s="42">
        <v>1.37</v>
      </c>
      <c r="BP19" s="42">
        <v>3.56</v>
      </c>
      <c r="BQ19" s="42">
        <v>0.2</v>
      </c>
      <c r="BR19" s="46">
        <v>0.62</v>
      </c>
      <c r="BT19" s="44" t="s">
        <v>2616</v>
      </c>
      <c r="BU19" s="42">
        <v>0.73</v>
      </c>
      <c r="BV19" s="42">
        <v>0.45</v>
      </c>
      <c r="BW19" s="42">
        <v>0.13</v>
      </c>
      <c r="BX19" s="42">
        <v>0</v>
      </c>
      <c r="BY19" s="42">
        <v>1.89</v>
      </c>
      <c r="BZ19" s="42">
        <v>0.73</v>
      </c>
      <c r="CA19" s="42">
        <v>0.24</v>
      </c>
      <c r="CB19" s="46">
        <v>2.21</v>
      </c>
    </row>
    <row r="20" spans="2:80">
      <c r="B20" s="44" t="s">
        <v>2618</v>
      </c>
      <c r="C20" s="42">
        <v>3.02</v>
      </c>
      <c r="D20" s="42">
        <v>4.38</v>
      </c>
      <c r="E20" s="42">
        <v>5.33</v>
      </c>
      <c r="F20" s="42">
        <v>5.6</v>
      </c>
      <c r="G20" s="42">
        <v>4.34</v>
      </c>
      <c r="H20" s="42">
        <v>4.84</v>
      </c>
      <c r="I20" s="42">
        <v>1.74</v>
      </c>
      <c r="J20" s="46">
        <v>2.27</v>
      </c>
      <c r="L20" s="44" t="s">
        <v>2616</v>
      </c>
      <c r="M20" s="42">
        <v>2.84</v>
      </c>
      <c r="N20" s="42">
        <v>3.74</v>
      </c>
      <c r="O20" s="42">
        <v>5.15</v>
      </c>
      <c r="P20" s="42">
        <v>6.08</v>
      </c>
      <c r="Q20" s="42">
        <v>0</v>
      </c>
      <c r="R20" s="42">
        <v>3.72</v>
      </c>
      <c r="S20" s="42">
        <v>3.06</v>
      </c>
      <c r="T20" s="46">
        <v>4.17</v>
      </c>
      <c r="V20" s="44" t="s">
        <v>2619</v>
      </c>
      <c r="W20" s="42">
        <v>3.92</v>
      </c>
      <c r="X20" s="42">
        <v>4.29</v>
      </c>
      <c r="Y20" s="42">
        <v>4.16</v>
      </c>
      <c r="Z20" s="42">
        <v>4.33</v>
      </c>
      <c r="AA20" s="42">
        <v>3.6</v>
      </c>
      <c r="AB20" s="42">
        <v>3.13</v>
      </c>
      <c r="AC20" s="42">
        <v>1.59</v>
      </c>
      <c r="AD20" s="46">
        <v>1.24</v>
      </c>
      <c r="AF20" s="44" t="s">
        <v>2616</v>
      </c>
      <c r="AG20" s="42">
        <v>4.1500000000000004</v>
      </c>
      <c r="AH20" s="42">
        <v>6.08</v>
      </c>
      <c r="AI20" s="42">
        <v>3.74</v>
      </c>
      <c r="AJ20" s="42">
        <v>5.15</v>
      </c>
      <c r="AK20" s="42">
        <v>5.45</v>
      </c>
      <c r="AL20" s="42">
        <v>1.82</v>
      </c>
      <c r="AM20" s="42">
        <v>3.75</v>
      </c>
      <c r="AN20" s="46">
        <v>0</v>
      </c>
      <c r="AP20" s="44" t="s">
        <v>2616</v>
      </c>
      <c r="AQ20" s="42">
        <v>2.21</v>
      </c>
      <c r="AR20" s="42">
        <v>0</v>
      </c>
      <c r="AS20" s="42">
        <v>2.59</v>
      </c>
      <c r="AT20" s="42">
        <v>3.56</v>
      </c>
      <c r="AU20" s="42">
        <v>1.37</v>
      </c>
      <c r="AV20" s="42">
        <v>1.37</v>
      </c>
      <c r="AW20" s="42">
        <v>1.17</v>
      </c>
      <c r="AX20" s="46">
        <v>0.85</v>
      </c>
      <c r="AZ20" s="44" t="s">
        <v>2616</v>
      </c>
      <c r="BA20" s="42">
        <v>0.53</v>
      </c>
      <c r="BB20" s="42">
        <v>4.8899999999999997</v>
      </c>
      <c r="BC20" s="42">
        <v>0.39</v>
      </c>
      <c r="BD20" s="42">
        <v>1.61</v>
      </c>
      <c r="BE20" s="42">
        <v>17.43</v>
      </c>
      <c r="BF20" s="42">
        <v>1.61</v>
      </c>
      <c r="BG20" s="42">
        <v>0.62</v>
      </c>
      <c r="BH20" s="46">
        <v>1.17</v>
      </c>
      <c r="BJ20" s="44" t="s">
        <v>2616</v>
      </c>
      <c r="BK20" s="42">
        <v>10.83</v>
      </c>
      <c r="BL20" s="42">
        <v>0.85</v>
      </c>
      <c r="BM20" s="42">
        <v>0.2</v>
      </c>
      <c r="BN20" s="42">
        <v>0</v>
      </c>
      <c r="BO20" s="42">
        <v>1.61</v>
      </c>
      <c r="BP20" s="42">
        <v>3.04</v>
      </c>
      <c r="BQ20" s="42">
        <v>0.17</v>
      </c>
      <c r="BR20" s="46">
        <v>0.45</v>
      </c>
      <c r="BT20" s="44" t="s">
        <v>2616</v>
      </c>
      <c r="BU20" s="42">
        <v>0.85</v>
      </c>
      <c r="BV20" s="42">
        <v>0.45</v>
      </c>
      <c r="BW20" s="42">
        <v>0.15</v>
      </c>
      <c r="BX20" s="42">
        <v>4.18</v>
      </c>
      <c r="BY20" s="42">
        <v>2.21</v>
      </c>
      <c r="BZ20" s="42">
        <v>0.73</v>
      </c>
      <c r="CA20" s="42">
        <v>0.28000000000000003</v>
      </c>
      <c r="CB20" s="46">
        <v>2.21</v>
      </c>
    </row>
    <row r="21" spans="2:80">
      <c r="B21" s="44" t="s">
        <v>2618</v>
      </c>
      <c r="C21" s="42">
        <v>2.97</v>
      </c>
      <c r="D21" s="42">
        <v>4.42</v>
      </c>
      <c r="E21" s="42">
        <v>5.29</v>
      </c>
      <c r="F21" s="42">
        <v>5.67</v>
      </c>
      <c r="G21" s="42">
        <v>4.32</v>
      </c>
      <c r="H21" s="42">
        <v>4.82</v>
      </c>
      <c r="I21" s="42">
        <v>1.75</v>
      </c>
      <c r="J21" s="46">
        <v>2.25</v>
      </c>
      <c r="L21" s="44" t="s">
        <v>2616</v>
      </c>
      <c r="M21" s="42">
        <v>2.87</v>
      </c>
      <c r="N21" s="42">
        <v>5.49</v>
      </c>
      <c r="O21" s="42">
        <v>5.18</v>
      </c>
      <c r="P21" s="42">
        <v>6.12</v>
      </c>
      <c r="Q21" s="42">
        <v>5.43</v>
      </c>
      <c r="R21" s="42">
        <v>3.72</v>
      </c>
      <c r="S21" s="42">
        <v>3.03</v>
      </c>
      <c r="T21" s="46">
        <v>3.39</v>
      </c>
      <c r="V21" s="44" t="s">
        <v>2619</v>
      </c>
      <c r="W21" s="42">
        <v>3.91</v>
      </c>
      <c r="X21" s="42">
        <v>1.01</v>
      </c>
      <c r="Y21" s="42">
        <v>4.17</v>
      </c>
      <c r="Z21" s="42">
        <v>0.28999999999999998</v>
      </c>
      <c r="AA21" s="42">
        <v>3.62</v>
      </c>
      <c r="AB21" s="42">
        <v>3.17</v>
      </c>
      <c r="AC21" s="42">
        <v>1.6</v>
      </c>
      <c r="AD21" s="46">
        <v>1.32</v>
      </c>
      <c r="AF21" s="44" t="s">
        <v>2616</v>
      </c>
      <c r="AG21" s="42">
        <v>4.1500000000000004</v>
      </c>
      <c r="AH21" s="42">
        <v>6.13</v>
      </c>
      <c r="AI21" s="42">
        <v>3.76</v>
      </c>
      <c r="AJ21" s="42">
        <v>5.2</v>
      </c>
      <c r="AK21" s="42">
        <v>5.45</v>
      </c>
      <c r="AL21" s="42">
        <v>1.85</v>
      </c>
      <c r="AM21" s="42">
        <v>1.78</v>
      </c>
      <c r="AN21" s="46">
        <v>0</v>
      </c>
      <c r="AP21" s="44" t="s">
        <v>2616</v>
      </c>
      <c r="AQ21" s="42">
        <v>2.21</v>
      </c>
      <c r="AR21" s="42">
        <v>1.17</v>
      </c>
      <c r="AS21" s="42">
        <v>2.59</v>
      </c>
      <c r="AT21" s="42">
        <v>2.59</v>
      </c>
      <c r="AU21" s="42">
        <v>1.37</v>
      </c>
      <c r="AV21" s="42">
        <v>99.99</v>
      </c>
      <c r="AW21" s="42">
        <v>1.17</v>
      </c>
      <c r="AX21" s="46">
        <v>0</v>
      </c>
      <c r="AZ21" s="44" t="s">
        <v>2616</v>
      </c>
      <c r="BA21" s="42">
        <v>1.37</v>
      </c>
      <c r="BB21" s="42">
        <v>0.39</v>
      </c>
      <c r="BC21" s="42">
        <v>0.17</v>
      </c>
      <c r="BD21" s="42">
        <v>3.04</v>
      </c>
      <c r="BE21" s="42">
        <v>9.24</v>
      </c>
      <c r="BF21" s="42">
        <v>1.89</v>
      </c>
      <c r="BG21" s="42">
        <v>0.62</v>
      </c>
      <c r="BH21" s="46">
        <v>1.37</v>
      </c>
      <c r="BJ21" s="44" t="s">
        <v>2616</v>
      </c>
      <c r="BK21" s="42">
        <v>14.87</v>
      </c>
      <c r="BL21" s="42">
        <v>1.61</v>
      </c>
      <c r="BM21" s="42">
        <v>1.61</v>
      </c>
      <c r="BN21" s="42">
        <v>3.04</v>
      </c>
      <c r="BO21" s="42">
        <v>1.89</v>
      </c>
      <c r="BP21" s="42">
        <v>0.85</v>
      </c>
      <c r="BQ21" s="42">
        <v>0.24</v>
      </c>
      <c r="BR21" s="46">
        <v>0.2</v>
      </c>
      <c r="BT21" s="44" t="s">
        <v>2616</v>
      </c>
      <c r="BU21" s="42">
        <v>0.85</v>
      </c>
      <c r="BV21" s="42">
        <v>0.45</v>
      </c>
      <c r="BW21" s="42">
        <v>0.15</v>
      </c>
      <c r="BX21" s="42">
        <v>1.17</v>
      </c>
      <c r="BY21" s="42">
        <v>2.21</v>
      </c>
      <c r="BZ21" s="42">
        <v>0.73</v>
      </c>
      <c r="CA21" s="42">
        <v>0.28000000000000003</v>
      </c>
      <c r="CB21" s="46">
        <v>1.89</v>
      </c>
    </row>
    <row r="22" spans="2:80">
      <c r="B22" s="44" t="s">
        <v>2618</v>
      </c>
      <c r="C22" s="42">
        <v>3.01</v>
      </c>
      <c r="D22" s="42">
        <v>4.37</v>
      </c>
      <c r="E22" s="42">
        <v>5.3</v>
      </c>
      <c r="F22" s="42">
        <v>5.63</v>
      </c>
      <c r="G22" s="42">
        <v>4.32</v>
      </c>
      <c r="H22" s="42">
        <v>4.84</v>
      </c>
      <c r="I22" s="42">
        <v>1.76</v>
      </c>
      <c r="J22" s="46">
        <v>2.2799999999999998</v>
      </c>
      <c r="L22" s="44" t="s">
        <v>2616</v>
      </c>
      <c r="M22" s="42">
        <v>2.83</v>
      </c>
      <c r="N22" s="42">
        <v>5.46</v>
      </c>
      <c r="O22" s="42">
        <v>5.2</v>
      </c>
      <c r="P22" s="42">
        <v>3.04</v>
      </c>
      <c r="Q22" s="42">
        <v>0</v>
      </c>
      <c r="R22" s="42">
        <v>3.75</v>
      </c>
      <c r="S22" s="42">
        <v>3.08</v>
      </c>
      <c r="T22" s="46">
        <v>3.49</v>
      </c>
      <c r="V22" s="44" t="s">
        <v>2619</v>
      </c>
      <c r="W22" s="42">
        <v>3.93</v>
      </c>
      <c r="X22" s="42">
        <v>4.3</v>
      </c>
      <c r="Y22" s="42">
        <v>1.33</v>
      </c>
      <c r="Z22" s="42">
        <v>4.3</v>
      </c>
      <c r="AA22" s="42">
        <v>3.6</v>
      </c>
      <c r="AB22" s="42">
        <v>3.13</v>
      </c>
      <c r="AC22" s="42">
        <v>1.62</v>
      </c>
      <c r="AD22" s="46">
        <v>1.25</v>
      </c>
      <c r="AF22" s="44" t="s">
        <v>2616</v>
      </c>
      <c r="AG22" s="42">
        <v>4.12</v>
      </c>
      <c r="AH22" s="42">
        <v>6.09</v>
      </c>
      <c r="AI22" s="42">
        <v>3.81</v>
      </c>
      <c r="AJ22" s="42">
        <v>5.17</v>
      </c>
      <c r="AK22" s="42">
        <v>5.5</v>
      </c>
      <c r="AL22" s="42">
        <v>1.85</v>
      </c>
      <c r="AM22" s="42">
        <v>3.75</v>
      </c>
      <c r="AN22" s="46">
        <v>3.24</v>
      </c>
      <c r="AP22" s="44" t="s">
        <v>2616</v>
      </c>
      <c r="AQ22" s="42">
        <v>0</v>
      </c>
      <c r="AR22" s="42">
        <v>1.17</v>
      </c>
      <c r="AS22" s="42">
        <v>0</v>
      </c>
      <c r="AT22" s="42">
        <v>17.43</v>
      </c>
      <c r="AU22" s="42">
        <v>1.61</v>
      </c>
      <c r="AV22" s="42">
        <v>99.99</v>
      </c>
      <c r="AW22" s="42">
        <v>1.17</v>
      </c>
      <c r="AX22" s="46">
        <v>6.72</v>
      </c>
      <c r="AZ22" s="44" t="s">
        <v>2616</v>
      </c>
      <c r="BA22" s="42">
        <v>0.53</v>
      </c>
      <c r="BB22" s="42">
        <v>4.8899999999999997</v>
      </c>
      <c r="BC22" s="42">
        <v>0.39</v>
      </c>
      <c r="BD22" s="42">
        <v>3.56</v>
      </c>
      <c r="BE22" s="42">
        <v>2.59</v>
      </c>
      <c r="BF22" s="42">
        <v>1.89</v>
      </c>
      <c r="BG22" s="42">
        <v>0.73</v>
      </c>
      <c r="BH22" s="46">
        <v>4.18</v>
      </c>
      <c r="BJ22" s="44" t="s">
        <v>2616</v>
      </c>
      <c r="BK22" s="42">
        <v>10.83</v>
      </c>
      <c r="BL22" s="42">
        <v>1.37</v>
      </c>
      <c r="BM22" s="42">
        <v>1.89</v>
      </c>
      <c r="BN22" s="42">
        <v>3.56</v>
      </c>
      <c r="BO22" s="42">
        <v>1.37</v>
      </c>
      <c r="BP22" s="42">
        <v>2.59</v>
      </c>
      <c r="BQ22" s="42">
        <v>0.24</v>
      </c>
      <c r="BR22" s="46">
        <v>0.62</v>
      </c>
      <c r="BT22" s="44" t="s">
        <v>2616</v>
      </c>
      <c r="BU22" s="42">
        <v>0.85</v>
      </c>
      <c r="BV22" s="42">
        <v>0.45</v>
      </c>
      <c r="BW22" s="42">
        <v>0.15</v>
      </c>
      <c r="BX22" s="42">
        <v>1.17</v>
      </c>
      <c r="BY22" s="42">
        <v>2.21</v>
      </c>
      <c r="BZ22" s="42">
        <v>0.73</v>
      </c>
      <c r="CA22" s="42">
        <v>0.28000000000000003</v>
      </c>
      <c r="CB22" s="46">
        <v>2.21</v>
      </c>
    </row>
    <row r="23" spans="2:80">
      <c r="B23" s="44" t="s">
        <v>2618</v>
      </c>
      <c r="C23" s="42">
        <v>2.95</v>
      </c>
      <c r="D23" s="42">
        <v>0</v>
      </c>
      <c r="E23" s="42">
        <v>5.3</v>
      </c>
      <c r="F23" s="42">
        <v>5.63</v>
      </c>
      <c r="G23" s="42">
        <v>4.33</v>
      </c>
      <c r="H23" s="42">
        <v>4.8899999999999997</v>
      </c>
      <c r="I23" s="42">
        <v>1.77</v>
      </c>
      <c r="J23" s="46">
        <v>2.27</v>
      </c>
      <c r="L23" s="44" t="s">
        <v>2616</v>
      </c>
      <c r="M23" s="42">
        <v>2.83</v>
      </c>
      <c r="N23" s="42">
        <v>5.55</v>
      </c>
      <c r="O23" s="42">
        <v>5.21</v>
      </c>
      <c r="P23" s="42">
        <v>3.69</v>
      </c>
      <c r="Q23" s="42">
        <v>0</v>
      </c>
      <c r="R23" s="42">
        <v>3.76</v>
      </c>
      <c r="S23" s="42">
        <v>3.08</v>
      </c>
      <c r="T23" s="46">
        <v>2.77</v>
      </c>
      <c r="V23" s="44" t="s">
        <v>2619</v>
      </c>
      <c r="W23" s="42">
        <v>3.93</v>
      </c>
      <c r="X23" s="42">
        <v>4.26</v>
      </c>
      <c r="Y23" s="42">
        <v>4.09</v>
      </c>
      <c r="Z23" s="42">
        <v>4.28</v>
      </c>
      <c r="AA23" s="42">
        <v>3.59</v>
      </c>
      <c r="AB23" s="42">
        <v>3.14</v>
      </c>
      <c r="AC23" s="42">
        <v>1.62</v>
      </c>
      <c r="AD23" s="46">
        <v>1.25</v>
      </c>
      <c r="AF23" s="44" t="s">
        <v>2616</v>
      </c>
      <c r="AG23" s="42">
        <v>3.86</v>
      </c>
      <c r="AH23" s="42">
        <v>6.07</v>
      </c>
      <c r="AI23" s="42">
        <v>3.78</v>
      </c>
      <c r="AJ23" s="42">
        <v>5.15</v>
      </c>
      <c r="AK23" s="42">
        <v>5.49</v>
      </c>
      <c r="AL23" s="42">
        <v>1.84</v>
      </c>
      <c r="AM23" s="42">
        <v>3.76</v>
      </c>
      <c r="AN23" s="46">
        <v>0</v>
      </c>
      <c r="AP23" s="44" t="s">
        <v>2616</v>
      </c>
      <c r="AQ23" s="42">
        <v>2.21</v>
      </c>
      <c r="AR23" s="42">
        <v>1.17</v>
      </c>
      <c r="AS23" s="42">
        <v>2.59</v>
      </c>
      <c r="AT23" s="42">
        <v>3.56</v>
      </c>
      <c r="AU23" s="42">
        <v>1.37</v>
      </c>
      <c r="AV23" s="42">
        <v>1.37</v>
      </c>
      <c r="AW23" s="42">
        <v>1.37</v>
      </c>
      <c r="AX23" s="46">
        <v>1.17</v>
      </c>
      <c r="AZ23" s="44" t="s">
        <v>2616</v>
      </c>
      <c r="BA23" s="42">
        <v>0.53</v>
      </c>
      <c r="BB23" s="42">
        <v>4.18</v>
      </c>
      <c r="BC23" s="42">
        <v>0.39</v>
      </c>
      <c r="BD23" s="42">
        <v>1.61</v>
      </c>
      <c r="BE23" s="42">
        <v>0.73</v>
      </c>
      <c r="BF23" s="42">
        <v>1.89</v>
      </c>
      <c r="BG23" s="42">
        <v>0.73</v>
      </c>
      <c r="BH23" s="46">
        <v>1.17</v>
      </c>
      <c r="BJ23" s="44" t="s">
        <v>2616</v>
      </c>
      <c r="BK23" s="42">
        <v>14.87</v>
      </c>
      <c r="BL23" s="42">
        <v>0.73</v>
      </c>
      <c r="BM23" s="42">
        <v>1.89</v>
      </c>
      <c r="BN23" s="42">
        <v>0</v>
      </c>
      <c r="BO23" s="42">
        <v>1.61</v>
      </c>
      <c r="BP23" s="42">
        <v>2.59</v>
      </c>
      <c r="BQ23" s="42">
        <v>0.24</v>
      </c>
      <c r="BR23" s="46">
        <v>0.2</v>
      </c>
      <c r="BT23" s="44" t="s">
        <v>2616</v>
      </c>
      <c r="BU23" s="42">
        <v>0.73</v>
      </c>
      <c r="BV23" s="42">
        <v>0.39</v>
      </c>
      <c r="BW23" s="42">
        <v>0.15</v>
      </c>
      <c r="BX23" s="42">
        <v>1.17</v>
      </c>
      <c r="BY23" s="42">
        <v>2.21</v>
      </c>
      <c r="BZ23" s="42">
        <v>0.73</v>
      </c>
      <c r="CA23" s="42">
        <v>0.28000000000000003</v>
      </c>
      <c r="CB23" s="46">
        <v>3.56</v>
      </c>
    </row>
    <row r="24" spans="2:80">
      <c r="B24" s="44" t="s">
        <v>2619</v>
      </c>
      <c r="C24" s="42">
        <v>2.99</v>
      </c>
      <c r="D24" s="42">
        <v>0</v>
      </c>
      <c r="E24" s="42">
        <v>5.32</v>
      </c>
      <c r="F24" s="42">
        <v>5.61</v>
      </c>
      <c r="G24" s="42">
        <v>4.3099999999999996</v>
      </c>
      <c r="H24" s="42">
        <v>4.83</v>
      </c>
      <c r="I24" s="42">
        <v>1.73</v>
      </c>
      <c r="J24" s="46">
        <v>2.2599999999999998</v>
      </c>
      <c r="L24" s="44" t="s">
        <v>2618</v>
      </c>
      <c r="M24" s="42">
        <v>2.82</v>
      </c>
      <c r="N24" s="42">
        <v>5.5</v>
      </c>
      <c r="O24" s="42">
        <v>5.14</v>
      </c>
      <c r="P24" s="42">
        <v>6.1</v>
      </c>
      <c r="Q24" s="42">
        <v>0</v>
      </c>
      <c r="R24" s="42">
        <v>1.22</v>
      </c>
      <c r="S24" s="42">
        <v>3.04</v>
      </c>
      <c r="T24" s="46">
        <v>3.49</v>
      </c>
      <c r="V24" s="44" t="s">
        <v>2620</v>
      </c>
      <c r="W24" s="42">
        <v>3.05</v>
      </c>
      <c r="X24" s="42">
        <v>4.28</v>
      </c>
      <c r="Y24" s="42">
        <v>4.1399999999999997</v>
      </c>
      <c r="Z24" s="42">
        <v>4.26</v>
      </c>
      <c r="AA24" s="42">
        <v>3.64</v>
      </c>
      <c r="AB24" s="42">
        <v>3.15</v>
      </c>
      <c r="AC24" s="42">
        <v>1.63</v>
      </c>
      <c r="AD24" s="46">
        <v>1.25</v>
      </c>
      <c r="AF24" s="44" t="s">
        <v>2618</v>
      </c>
      <c r="AG24" s="42">
        <v>4.1399999999999997</v>
      </c>
      <c r="AH24" s="42">
        <v>6.11</v>
      </c>
      <c r="AI24" s="42">
        <v>3.78</v>
      </c>
      <c r="AJ24" s="42">
        <v>5.15</v>
      </c>
      <c r="AK24" s="42">
        <v>5.45</v>
      </c>
      <c r="AL24" s="42">
        <v>1.85</v>
      </c>
      <c r="AM24" s="42">
        <v>3.78</v>
      </c>
      <c r="AN24" s="46">
        <v>4.04</v>
      </c>
      <c r="AP24" s="44" t="s">
        <v>2618</v>
      </c>
      <c r="AQ24" s="42">
        <v>2.59</v>
      </c>
      <c r="AR24" s="42">
        <v>1.17</v>
      </c>
      <c r="AS24" s="42">
        <v>0</v>
      </c>
      <c r="AT24" s="42">
        <v>3.56</v>
      </c>
      <c r="AU24" s="42">
        <v>6.72</v>
      </c>
      <c r="AV24" s="42">
        <v>72.790000000000006</v>
      </c>
      <c r="AW24" s="42">
        <v>1.17</v>
      </c>
      <c r="AX24" s="46">
        <v>0</v>
      </c>
      <c r="AZ24" s="44" t="s">
        <v>2618</v>
      </c>
      <c r="BA24" s="42">
        <v>0.62</v>
      </c>
      <c r="BB24" s="42">
        <v>4.18</v>
      </c>
      <c r="BC24" s="42">
        <v>4.8899999999999997</v>
      </c>
      <c r="BD24" s="42">
        <v>1.61</v>
      </c>
      <c r="BE24" s="42">
        <v>2.21</v>
      </c>
      <c r="BF24" s="42">
        <v>1.89</v>
      </c>
      <c r="BG24" s="42">
        <v>0.73</v>
      </c>
      <c r="BH24" s="46">
        <v>1.17</v>
      </c>
      <c r="BJ24" s="44" t="s">
        <v>2618</v>
      </c>
      <c r="BK24" s="42">
        <v>14.87</v>
      </c>
      <c r="BL24" s="42">
        <v>0.85</v>
      </c>
      <c r="BM24" s="42">
        <v>9.24</v>
      </c>
      <c r="BN24" s="42">
        <v>3.56</v>
      </c>
      <c r="BO24" s="42">
        <v>1.61</v>
      </c>
      <c r="BP24" s="42">
        <v>2.59</v>
      </c>
      <c r="BQ24" s="42">
        <v>0.24</v>
      </c>
      <c r="BR24" s="46">
        <v>0.24</v>
      </c>
      <c r="BT24" s="44" t="s">
        <v>2618</v>
      </c>
      <c r="BU24" s="42">
        <v>0.85</v>
      </c>
      <c r="BV24" s="42">
        <v>1.17</v>
      </c>
      <c r="BW24" s="42">
        <v>0.13</v>
      </c>
      <c r="BX24" s="42">
        <v>2.21</v>
      </c>
      <c r="BY24" s="42">
        <v>2.21</v>
      </c>
      <c r="BZ24" s="42">
        <v>0.62</v>
      </c>
      <c r="CA24" s="42">
        <v>0.33</v>
      </c>
      <c r="CB24" s="46">
        <v>2.21</v>
      </c>
    </row>
    <row r="25" spans="2:80">
      <c r="B25" s="44" t="s">
        <v>2619</v>
      </c>
      <c r="C25" s="42">
        <v>2.99</v>
      </c>
      <c r="D25" s="42">
        <v>4.43</v>
      </c>
      <c r="E25" s="42">
        <v>5.35</v>
      </c>
      <c r="F25" s="42">
        <v>5.65</v>
      </c>
      <c r="G25" s="42">
        <v>1.54</v>
      </c>
      <c r="H25" s="42">
        <v>4.8</v>
      </c>
      <c r="I25" s="42">
        <v>1.74</v>
      </c>
      <c r="J25" s="46">
        <v>2.25</v>
      </c>
      <c r="L25" s="44" t="s">
        <v>2618</v>
      </c>
      <c r="M25" s="42">
        <v>2.85</v>
      </c>
      <c r="N25" s="42">
        <v>5.44</v>
      </c>
      <c r="O25" s="42">
        <v>5.13</v>
      </c>
      <c r="P25" s="42">
        <v>5.1100000000000003</v>
      </c>
      <c r="Q25" s="42">
        <v>0</v>
      </c>
      <c r="R25" s="42">
        <v>3.73</v>
      </c>
      <c r="S25" s="42">
        <v>3.05</v>
      </c>
      <c r="T25" s="46">
        <v>3.46</v>
      </c>
      <c r="V25" s="44" t="s">
        <v>2620</v>
      </c>
      <c r="W25" s="42">
        <v>3.9</v>
      </c>
      <c r="X25" s="42">
        <v>4.2699999999999996</v>
      </c>
      <c r="Y25" s="42">
        <v>4.1399999999999997</v>
      </c>
      <c r="Z25" s="42">
        <v>4.3499999999999996</v>
      </c>
      <c r="AA25" s="42">
        <v>3.64</v>
      </c>
      <c r="AB25" s="42">
        <v>3.11</v>
      </c>
      <c r="AC25" s="42">
        <v>1.61</v>
      </c>
      <c r="AD25" s="46">
        <v>1.26</v>
      </c>
      <c r="AF25" s="44" t="s">
        <v>2618</v>
      </c>
      <c r="AG25" s="42">
        <v>4.17</v>
      </c>
      <c r="AH25" s="42">
        <v>3.68</v>
      </c>
      <c r="AI25" s="42">
        <v>3.77</v>
      </c>
      <c r="AJ25" s="42">
        <v>5.14</v>
      </c>
      <c r="AK25" s="42">
        <v>5.46</v>
      </c>
      <c r="AL25" s="42">
        <v>1.83</v>
      </c>
      <c r="AM25" s="42">
        <v>3.76</v>
      </c>
      <c r="AN25" s="46">
        <v>0</v>
      </c>
      <c r="AP25" s="44" t="s">
        <v>2618</v>
      </c>
      <c r="AQ25" s="42">
        <v>2.59</v>
      </c>
      <c r="AR25" s="42">
        <v>0</v>
      </c>
      <c r="AS25" s="42">
        <v>9.24</v>
      </c>
      <c r="AT25" s="42">
        <v>3.04</v>
      </c>
      <c r="AU25" s="42">
        <v>1.37</v>
      </c>
      <c r="AV25" s="42">
        <v>1.37</v>
      </c>
      <c r="AW25" s="42">
        <v>1.37</v>
      </c>
      <c r="AX25" s="46">
        <v>0</v>
      </c>
      <c r="AZ25" s="44" t="s">
        <v>2618</v>
      </c>
      <c r="BA25" s="42">
        <v>0.53</v>
      </c>
      <c r="BB25" s="42">
        <v>4.18</v>
      </c>
      <c r="BC25" s="42">
        <v>4.8899999999999997</v>
      </c>
      <c r="BD25" s="42">
        <v>1.61</v>
      </c>
      <c r="BE25" s="42">
        <v>2.21</v>
      </c>
      <c r="BF25" s="42">
        <v>1.61</v>
      </c>
      <c r="BG25" s="42">
        <v>0.73</v>
      </c>
      <c r="BH25" s="46">
        <v>1.17</v>
      </c>
      <c r="BJ25" s="44" t="s">
        <v>2618</v>
      </c>
      <c r="BK25" s="42">
        <v>12.69</v>
      </c>
      <c r="BL25" s="42">
        <v>1.37</v>
      </c>
      <c r="BM25" s="42">
        <v>1.61</v>
      </c>
      <c r="BN25" s="42">
        <v>3.56</v>
      </c>
      <c r="BO25" s="42">
        <v>1.61</v>
      </c>
      <c r="BP25" s="42">
        <v>2.21</v>
      </c>
      <c r="BQ25" s="42">
        <v>0.24</v>
      </c>
      <c r="BR25" s="46">
        <v>0.2</v>
      </c>
      <c r="BT25" s="44" t="s">
        <v>2618</v>
      </c>
      <c r="BU25" s="42">
        <v>0.85</v>
      </c>
      <c r="BV25" s="42">
        <v>0.45</v>
      </c>
      <c r="BW25" s="42">
        <v>0.15</v>
      </c>
      <c r="BX25" s="42">
        <v>4.18</v>
      </c>
      <c r="BY25" s="42">
        <v>1.89</v>
      </c>
      <c r="BZ25" s="42">
        <v>0.73</v>
      </c>
      <c r="CA25" s="42">
        <v>0.24</v>
      </c>
      <c r="CB25" s="46">
        <v>1.89</v>
      </c>
    </row>
    <row r="26" spans="2:80">
      <c r="B26" s="44" t="s">
        <v>2619</v>
      </c>
      <c r="C26" s="42">
        <v>2.99</v>
      </c>
      <c r="D26" s="42">
        <v>4.3899999999999997</v>
      </c>
      <c r="E26" s="42">
        <v>5.3</v>
      </c>
      <c r="F26" s="42">
        <v>5.69</v>
      </c>
      <c r="G26" s="42">
        <v>4.3099999999999996</v>
      </c>
      <c r="H26" s="42">
        <v>4.8600000000000003</v>
      </c>
      <c r="I26" s="42">
        <v>1.74</v>
      </c>
      <c r="J26" s="46">
        <v>2.2200000000000002</v>
      </c>
      <c r="L26" s="44" t="s">
        <v>2618</v>
      </c>
      <c r="M26" s="42">
        <v>2.84</v>
      </c>
      <c r="N26" s="42">
        <v>5.47</v>
      </c>
      <c r="O26" s="42">
        <v>5.15</v>
      </c>
      <c r="P26" s="42">
        <v>6.08</v>
      </c>
      <c r="Q26" s="42">
        <v>0</v>
      </c>
      <c r="R26" s="42">
        <v>3.76</v>
      </c>
      <c r="S26" s="42">
        <v>3.05</v>
      </c>
      <c r="T26" s="46">
        <v>3.48</v>
      </c>
      <c r="V26" s="44" t="s">
        <v>2620</v>
      </c>
      <c r="W26" s="42">
        <v>3.91</v>
      </c>
      <c r="X26" s="42">
        <v>4.26</v>
      </c>
      <c r="Y26" s="42">
        <v>4.1500000000000004</v>
      </c>
      <c r="Z26" s="42">
        <v>4.2699999999999996</v>
      </c>
      <c r="AA26" s="42">
        <v>3.59</v>
      </c>
      <c r="AB26" s="42">
        <v>3.13</v>
      </c>
      <c r="AC26" s="42">
        <v>1.69</v>
      </c>
      <c r="AD26" s="46">
        <v>1.23</v>
      </c>
      <c r="AF26" s="44" t="s">
        <v>2618</v>
      </c>
      <c r="AG26" s="42">
        <v>4.1500000000000004</v>
      </c>
      <c r="AH26" s="42">
        <v>1.27</v>
      </c>
      <c r="AI26" s="42">
        <v>3.77</v>
      </c>
      <c r="AJ26" s="42">
        <v>5.13</v>
      </c>
      <c r="AK26" s="42">
        <v>5.45</v>
      </c>
      <c r="AL26" s="42">
        <v>1.84</v>
      </c>
      <c r="AM26" s="42">
        <v>0.46</v>
      </c>
      <c r="AN26" s="46">
        <v>3.19</v>
      </c>
      <c r="AP26" s="44" t="s">
        <v>2618</v>
      </c>
      <c r="AQ26" s="42">
        <v>2.21</v>
      </c>
      <c r="AR26" s="42">
        <v>0</v>
      </c>
      <c r="AS26" s="42">
        <v>2.59</v>
      </c>
      <c r="AT26" s="42">
        <v>3.04</v>
      </c>
      <c r="AU26" s="42">
        <v>1.37</v>
      </c>
      <c r="AV26" s="42">
        <v>99.99</v>
      </c>
      <c r="AW26" s="42">
        <v>1.37</v>
      </c>
      <c r="AX26" s="46">
        <v>0</v>
      </c>
      <c r="AZ26" s="44" t="s">
        <v>2618</v>
      </c>
      <c r="BA26" s="42">
        <v>1.17</v>
      </c>
      <c r="BB26" s="42">
        <v>4.18</v>
      </c>
      <c r="BC26" s="42">
        <v>0.39</v>
      </c>
      <c r="BD26" s="42">
        <v>1.61</v>
      </c>
      <c r="BE26" s="42">
        <v>2.21</v>
      </c>
      <c r="BF26" s="42">
        <v>1.89</v>
      </c>
      <c r="BG26" s="42">
        <v>0.62</v>
      </c>
      <c r="BH26" s="46">
        <v>1.17</v>
      </c>
      <c r="BJ26" s="44" t="s">
        <v>2618</v>
      </c>
      <c r="BK26" s="42">
        <v>14.87</v>
      </c>
      <c r="BL26" s="42">
        <v>1.61</v>
      </c>
      <c r="BM26" s="42">
        <v>1.61</v>
      </c>
      <c r="BN26" s="42">
        <v>1.89</v>
      </c>
      <c r="BO26" s="42">
        <v>1.89</v>
      </c>
      <c r="BP26" s="42">
        <v>2.59</v>
      </c>
      <c r="BQ26" s="42">
        <v>0.24</v>
      </c>
      <c r="BR26" s="46">
        <v>0.2</v>
      </c>
      <c r="BT26" s="44" t="s">
        <v>2618</v>
      </c>
      <c r="BU26" s="42">
        <v>0</v>
      </c>
      <c r="BV26" s="42">
        <v>1.17</v>
      </c>
      <c r="BW26" s="42">
        <v>0.11</v>
      </c>
      <c r="BX26" s="42">
        <v>2.21</v>
      </c>
      <c r="BY26" s="42">
        <v>0.85</v>
      </c>
      <c r="BZ26" s="42">
        <v>0.73</v>
      </c>
      <c r="CA26" s="42">
        <v>0.33</v>
      </c>
      <c r="CB26" s="46">
        <v>3.04</v>
      </c>
    </row>
    <row r="27" spans="2:80">
      <c r="B27" s="44" t="s">
        <v>2619</v>
      </c>
      <c r="C27" s="42">
        <v>3</v>
      </c>
      <c r="D27" s="42">
        <v>0</v>
      </c>
      <c r="E27" s="42">
        <v>5.28</v>
      </c>
      <c r="F27" s="42">
        <v>5.64</v>
      </c>
      <c r="G27" s="42">
        <v>4.33</v>
      </c>
      <c r="H27" s="42">
        <v>4.8600000000000003</v>
      </c>
      <c r="I27" s="42">
        <v>1.69</v>
      </c>
      <c r="J27" s="46">
        <v>2.2400000000000002</v>
      </c>
      <c r="L27" s="44" t="s">
        <v>2618</v>
      </c>
      <c r="M27" s="42">
        <v>2.83</v>
      </c>
      <c r="N27" s="42">
        <v>5.5</v>
      </c>
      <c r="O27" s="42">
        <v>5.21</v>
      </c>
      <c r="P27" s="42">
        <v>6.05</v>
      </c>
      <c r="Q27" s="42">
        <v>5.12</v>
      </c>
      <c r="R27" s="42">
        <v>3.72</v>
      </c>
      <c r="S27" s="42">
        <v>99.99</v>
      </c>
      <c r="T27" s="46">
        <v>4.1500000000000004</v>
      </c>
      <c r="V27" s="44" t="s">
        <v>2620</v>
      </c>
      <c r="W27" s="42">
        <v>3.94</v>
      </c>
      <c r="X27" s="42">
        <v>4.28</v>
      </c>
      <c r="Y27" s="42">
        <v>4.13</v>
      </c>
      <c r="Z27" s="42">
        <v>4.32</v>
      </c>
      <c r="AA27" s="42">
        <v>3.57</v>
      </c>
      <c r="AB27" s="42">
        <v>3.14</v>
      </c>
      <c r="AC27" s="42">
        <v>1.64</v>
      </c>
      <c r="AD27" s="46">
        <v>1.29</v>
      </c>
      <c r="AF27" s="44" t="s">
        <v>2618</v>
      </c>
      <c r="AG27" s="42">
        <v>4.17</v>
      </c>
      <c r="AH27" s="42">
        <v>6.06</v>
      </c>
      <c r="AI27" s="42">
        <v>3.77</v>
      </c>
      <c r="AJ27" s="42">
        <v>4.88</v>
      </c>
      <c r="AK27" s="42">
        <v>5.46</v>
      </c>
      <c r="AL27" s="42">
        <v>1.86</v>
      </c>
      <c r="AM27" s="42">
        <v>3.75</v>
      </c>
      <c r="AN27" s="46">
        <v>3.08</v>
      </c>
      <c r="AP27" s="44" t="s">
        <v>2618</v>
      </c>
      <c r="AQ27" s="42">
        <v>2.21</v>
      </c>
      <c r="AR27" s="42">
        <v>1.17</v>
      </c>
      <c r="AS27" s="42">
        <v>2.59</v>
      </c>
      <c r="AT27" s="42">
        <v>3.56</v>
      </c>
      <c r="AU27" s="42">
        <v>1.37</v>
      </c>
      <c r="AV27" s="42">
        <v>5.74</v>
      </c>
      <c r="AW27" s="42">
        <v>0.39</v>
      </c>
      <c r="AX27" s="46">
        <v>0</v>
      </c>
      <c r="AZ27" s="44" t="s">
        <v>2618</v>
      </c>
      <c r="BA27" s="42">
        <v>0.53</v>
      </c>
      <c r="BB27" s="42">
        <v>4.18</v>
      </c>
      <c r="BC27" s="42">
        <v>0.39</v>
      </c>
      <c r="BD27" s="42">
        <v>1.61</v>
      </c>
      <c r="BE27" s="42">
        <v>2.59</v>
      </c>
      <c r="BF27" s="42">
        <v>1.89</v>
      </c>
      <c r="BG27" s="42">
        <v>0.73</v>
      </c>
      <c r="BH27" s="46">
        <v>1.37</v>
      </c>
      <c r="BJ27" s="44" t="s">
        <v>2618</v>
      </c>
      <c r="BK27" s="42">
        <v>14.87</v>
      </c>
      <c r="BL27" s="42">
        <v>1.61</v>
      </c>
      <c r="BM27" s="42">
        <v>0.2</v>
      </c>
      <c r="BN27" s="42">
        <v>1.89</v>
      </c>
      <c r="BO27" s="42">
        <v>1.89</v>
      </c>
      <c r="BP27" s="42">
        <v>2.59</v>
      </c>
      <c r="BQ27" s="42">
        <v>0.24</v>
      </c>
      <c r="BR27" s="46">
        <v>0.2</v>
      </c>
      <c r="BT27" s="44" t="s">
        <v>2618</v>
      </c>
      <c r="BU27" s="42">
        <v>0</v>
      </c>
      <c r="BV27" s="42">
        <v>1.37</v>
      </c>
      <c r="BW27" s="42">
        <v>0.15</v>
      </c>
      <c r="BX27" s="42">
        <v>2.21</v>
      </c>
      <c r="BY27" s="42">
        <v>1.61</v>
      </c>
      <c r="BZ27" s="42">
        <v>0.53</v>
      </c>
      <c r="CA27" s="42">
        <v>0.39</v>
      </c>
      <c r="CB27" s="46">
        <v>3.04</v>
      </c>
    </row>
    <row r="28" spans="2:80">
      <c r="B28" s="44" t="s">
        <v>2619</v>
      </c>
      <c r="C28" s="42">
        <v>2.98</v>
      </c>
      <c r="D28" s="42">
        <v>4.38</v>
      </c>
      <c r="E28" s="42">
        <v>5.3</v>
      </c>
      <c r="F28" s="42">
        <v>5.62</v>
      </c>
      <c r="G28" s="42">
        <v>4.33</v>
      </c>
      <c r="H28" s="42">
        <v>4.84</v>
      </c>
      <c r="I28" s="42">
        <v>1.76</v>
      </c>
      <c r="J28" s="46">
        <v>2.21</v>
      </c>
      <c r="L28" s="44" t="s">
        <v>2618</v>
      </c>
      <c r="M28" s="42">
        <v>2.84</v>
      </c>
      <c r="N28" s="42">
        <v>5.49</v>
      </c>
      <c r="O28" s="42">
        <v>5.17</v>
      </c>
      <c r="P28" s="42">
        <v>3.96</v>
      </c>
      <c r="Q28" s="42">
        <v>0</v>
      </c>
      <c r="R28" s="42">
        <v>3.75</v>
      </c>
      <c r="S28" s="42">
        <v>3.08</v>
      </c>
      <c r="T28" s="46">
        <v>3.47</v>
      </c>
      <c r="V28" s="44" t="s">
        <v>2620</v>
      </c>
      <c r="W28" s="42">
        <v>3.92</v>
      </c>
      <c r="X28" s="42">
        <v>4.2699999999999996</v>
      </c>
      <c r="Y28" s="42">
        <v>4.2</v>
      </c>
      <c r="Z28" s="42">
        <v>4.34</v>
      </c>
      <c r="AA28" s="42">
        <v>3.59</v>
      </c>
      <c r="AB28" s="42">
        <v>3.13</v>
      </c>
      <c r="AC28" s="42">
        <v>1.28</v>
      </c>
      <c r="AD28" s="46">
        <v>1.34</v>
      </c>
      <c r="AF28" s="44" t="s">
        <v>2618</v>
      </c>
      <c r="AG28" s="42">
        <v>4.17</v>
      </c>
      <c r="AH28" s="42">
        <v>6.08</v>
      </c>
      <c r="AI28" s="42">
        <v>3.78</v>
      </c>
      <c r="AJ28" s="42">
        <v>5.15</v>
      </c>
      <c r="AK28" s="42">
        <v>5.44</v>
      </c>
      <c r="AL28" s="42">
        <v>1.84</v>
      </c>
      <c r="AM28" s="42">
        <v>3.77</v>
      </c>
      <c r="AN28" s="46">
        <v>3.1</v>
      </c>
      <c r="AP28" s="44" t="s">
        <v>2618</v>
      </c>
      <c r="AQ28" s="42">
        <v>0</v>
      </c>
      <c r="AR28" s="42">
        <v>1.17</v>
      </c>
      <c r="AS28" s="42">
        <v>9.24</v>
      </c>
      <c r="AT28" s="42">
        <v>3.56</v>
      </c>
      <c r="AU28" s="42">
        <v>1.61</v>
      </c>
      <c r="AV28" s="42">
        <v>1.17</v>
      </c>
      <c r="AW28" s="42">
        <v>1.37</v>
      </c>
      <c r="AX28" s="46">
        <v>0</v>
      </c>
      <c r="AZ28" s="44" t="s">
        <v>2618</v>
      </c>
      <c r="BA28" s="42">
        <v>0.53</v>
      </c>
      <c r="BB28" s="42">
        <v>0.62</v>
      </c>
      <c r="BC28" s="42">
        <v>0.39</v>
      </c>
      <c r="BD28" s="42">
        <v>1.61</v>
      </c>
      <c r="BE28" s="42">
        <v>2.59</v>
      </c>
      <c r="BF28" s="42">
        <v>1.89</v>
      </c>
      <c r="BG28" s="42">
        <v>0.73</v>
      </c>
      <c r="BH28" s="46">
        <v>1.37</v>
      </c>
      <c r="BJ28" s="44" t="s">
        <v>2618</v>
      </c>
      <c r="BK28" s="42">
        <v>14.87</v>
      </c>
      <c r="BL28" s="42">
        <v>1.17</v>
      </c>
      <c r="BM28" s="42">
        <v>1.61</v>
      </c>
      <c r="BN28" s="42">
        <v>1.89</v>
      </c>
      <c r="BO28" s="42">
        <v>1.61</v>
      </c>
      <c r="BP28" s="42">
        <v>3.56</v>
      </c>
      <c r="BQ28" s="42">
        <v>0.2</v>
      </c>
      <c r="BR28" s="46">
        <v>0.2</v>
      </c>
      <c r="BT28" s="44" t="s">
        <v>2618</v>
      </c>
      <c r="BU28" s="42">
        <v>0.85</v>
      </c>
      <c r="BV28" s="42">
        <v>0.45</v>
      </c>
      <c r="BW28" s="42">
        <v>0.15</v>
      </c>
      <c r="BX28" s="42">
        <v>0</v>
      </c>
      <c r="BY28" s="42">
        <v>1.89</v>
      </c>
      <c r="BZ28" s="42">
        <v>0.62</v>
      </c>
      <c r="CA28" s="42">
        <v>0.33</v>
      </c>
      <c r="CB28" s="46">
        <v>2.21</v>
      </c>
    </row>
    <row r="29" spans="2:80">
      <c r="B29" s="44" t="s">
        <v>2621</v>
      </c>
      <c r="C29" s="42">
        <v>2.99</v>
      </c>
      <c r="D29" s="42">
        <v>4.37</v>
      </c>
      <c r="E29" s="42">
        <v>5.36</v>
      </c>
      <c r="F29" s="42">
        <v>5.64</v>
      </c>
      <c r="G29" s="42">
        <v>4.3</v>
      </c>
      <c r="H29" s="42">
        <v>4.79</v>
      </c>
      <c r="I29" s="42">
        <v>1.74</v>
      </c>
      <c r="J29" s="46">
        <v>2.2400000000000002</v>
      </c>
      <c r="L29" s="44" t="s">
        <v>2622</v>
      </c>
      <c r="M29" s="42">
        <v>2.86</v>
      </c>
      <c r="N29" s="42">
        <v>5.46</v>
      </c>
      <c r="O29" s="42">
        <v>1.73</v>
      </c>
      <c r="P29" s="42">
        <v>6.08</v>
      </c>
      <c r="Q29" s="42">
        <v>5.13</v>
      </c>
      <c r="R29" s="42">
        <v>3.74</v>
      </c>
      <c r="S29" s="42">
        <v>3.04</v>
      </c>
      <c r="T29" s="46">
        <v>3.42</v>
      </c>
      <c r="V29" s="44" t="s">
        <v>2621</v>
      </c>
      <c r="W29" s="42">
        <v>3.91</v>
      </c>
      <c r="X29" s="42">
        <v>4.26</v>
      </c>
      <c r="Y29" s="42">
        <v>4.17</v>
      </c>
      <c r="Z29" s="42">
        <v>4.29</v>
      </c>
      <c r="AA29" s="42">
        <v>3.58</v>
      </c>
      <c r="AB29" s="42">
        <v>3.14</v>
      </c>
      <c r="AC29" s="42">
        <v>1.59</v>
      </c>
      <c r="AD29" s="46">
        <v>1.25</v>
      </c>
      <c r="AF29" s="44" t="s">
        <v>2622</v>
      </c>
      <c r="AG29" s="42">
        <v>4.16</v>
      </c>
      <c r="AH29" s="42">
        <v>6.1</v>
      </c>
      <c r="AI29" s="42">
        <v>3.77</v>
      </c>
      <c r="AJ29" s="42">
        <v>5.14</v>
      </c>
      <c r="AK29" s="42">
        <v>5.47</v>
      </c>
      <c r="AL29" s="42">
        <v>1.84</v>
      </c>
      <c r="AM29" s="42">
        <v>2.11</v>
      </c>
      <c r="AN29" s="46">
        <v>0</v>
      </c>
      <c r="AP29" s="44" t="s">
        <v>2622</v>
      </c>
      <c r="AQ29" s="42">
        <v>0</v>
      </c>
      <c r="AR29" s="42">
        <v>0</v>
      </c>
      <c r="AS29" s="42">
        <v>2.59</v>
      </c>
      <c r="AT29" s="42">
        <v>17.43</v>
      </c>
      <c r="AU29" s="42">
        <v>1.37</v>
      </c>
      <c r="AV29" s="42">
        <v>1.17</v>
      </c>
      <c r="AW29" s="42">
        <v>1.61</v>
      </c>
      <c r="AX29" s="46">
        <v>2.59</v>
      </c>
      <c r="AZ29" s="44" t="s">
        <v>2622</v>
      </c>
      <c r="BA29" s="42">
        <v>0.53</v>
      </c>
      <c r="BB29" s="42">
        <v>4.18</v>
      </c>
      <c r="BC29" s="42">
        <v>0.39</v>
      </c>
      <c r="BD29" s="42">
        <v>1.61</v>
      </c>
      <c r="BE29" s="42">
        <v>2.21</v>
      </c>
      <c r="BF29" s="42">
        <v>1.89</v>
      </c>
      <c r="BG29" s="42">
        <v>0.73</v>
      </c>
      <c r="BH29" s="46">
        <v>1.37</v>
      </c>
      <c r="BJ29" s="44" t="s">
        <v>2622</v>
      </c>
      <c r="BK29" s="42">
        <v>14.87</v>
      </c>
      <c r="BL29" s="42">
        <v>1.37</v>
      </c>
      <c r="BM29" s="42">
        <v>1.61</v>
      </c>
      <c r="BN29" s="42">
        <v>3.56</v>
      </c>
      <c r="BO29" s="42">
        <v>1.37</v>
      </c>
      <c r="BP29" s="42">
        <v>3.56</v>
      </c>
      <c r="BQ29" s="42">
        <v>0.24</v>
      </c>
      <c r="BR29" s="46">
        <v>0.2</v>
      </c>
      <c r="BT29" s="44" t="s">
        <v>2622</v>
      </c>
      <c r="BU29" s="42">
        <v>0.73</v>
      </c>
      <c r="BV29" s="42">
        <v>0.45</v>
      </c>
      <c r="BW29" s="42">
        <v>0.15</v>
      </c>
      <c r="BX29" s="42">
        <v>10.83</v>
      </c>
      <c r="BY29" s="42">
        <v>0.85</v>
      </c>
      <c r="BZ29" s="42">
        <v>0.73</v>
      </c>
      <c r="CA29" s="42">
        <v>0.45</v>
      </c>
      <c r="CB29" s="46">
        <v>2.21</v>
      </c>
    </row>
    <row r="30" spans="2:80">
      <c r="B30" s="44" t="s">
        <v>2621</v>
      </c>
      <c r="C30" s="42">
        <v>2.99</v>
      </c>
      <c r="D30" s="42">
        <v>4.38</v>
      </c>
      <c r="E30" s="42">
        <v>5.28</v>
      </c>
      <c r="F30" s="42">
        <v>5.63</v>
      </c>
      <c r="G30" s="42">
        <v>4.3099999999999996</v>
      </c>
      <c r="H30" s="42">
        <v>0.15</v>
      </c>
      <c r="I30" s="42">
        <v>1.76</v>
      </c>
      <c r="J30" s="46">
        <v>3.24</v>
      </c>
      <c r="L30" s="44" t="s">
        <v>2622</v>
      </c>
      <c r="M30" s="42">
        <v>2.86</v>
      </c>
      <c r="N30" s="42">
        <v>5.45</v>
      </c>
      <c r="O30" s="42">
        <v>5.17</v>
      </c>
      <c r="P30" s="42">
        <v>6.04</v>
      </c>
      <c r="Q30" s="42">
        <v>5.13</v>
      </c>
      <c r="R30" s="42">
        <v>3.72</v>
      </c>
      <c r="S30" s="42">
        <v>3.05</v>
      </c>
      <c r="T30" s="46">
        <v>3.47</v>
      </c>
      <c r="V30" s="44" t="s">
        <v>2621</v>
      </c>
      <c r="W30" s="42">
        <v>3.93</v>
      </c>
      <c r="X30" s="42">
        <v>4.28</v>
      </c>
      <c r="Y30" s="42">
        <v>4.1500000000000004</v>
      </c>
      <c r="Z30" s="42">
        <v>4.3</v>
      </c>
      <c r="AA30" s="42">
        <v>3.6</v>
      </c>
      <c r="AB30" s="42">
        <v>3.14</v>
      </c>
      <c r="AC30" s="42">
        <v>1.63</v>
      </c>
      <c r="AD30" s="46">
        <v>1.25</v>
      </c>
      <c r="AF30" s="44" t="s">
        <v>2622</v>
      </c>
      <c r="AG30" s="42">
        <v>4.22</v>
      </c>
      <c r="AH30" s="42">
        <v>6.07</v>
      </c>
      <c r="AI30" s="42">
        <v>3.78</v>
      </c>
      <c r="AJ30" s="42">
        <v>1.91</v>
      </c>
      <c r="AK30" s="42">
        <v>4.8099999999999996</v>
      </c>
      <c r="AL30" s="42">
        <v>1.85</v>
      </c>
      <c r="AM30" s="42">
        <v>3.74</v>
      </c>
      <c r="AN30" s="46">
        <v>3.11</v>
      </c>
      <c r="AP30" s="44" t="s">
        <v>2622</v>
      </c>
      <c r="AQ30" s="42">
        <v>2.21</v>
      </c>
      <c r="AR30" s="42">
        <v>1.17</v>
      </c>
      <c r="AS30" s="42">
        <v>2.59</v>
      </c>
      <c r="AT30" s="42">
        <v>3.56</v>
      </c>
      <c r="AU30" s="42">
        <v>1.61</v>
      </c>
      <c r="AV30" s="42">
        <v>1.17</v>
      </c>
      <c r="AW30" s="42">
        <v>1.17</v>
      </c>
      <c r="AX30" s="46">
        <v>0</v>
      </c>
      <c r="AZ30" s="44" t="s">
        <v>2622</v>
      </c>
      <c r="BA30" s="42">
        <v>0.53</v>
      </c>
      <c r="BB30" s="42">
        <v>4.18</v>
      </c>
      <c r="BC30" s="42">
        <v>0.39</v>
      </c>
      <c r="BD30" s="42">
        <v>1.61</v>
      </c>
      <c r="BE30" s="42">
        <v>2.21</v>
      </c>
      <c r="BF30" s="42">
        <v>7.88</v>
      </c>
      <c r="BG30" s="42">
        <v>0.73</v>
      </c>
      <c r="BH30" s="46">
        <v>0</v>
      </c>
      <c r="BJ30" s="44" t="s">
        <v>2622</v>
      </c>
      <c r="BK30" s="42">
        <v>9.24</v>
      </c>
      <c r="BL30" s="42">
        <v>0.85</v>
      </c>
      <c r="BM30" s="42">
        <v>0.17</v>
      </c>
      <c r="BN30" s="42">
        <v>1.89</v>
      </c>
      <c r="BO30" s="42">
        <v>1.61</v>
      </c>
      <c r="BP30" s="42">
        <v>2.21</v>
      </c>
      <c r="BQ30" s="42">
        <v>0.17</v>
      </c>
      <c r="BR30" s="46">
        <v>0.53</v>
      </c>
      <c r="BT30" s="44" t="s">
        <v>2622</v>
      </c>
      <c r="BU30" s="42">
        <v>0.85</v>
      </c>
      <c r="BV30" s="42">
        <v>0.45</v>
      </c>
      <c r="BW30" s="42">
        <v>0.33</v>
      </c>
      <c r="BX30" s="42">
        <v>1.17</v>
      </c>
      <c r="BY30" s="42">
        <v>2.21</v>
      </c>
      <c r="BZ30" s="42">
        <v>0.73</v>
      </c>
      <c r="CA30" s="42">
        <v>0.33</v>
      </c>
      <c r="CB30" s="46">
        <v>2.21</v>
      </c>
    </row>
    <row r="31" spans="2:80">
      <c r="B31" s="44" t="s">
        <v>2621</v>
      </c>
      <c r="C31" s="42">
        <v>3.01</v>
      </c>
      <c r="D31" s="42">
        <v>4.4000000000000004</v>
      </c>
      <c r="E31" s="42">
        <v>5.27</v>
      </c>
      <c r="F31" s="42">
        <v>5.64</v>
      </c>
      <c r="G31" s="42">
        <v>4.3099999999999996</v>
      </c>
      <c r="H31" s="42">
        <v>4.84</v>
      </c>
      <c r="I31" s="42">
        <v>1.72</v>
      </c>
      <c r="J31" s="46">
        <v>2.29</v>
      </c>
      <c r="L31" s="44" t="s">
        <v>2622</v>
      </c>
      <c r="M31" s="42">
        <v>2.86</v>
      </c>
      <c r="N31" s="42">
        <v>5.42</v>
      </c>
      <c r="O31" s="42">
        <v>5.15</v>
      </c>
      <c r="P31" s="42">
        <v>6.04</v>
      </c>
      <c r="Q31" s="42">
        <v>0</v>
      </c>
      <c r="R31" s="42">
        <v>3.73</v>
      </c>
      <c r="S31" s="42">
        <v>3.04</v>
      </c>
      <c r="T31" s="46">
        <v>3.41</v>
      </c>
      <c r="V31" s="44" t="s">
        <v>2621</v>
      </c>
      <c r="W31" s="42">
        <v>3.92</v>
      </c>
      <c r="X31" s="42">
        <v>4.26</v>
      </c>
      <c r="Y31" s="42">
        <v>4.1399999999999997</v>
      </c>
      <c r="Z31" s="42">
        <v>4.37</v>
      </c>
      <c r="AA31" s="42">
        <v>3.43</v>
      </c>
      <c r="AB31" s="42">
        <v>3.16</v>
      </c>
      <c r="AC31" s="42">
        <v>1.63</v>
      </c>
      <c r="AD31" s="46">
        <v>1.2</v>
      </c>
      <c r="AF31" s="44" t="s">
        <v>2622</v>
      </c>
      <c r="AG31" s="42">
        <v>4.17</v>
      </c>
      <c r="AH31" s="42">
        <v>1.98</v>
      </c>
      <c r="AI31" s="42">
        <v>3.78</v>
      </c>
      <c r="AJ31" s="42">
        <v>5.19</v>
      </c>
      <c r="AK31" s="42">
        <v>5.5</v>
      </c>
      <c r="AL31" s="42">
        <v>1.84</v>
      </c>
      <c r="AM31" s="42">
        <v>3.76</v>
      </c>
      <c r="AN31" s="46">
        <v>3.13</v>
      </c>
      <c r="AP31" s="44" t="s">
        <v>2622</v>
      </c>
      <c r="AQ31" s="42">
        <v>2.21</v>
      </c>
      <c r="AR31" s="42">
        <v>1.17</v>
      </c>
      <c r="AS31" s="42">
        <v>2.59</v>
      </c>
      <c r="AT31" s="42">
        <v>3.56</v>
      </c>
      <c r="AU31" s="42">
        <v>1.37</v>
      </c>
      <c r="AV31" s="42">
        <v>1.37</v>
      </c>
      <c r="AW31" s="42">
        <v>1.17</v>
      </c>
      <c r="AX31" s="46">
        <v>0</v>
      </c>
      <c r="AZ31" s="44" t="s">
        <v>2622</v>
      </c>
      <c r="BA31" s="42">
        <v>0.62</v>
      </c>
      <c r="BB31" s="42">
        <v>4.18</v>
      </c>
      <c r="BC31" s="42">
        <v>0.39</v>
      </c>
      <c r="BD31" s="42">
        <v>1.61</v>
      </c>
      <c r="BE31" s="42">
        <v>2.21</v>
      </c>
      <c r="BF31" s="42">
        <v>1.89</v>
      </c>
      <c r="BG31" s="42">
        <v>0.62</v>
      </c>
      <c r="BH31" s="46">
        <v>1.17</v>
      </c>
      <c r="BJ31" s="44" t="s">
        <v>2622</v>
      </c>
      <c r="BK31" s="42">
        <v>12.69</v>
      </c>
      <c r="BL31" s="42">
        <v>1.61</v>
      </c>
      <c r="BM31" s="42">
        <v>1.61</v>
      </c>
      <c r="BN31" s="42">
        <v>3.04</v>
      </c>
      <c r="BO31" s="42">
        <v>1.89</v>
      </c>
      <c r="BP31" s="42">
        <v>2.59</v>
      </c>
      <c r="BQ31" s="42">
        <v>0.24</v>
      </c>
      <c r="BR31" s="46">
        <v>0.62</v>
      </c>
      <c r="BT31" s="44" t="s">
        <v>2622</v>
      </c>
      <c r="BU31" s="42">
        <v>0.73</v>
      </c>
      <c r="BV31" s="42">
        <v>0.45</v>
      </c>
      <c r="BW31" s="42">
        <v>0.15</v>
      </c>
      <c r="BX31" s="42">
        <v>0</v>
      </c>
      <c r="BY31" s="42">
        <v>0</v>
      </c>
      <c r="BZ31" s="42">
        <v>0.73</v>
      </c>
      <c r="CA31" s="42">
        <v>0.33</v>
      </c>
      <c r="CB31" s="46">
        <v>2.21</v>
      </c>
    </row>
    <row r="32" spans="2:80">
      <c r="B32" s="44" t="s">
        <v>2621</v>
      </c>
      <c r="C32" s="42">
        <v>3.02</v>
      </c>
      <c r="D32" s="42">
        <v>4.3899999999999997</v>
      </c>
      <c r="E32" s="42">
        <v>5.31</v>
      </c>
      <c r="F32" s="42">
        <v>1.54</v>
      </c>
      <c r="G32" s="42">
        <v>4.34</v>
      </c>
      <c r="H32" s="42">
        <v>4.83</v>
      </c>
      <c r="I32" s="42">
        <v>1.77</v>
      </c>
      <c r="J32" s="46">
        <v>2.25</v>
      </c>
      <c r="L32" s="44" t="s">
        <v>2622</v>
      </c>
      <c r="M32" s="42">
        <v>2.77</v>
      </c>
      <c r="N32" s="42">
        <v>0.93</v>
      </c>
      <c r="O32" s="42">
        <v>5.18</v>
      </c>
      <c r="P32" s="42">
        <v>0.03</v>
      </c>
      <c r="Q32" s="42">
        <v>0</v>
      </c>
      <c r="R32" s="42">
        <v>2.4300000000000002</v>
      </c>
      <c r="S32" s="42">
        <v>3.06</v>
      </c>
      <c r="T32" s="46">
        <v>4.1500000000000004</v>
      </c>
      <c r="V32" s="44" t="s">
        <v>2621</v>
      </c>
      <c r="W32" s="42">
        <v>3.92</v>
      </c>
      <c r="X32" s="42">
        <v>4.2699999999999996</v>
      </c>
      <c r="Y32" s="42">
        <v>4.24</v>
      </c>
      <c r="Z32" s="42">
        <v>4.32</v>
      </c>
      <c r="AA32" s="42">
        <v>1.94</v>
      </c>
      <c r="AB32" s="42">
        <v>3.14</v>
      </c>
      <c r="AC32" s="42">
        <v>1.63</v>
      </c>
      <c r="AD32" s="46">
        <v>1.25</v>
      </c>
      <c r="AF32" s="44" t="s">
        <v>2622</v>
      </c>
      <c r="AG32" s="42">
        <v>4.13</v>
      </c>
      <c r="AH32" s="42">
        <v>5.99</v>
      </c>
      <c r="AI32" s="42">
        <v>3.83</v>
      </c>
      <c r="AJ32" s="42">
        <v>5.22</v>
      </c>
      <c r="AK32" s="42">
        <v>5.45</v>
      </c>
      <c r="AL32" s="42">
        <v>1.83</v>
      </c>
      <c r="AM32" s="42">
        <v>3.75</v>
      </c>
      <c r="AN32" s="46">
        <v>3.23</v>
      </c>
      <c r="AP32" s="44" t="s">
        <v>2622</v>
      </c>
      <c r="AQ32" s="42">
        <v>2.21</v>
      </c>
      <c r="AR32" s="42">
        <v>0</v>
      </c>
      <c r="AS32" s="42">
        <v>2.59</v>
      </c>
      <c r="AT32" s="42">
        <v>3.56</v>
      </c>
      <c r="AU32" s="42">
        <v>1.37</v>
      </c>
      <c r="AV32" s="42">
        <v>99.99</v>
      </c>
      <c r="AW32" s="42">
        <v>1.17</v>
      </c>
      <c r="AX32" s="46">
        <v>0</v>
      </c>
      <c r="AZ32" s="44" t="s">
        <v>2622</v>
      </c>
      <c r="BA32" s="42">
        <v>0.62</v>
      </c>
      <c r="BB32" s="42">
        <v>4.18</v>
      </c>
      <c r="BC32" s="42">
        <v>0.39</v>
      </c>
      <c r="BD32" s="42">
        <v>1.37</v>
      </c>
      <c r="BE32" s="42">
        <v>2.59</v>
      </c>
      <c r="BF32" s="42">
        <v>1.89</v>
      </c>
      <c r="BG32" s="42">
        <v>0.73</v>
      </c>
      <c r="BH32" s="46">
        <v>1.17</v>
      </c>
      <c r="BJ32" s="44" t="s">
        <v>2622</v>
      </c>
      <c r="BK32" s="42">
        <v>10.83</v>
      </c>
      <c r="BL32" s="42">
        <v>0</v>
      </c>
      <c r="BM32" s="42">
        <v>1.61</v>
      </c>
      <c r="BN32" s="42">
        <v>3.56</v>
      </c>
      <c r="BO32" s="42">
        <v>1.89</v>
      </c>
      <c r="BP32" s="42">
        <v>2.59</v>
      </c>
      <c r="BQ32" s="42">
        <v>0.24</v>
      </c>
      <c r="BR32" s="46">
        <v>0.2</v>
      </c>
      <c r="BT32" s="44" t="s">
        <v>2622</v>
      </c>
      <c r="BU32" s="42">
        <v>0.85</v>
      </c>
      <c r="BV32" s="42">
        <v>0.45</v>
      </c>
      <c r="BW32" s="42">
        <v>0.15</v>
      </c>
      <c r="BX32" s="42">
        <v>2.21</v>
      </c>
      <c r="BY32" s="42">
        <v>1.89</v>
      </c>
      <c r="BZ32" s="42">
        <v>0.73</v>
      </c>
      <c r="CA32" s="42">
        <v>0.33</v>
      </c>
      <c r="CB32" s="46">
        <v>2.21</v>
      </c>
    </row>
    <row r="33" spans="2:80">
      <c r="B33" s="44" t="s">
        <v>2621</v>
      </c>
      <c r="C33" s="42">
        <v>3.01</v>
      </c>
      <c r="D33" s="42">
        <v>4.38</v>
      </c>
      <c r="E33" s="42">
        <v>5.35</v>
      </c>
      <c r="F33" s="42">
        <v>5.62</v>
      </c>
      <c r="G33" s="42">
        <v>4.34</v>
      </c>
      <c r="H33" s="42">
        <v>4.88</v>
      </c>
      <c r="I33" s="42">
        <v>1.76</v>
      </c>
      <c r="J33" s="46">
        <v>3.27</v>
      </c>
      <c r="L33" s="44" t="s">
        <v>2622</v>
      </c>
      <c r="M33" s="42">
        <v>2.85</v>
      </c>
      <c r="N33" s="42">
        <v>4.01</v>
      </c>
      <c r="O33" s="42">
        <v>5.17</v>
      </c>
      <c r="P33" s="42">
        <v>0.78</v>
      </c>
      <c r="Q33" s="42">
        <v>5.15</v>
      </c>
      <c r="R33" s="42">
        <v>3.73</v>
      </c>
      <c r="S33" s="42">
        <v>3.03</v>
      </c>
      <c r="T33" s="46">
        <v>2.5099999999999998</v>
      </c>
      <c r="V33" s="44" t="s">
        <v>2621</v>
      </c>
      <c r="W33" s="42">
        <v>3.92</v>
      </c>
      <c r="X33" s="42">
        <v>4.2699999999999996</v>
      </c>
      <c r="Y33" s="42">
        <v>4.17</v>
      </c>
      <c r="Z33" s="42">
        <v>4.29</v>
      </c>
      <c r="AA33" s="42">
        <v>3.61</v>
      </c>
      <c r="AB33" s="42">
        <v>3.12</v>
      </c>
      <c r="AC33" s="42">
        <v>1.63</v>
      </c>
      <c r="AD33" s="46">
        <v>1.25</v>
      </c>
      <c r="AF33" s="44" t="s">
        <v>2622</v>
      </c>
      <c r="AG33" s="42">
        <v>4.1500000000000004</v>
      </c>
      <c r="AH33" s="42">
        <v>6.1</v>
      </c>
      <c r="AI33" s="42">
        <v>2.61</v>
      </c>
      <c r="AJ33" s="42">
        <v>5.18</v>
      </c>
      <c r="AK33" s="42">
        <v>0.08</v>
      </c>
      <c r="AL33" s="42">
        <v>1.83</v>
      </c>
      <c r="AM33" s="42">
        <v>3.75</v>
      </c>
      <c r="AN33" s="46">
        <v>0</v>
      </c>
      <c r="AP33" s="44" t="s">
        <v>2622</v>
      </c>
      <c r="AQ33" s="42">
        <v>0</v>
      </c>
      <c r="AR33" s="42">
        <v>3.56</v>
      </c>
      <c r="AS33" s="42">
        <v>0</v>
      </c>
      <c r="AT33" s="42">
        <v>14.87</v>
      </c>
      <c r="AU33" s="42">
        <v>1.61</v>
      </c>
      <c r="AV33" s="42">
        <v>99.99</v>
      </c>
      <c r="AW33" s="42">
        <v>0.53</v>
      </c>
      <c r="AX33" s="46">
        <v>3.04</v>
      </c>
      <c r="AZ33" s="44" t="s">
        <v>2622</v>
      </c>
      <c r="BA33" s="42">
        <v>1.17</v>
      </c>
      <c r="BB33" s="42">
        <v>4.18</v>
      </c>
      <c r="BC33" s="42">
        <v>0.39</v>
      </c>
      <c r="BD33" s="42">
        <v>1.61</v>
      </c>
      <c r="BE33" s="42">
        <v>2.21</v>
      </c>
      <c r="BF33" s="42">
        <v>1.89</v>
      </c>
      <c r="BG33" s="42">
        <v>0.73</v>
      </c>
      <c r="BH33" s="46">
        <v>1.17</v>
      </c>
      <c r="BJ33" s="44" t="s">
        <v>2622</v>
      </c>
      <c r="BK33" s="42">
        <v>14.87</v>
      </c>
      <c r="BL33" s="42">
        <v>1.61</v>
      </c>
      <c r="BM33" s="42">
        <v>1.89</v>
      </c>
      <c r="BN33" s="42">
        <v>3.56</v>
      </c>
      <c r="BO33" s="42">
        <v>1.61</v>
      </c>
      <c r="BP33" s="42">
        <v>2.59</v>
      </c>
      <c r="BQ33" s="42">
        <v>0.24</v>
      </c>
      <c r="BR33" s="46">
        <v>0.24</v>
      </c>
      <c r="BT33" s="44" t="s">
        <v>2622</v>
      </c>
      <c r="BU33" s="42">
        <v>0.73</v>
      </c>
      <c r="BV33" s="42">
        <v>0.45</v>
      </c>
      <c r="BW33" s="42">
        <v>0.11</v>
      </c>
      <c r="BX33" s="42">
        <v>1.17</v>
      </c>
      <c r="BY33" s="42">
        <v>1.89</v>
      </c>
      <c r="BZ33" s="42">
        <v>0.73</v>
      </c>
      <c r="CA33" s="42">
        <v>0.28000000000000003</v>
      </c>
      <c r="CB33" s="46">
        <v>3.04</v>
      </c>
    </row>
    <row r="34" spans="2:80">
      <c r="B34" s="44" t="s">
        <v>2623</v>
      </c>
      <c r="C34" s="42">
        <v>3</v>
      </c>
      <c r="D34" s="42">
        <v>4.38</v>
      </c>
      <c r="E34" s="42">
        <v>5.29</v>
      </c>
      <c r="F34" s="42">
        <v>4.1900000000000004</v>
      </c>
      <c r="G34" s="42">
        <v>4.3</v>
      </c>
      <c r="H34" s="42">
        <v>4.24</v>
      </c>
      <c r="I34" s="42">
        <v>99.99</v>
      </c>
      <c r="J34" s="46">
        <v>0.52</v>
      </c>
      <c r="L34" s="44" t="s">
        <v>2619</v>
      </c>
      <c r="M34" s="42">
        <v>2.86</v>
      </c>
      <c r="N34" s="42">
        <v>5.47</v>
      </c>
      <c r="O34" s="42">
        <v>5.14</v>
      </c>
      <c r="P34" s="42">
        <v>6.08</v>
      </c>
      <c r="Q34" s="42">
        <v>0</v>
      </c>
      <c r="R34" s="42">
        <v>3.71</v>
      </c>
      <c r="S34" s="42">
        <v>3.08</v>
      </c>
      <c r="T34" s="46">
        <v>3.47</v>
      </c>
      <c r="V34" s="44" t="s">
        <v>2623</v>
      </c>
      <c r="W34" s="42">
        <v>3.9</v>
      </c>
      <c r="X34" s="42">
        <v>4.25</v>
      </c>
      <c r="Y34" s="42">
        <v>4.16</v>
      </c>
      <c r="Z34" s="42">
        <v>4.29</v>
      </c>
      <c r="AA34" s="42">
        <v>3.61</v>
      </c>
      <c r="AB34" s="42">
        <v>3.15</v>
      </c>
      <c r="AC34" s="42">
        <v>1.67</v>
      </c>
      <c r="AD34" s="46">
        <v>1.27</v>
      </c>
      <c r="AF34" s="44" t="s">
        <v>2621</v>
      </c>
      <c r="AG34" s="42">
        <v>4.1399999999999997</v>
      </c>
      <c r="AH34" s="42">
        <v>6.07</v>
      </c>
      <c r="AI34" s="42">
        <v>3.76</v>
      </c>
      <c r="AJ34" s="42">
        <v>5.32</v>
      </c>
      <c r="AK34" s="42">
        <v>5.48</v>
      </c>
      <c r="AL34" s="42">
        <v>1.84</v>
      </c>
      <c r="AM34" s="42">
        <v>3.75</v>
      </c>
      <c r="AN34" s="46">
        <v>3.13</v>
      </c>
      <c r="AP34" s="44" t="s">
        <v>2619</v>
      </c>
      <c r="AQ34" s="42">
        <v>2.21</v>
      </c>
      <c r="AR34" s="42">
        <v>0</v>
      </c>
      <c r="AS34" s="42">
        <v>0</v>
      </c>
      <c r="AT34" s="42">
        <v>2.59</v>
      </c>
      <c r="AU34" s="42">
        <v>1.37</v>
      </c>
      <c r="AV34" s="42">
        <v>85.32</v>
      </c>
      <c r="AW34" s="42">
        <v>1.37</v>
      </c>
      <c r="AX34" s="46">
        <v>1.17</v>
      </c>
      <c r="AZ34" s="44" t="s">
        <v>2619</v>
      </c>
      <c r="BA34" s="42">
        <v>0.53</v>
      </c>
      <c r="BB34" s="42">
        <v>4.18</v>
      </c>
      <c r="BC34" s="42">
        <v>0.39</v>
      </c>
      <c r="BD34" s="42">
        <v>1.61</v>
      </c>
      <c r="BE34" s="42">
        <v>2.59</v>
      </c>
      <c r="BF34" s="42">
        <v>1.61</v>
      </c>
      <c r="BG34" s="42">
        <v>0.73</v>
      </c>
      <c r="BH34" s="46">
        <v>1.17</v>
      </c>
      <c r="BJ34" s="44" t="s">
        <v>2619</v>
      </c>
      <c r="BK34" s="42">
        <v>14.87</v>
      </c>
      <c r="BL34" s="42">
        <v>1.17</v>
      </c>
      <c r="BM34" s="42">
        <v>1.61</v>
      </c>
      <c r="BN34" s="42">
        <v>3.56</v>
      </c>
      <c r="BO34" s="42">
        <v>1.61</v>
      </c>
      <c r="BP34" s="42">
        <v>4.18</v>
      </c>
      <c r="BQ34" s="42">
        <v>0.24</v>
      </c>
      <c r="BR34" s="46">
        <v>0.2</v>
      </c>
      <c r="BT34" s="44" t="s">
        <v>2619</v>
      </c>
      <c r="BU34" s="42">
        <v>0.85</v>
      </c>
      <c r="BV34" s="42">
        <v>0.45</v>
      </c>
      <c r="BW34" s="42">
        <v>0.15</v>
      </c>
      <c r="BX34" s="42">
        <v>0</v>
      </c>
      <c r="BY34" s="42">
        <v>2.21</v>
      </c>
      <c r="BZ34" s="42">
        <v>0.62</v>
      </c>
      <c r="CA34" s="42">
        <v>0.33</v>
      </c>
      <c r="CB34" s="46">
        <v>2.21</v>
      </c>
    </row>
    <row r="35" spans="2:80">
      <c r="B35" s="44" t="s">
        <v>2623</v>
      </c>
      <c r="C35" s="42">
        <v>2.95</v>
      </c>
      <c r="D35" s="42">
        <v>4.38</v>
      </c>
      <c r="E35" s="42">
        <v>5.29</v>
      </c>
      <c r="F35" s="42">
        <v>5.64</v>
      </c>
      <c r="G35" s="42">
        <v>4.3</v>
      </c>
      <c r="H35" s="42">
        <v>4.8</v>
      </c>
      <c r="I35" s="42">
        <v>1.74</v>
      </c>
      <c r="J35" s="46">
        <v>2.25</v>
      </c>
      <c r="L35" s="44" t="s">
        <v>2619</v>
      </c>
      <c r="M35" s="42">
        <v>2.86</v>
      </c>
      <c r="N35" s="42">
        <v>5.51</v>
      </c>
      <c r="O35" s="42">
        <v>5.18</v>
      </c>
      <c r="P35" s="42">
        <v>6.1</v>
      </c>
      <c r="Q35" s="42">
        <v>0</v>
      </c>
      <c r="R35" s="42">
        <v>3.73</v>
      </c>
      <c r="S35" s="42">
        <v>3.02</v>
      </c>
      <c r="T35" s="46">
        <v>3.42</v>
      </c>
      <c r="V35" s="44" t="s">
        <v>2623</v>
      </c>
      <c r="W35" s="42">
        <v>3.9</v>
      </c>
      <c r="X35" s="42">
        <v>4.28</v>
      </c>
      <c r="Y35" s="42">
        <v>4.16</v>
      </c>
      <c r="Z35" s="42">
        <v>4.3099999999999996</v>
      </c>
      <c r="AA35" s="42">
        <v>3.65</v>
      </c>
      <c r="AB35" s="42">
        <v>3.14</v>
      </c>
      <c r="AC35" s="42">
        <v>1.62</v>
      </c>
      <c r="AD35" s="46">
        <v>1.23</v>
      </c>
      <c r="AF35" s="44" t="s">
        <v>2621</v>
      </c>
      <c r="AG35" s="42">
        <v>4.1500000000000004</v>
      </c>
      <c r="AH35" s="42">
        <v>6.08</v>
      </c>
      <c r="AI35" s="42">
        <v>2.02</v>
      </c>
      <c r="AJ35" s="42">
        <v>5.0999999999999996</v>
      </c>
      <c r="AK35" s="42">
        <v>5.46</v>
      </c>
      <c r="AL35" s="42">
        <v>1.85</v>
      </c>
      <c r="AM35" s="42">
        <v>3.75</v>
      </c>
      <c r="AN35" s="46">
        <v>3.11</v>
      </c>
      <c r="AP35" s="44" t="s">
        <v>2619</v>
      </c>
      <c r="AQ35" s="42">
        <v>2.21</v>
      </c>
      <c r="AR35" s="42">
        <v>1.17</v>
      </c>
      <c r="AS35" s="42">
        <v>9.24</v>
      </c>
      <c r="AT35" s="42">
        <v>3.56</v>
      </c>
      <c r="AU35" s="42">
        <v>1.37</v>
      </c>
      <c r="AV35" s="42">
        <v>1.37</v>
      </c>
      <c r="AW35" s="42">
        <v>1.17</v>
      </c>
      <c r="AX35" s="46">
        <v>0.85</v>
      </c>
      <c r="AZ35" s="44" t="s">
        <v>2619</v>
      </c>
      <c r="BA35" s="42">
        <v>0.62</v>
      </c>
      <c r="BB35" s="42">
        <v>4.8899999999999997</v>
      </c>
      <c r="BC35" s="42">
        <v>0.39</v>
      </c>
      <c r="BD35" s="42">
        <v>1.61</v>
      </c>
      <c r="BE35" s="42">
        <v>2.21</v>
      </c>
      <c r="BF35" s="42">
        <v>1.61</v>
      </c>
      <c r="BG35" s="42">
        <v>0.62</v>
      </c>
      <c r="BH35" s="46">
        <v>0</v>
      </c>
      <c r="BJ35" s="44" t="s">
        <v>2619</v>
      </c>
      <c r="BK35" s="42">
        <v>14.87</v>
      </c>
      <c r="BL35" s="42">
        <v>1.61</v>
      </c>
      <c r="BM35" s="42">
        <v>1.89</v>
      </c>
      <c r="BN35" s="42">
        <v>4.18</v>
      </c>
      <c r="BO35" s="42">
        <v>1.89</v>
      </c>
      <c r="BP35" s="42">
        <v>2.21</v>
      </c>
      <c r="BQ35" s="42">
        <v>0.24</v>
      </c>
      <c r="BR35" s="46">
        <v>0.2</v>
      </c>
      <c r="BT35" s="44" t="s">
        <v>2619</v>
      </c>
      <c r="BU35" s="42">
        <v>0.85</v>
      </c>
      <c r="BV35" s="42">
        <v>0.45</v>
      </c>
      <c r="BW35" s="42">
        <v>0.15</v>
      </c>
      <c r="BX35" s="42">
        <v>1.17</v>
      </c>
      <c r="BY35" s="42">
        <v>2.21</v>
      </c>
      <c r="BZ35" s="42">
        <v>0.73</v>
      </c>
      <c r="CA35" s="42">
        <v>0.45</v>
      </c>
      <c r="CB35" s="46">
        <v>2.59</v>
      </c>
    </row>
    <row r="36" spans="2:80">
      <c r="B36" s="44" t="s">
        <v>2623</v>
      </c>
      <c r="C36" s="42">
        <v>3.01</v>
      </c>
      <c r="D36" s="42">
        <v>0</v>
      </c>
      <c r="E36" s="42">
        <v>5.29</v>
      </c>
      <c r="F36" s="42">
        <v>3</v>
      </c>
      <c r="G36" s="42">
        <v>4.32</v>
      </c>
      <c r="H36" s="42">
        <v>4.91</v>
      </c>
      <c r="I36" s="42">
        <v>1.74</v>
      </c>
      <c r="J36" s="46">
        <v>3.28</v>
      </c>
      <c r="L36" s="44" t="s">
        <v>2619</v>
      </c>
      <c r="M36" s="42">
        <v>2.86</v>
      </c>
      <c r="N36" s="42">
        <v>5.46</v>
      </c>
      <c r="O36" s="42">
        <v>5.13</v>
      </c>
      <c r="P36" s="42">
        <v>3.34</v>
      </c>
      <c r="Q36" s="42">
        <v>0</v>
      </c>
      <c r="R36" s="42">
        <v>0.12</v>
      </c>
      <c r="S36" s="42">
        <v>0.98</v>
      </c>
      <c r="T36" s="46">
        <v>99.99</v>
      </c>
      <c r="V36" s="44" t="s">
        <v>2623</v>
      </c>
      <c r="W36" s="42">
        <v>3.92</v>
      </c>
      <c r="X36" s="42">
        <v>4.26</v>
      </c>
      <c r="Y36" s="42">
        <v>4.1399999999999997</v>
      </c>
      <c r="Z36" s="42">
        <v>4.26</v>
      </c>
      <c r="AA36" s="42">
        <v>3.59</v>
      </c>
      <c r="AB36" s="42">
        <v>3.11</v>
      </c>
      <c r="AC36" s="42">
        <v>1.61</v>
      </c>
      <c r="AD36" s="46">
        <v>1.35</v>
      </c>
      <c r="AF36" s="44" t="s">
        <v>2621</v>
      </c>
      <c r="AG36" s="42">
        <v>4.1500000000000004</v>
      </c>
      <c r="AH36" s="42">
        <v>6.09</v>
      </c>
      <c r="AI36" s="42">
        <v>3.76</v>
      </c>
      <c r="AJ36" s="42">
        <v>5.13</v>
      </c>
      <c r="AK36" s="42">
        <v>5.48</v>
      </c>
      <c r="AL36" s="42">
        <v>1.85</v>
      </c>
      <c r="AM36" s="42">
        <v>3.77</v>
      </c>
      <c r="AN36" s="46">
        <v>2.96</v>
      </c>
      <c r="AP36" s="44" t="s">
        <v>2619</v>
      </c>
      <c r="AQ36" s="42">
        <v>2.21</v>
      </c>
      <c r="AR36" s="42">
        <v>1.17</v>
      </c>
      <c r="AS36" s="42">
        <v>2.21</v>
      </c>
      <c r="AT36" s="42">
        <v>3.56</v>
      </c>
      <c r="AU36" s="42">
        <v>1.37</v>
      </c>
      <c r="AV36" s="42">
        <v>1.37</v>
      </c>
      <c r="AW36" s="42">
        <v>1.17</v>
      </c>
      <c r="AX36" s="46">
        <v>0</v>
      </c>
      <c r="AZ36" s="44" t="s">
        <v>2619</v>
      </c>
      <c r="BA36" s="42">
        <v>0.53</v>
      </c>
      <c r="BB36" s="42">
        <v>4.18</v>
      </c>
      <c r="BC36" s="42">
        <v>0.39</v>
      </c>
      <c r="BD36" s="42">
        <v>1.89</v>
      </c>
      <c r="BE36" s="42">
        <v>2.21</v>
      </c>
      <c r="BF36" s="42">
        <v>9.24</v>
      </c>
      <c r="BG36" s="42">
        <v>0.62</v>
      </c>
      <c r="BH36" s="46">
        <v>1.17</v>
      </c>
      <c r="BJ36" s="44" t="s">
        <v>2619</v>
      </c>
      <c r="BK36" s="42">
        <v>14.87</v>
      </c>
      <c r="BL36" s="42">
        <v>1.61</v>
      </c>
      <c r="BM36" s="42">
        <v>1.61</v>
      </c>
      <c r="BN36" s="42">
        <v>1.89</v>
      </c>
      <c r="BO36" s="42">
        <v>1.89</v>
      </c>
      <c r="BP36" s="42">
        <v>2.59</v>
      </c>
      <c r="BQ36" s="42">
        <v>0.2</v>
      </c>
      <c r="BR36" s="46">
        <v>0.2</v>
      </c>
      <c r="BT36" s="44" t="s">
        <v>2619</v>
      </c>
      <c r="BU36" s="42">
        <v>0.85</v>
      </c>
      <c r="BV36" s="42">
        <v>0.45</v>
      </c>
      <c r="BW36" s="42">
        <v>0.15</v>
      </c>
      <c r="BX36" s="42">
        <v>1.37</v>
      </c>
      <c r="BY36" s="42">
        <v>0</v>
      </c>
      <c r="BZ36" s="42">
        <v>0.73</v>
      </c>
      <c r="CA36" s="42">
        <v>0.24</v>
      </c>
      <c r="CB36" s="46">
        <v>3.56</v>
      </c>
    </row>
    <row r="37" spans="2:80">
      <c r="B37" s="44" t="s">
        <v>2623</v>
      </c>
      <c r="C37" s="42">
        <v>3.01</v>
      </c>
      <c r="D37" s="42">
        <v>4.4000000000000004</v>
      </c>
      <c r="E37" s="42">
        <v>5.3</v>
      </c>
      <c r="F37" s="42">
        <v>5.62</v>
      </c>
      <c r="G37" s="42">
        <v>4.32</v>
      </c>
      <c r="H37" s="42">
        <v>3.8</v>
      </c>
      <c r="I37" s="42">
        <v>1.74</v>
      </c>
      <c r="J37" s="46">
        <v>2.2799999999999998</v>
      </c>
      <c r="L37" s="44" t="s">
        <v>2619</v>
      </c>
      <c r="M37" s="42">
        <v>2.04</v>
      </c>
      <c r="N37" s="42">
        <v>2.0499999999999998</v>
      </c>
      <c r="O37" s="42">
        <v>5.2</v>
      </c>
      <c r="P37" s="42">
        <v>6.04</v>
      </c>
      <c r="Q37" s="42">
        <v>0</v>
      </c>
      <c r="R37" s="42">
        <v>3.76</v>
      </c>
      <c r="S37" s="42">
        <v>3.05</v>
      </c>
      <c r="T37" s="46">
        <v>3.45</v>
      </c>
      <c r="V37" s="44" t="s">
        <v>2623</v>
      </c>
      <c r="W37" s="42">
        <v>3.92</v>
      </c>
      <c r="X37" s="42">
        <v>4.2699999999999996</v>
      </c>
      <c r="Y37" s="42">
        <v>4.2</v>
      </c>
      <c r="Z37" s="42">
        <v>2.15</v>
      </c>
      <c r="AA37" s="42">
        <v>3.62</v>
      </c>
      <c r="AB37" s="42">
        <v>3.11</v>
      </c>
      <c r="AC37" s="42">
        <v>1.63</v>
      </c>
      <c r="AD37" s="46">
        <v>1.26</v>
      </c>
      <c r="AF37" s="44" t="s">
        <v>2621</v>
      </c>
      <c r="AG37" s="42">
        <v>4.17</v>
      </c>
      <c r="AH37" s="42">
        <v>6.14</v>
      </c>
      <c r="AI37" s="42">
        <v>3.76</v>
      </c>
      <c r="AJ37" s="42">
        <v>5.17</v>
      </c>
      <c r="AK37" s="42">
        <v>5.51</v>
      </c>
      <c r="AL37" s="42">
        <v>1.84</v>
      </c>
      <c r="AM37" s="42">
        <v>3.73</v>
      </c>
      <c r="AN37" s="46">
        <v>3.98</v>
      </c>
      <c r="AP37" s="44" t="s">
        <v>2619</v>
      </c>
      <c r="AQ37" s="42">
        <v>0</v>
      </c>
      <c r="AR37" s="42">
        <v>1.17</v>
      </c>
      <c r="AS37" s="42">
        <v>2.59</v>
      </c>
      <c r="AT37" s="42">
        <v>3.56</v>
      </c>
      <c r="AU37" s="42">
        <v>1.37</v>
      </c>
      <c r="AV37" s="42">
        <v>1.17</v>
      </c>
      <c r="AW37" s="42">
        <v>1.37</v>
      </c>
      <c r="AX37" s="46">
        <v>0</v>
      </c>
      <c r="AZ37" s="44" t="s">
        <v>2619</v>
      </c>
      <c r="BA37" s="42">
        <v>1.17</v>
      </c>
      <c r="BB37" s="42">
        <v>0.39</v>
      </c>
      <c r="BC37" s="42">
        <v>0.39</v>
      </c>
      <c r="BD37" s="42">
        <v>1.61</v>
      </c>
      <c r="BE37" s="42">
        <v>17.43</v>
      </c>
      <c r="BF37" s="42">
        <v>1.89</v>
      </c>
      <c r="BG37" s="42">
        <v>0.39</v>
      </c>
      <c r="BH37" s="46">
        <v>1.37</v>
      </c>
      <c r="BJ37" s="44" t="s">
        <v>2619</v>
      </c>
      <c r="BK37" s="42">
        <v>14.87</v>
      </c>
      <c r="BL37" s="42">
        <v>1.37</v>
      </c>
      <c r="BM37" s="42">
        <v>1.61</v>
      </c>
      <c r="BN37" s="42">
        <v>3.56</v>
      </c>
      <c r="BO37" s="42">
        <v>1.89</v>
      </c>
      <c r="BP37" s="42">
        <v>2.59</v>
      </c>
      <c r="BQ37" s="42">
        <v>0.24</v>
      </c>
      <c r="BR37" s="46">
        <v>0.2</v>
      </c>
      <c r="BT37" s="44" t="s">
        <v>2619</v>
      </c>
      <c r="BU37" s="42">
        <v>0</v>
      </c>
      <c r="BV37" s="42">
        <v>6.72</v>
      </c>
      <c r="BW37" s="42">
        <v>0.13</v>
      </c>
      <c r="BX37" s="42">
        <v>2.21</v>
      </c>
      <c r="BY37" s="42">
        <v>1.61</v>
      </c>
      <c r="BZ37" s="42">
        <v>0.33</v>
      </c>
      <c r="CA37" s="42">
        <v>0.33</v>
      </c>
      <c r="CB37" s="46">
        <v>3.56</v>
      </c>
    </row>
    <row r="38" spans="2:80">
      <c r="B38" s="44" t="s">
        <v>2623</v>
      </c>
      <c r="C38" s="42">
        <v>3.07</v>
      </c>
      <c r="D38" s="42">
        <v>4.4000000000000004</v>
      </c>
      <c r="E38" s="42">
        <v>5.3</v>
      </c>
      <c r="F38" s="42">
        <v>5.64</v>
      </c>
      <c r="G38" s="42">
        <v>4.3</v>
      </c>
      <c r="H38" s="42">
        <v>4.8600000000000003</v>
      </c>
      <c r="I38" s="42">
        <v>1.76</v>
      </c>
      <c r="J38" s="46">
        <v>2.27</v>
      </c>
      <c r="L38" s="44" t="s">
        <v>2619</v>
      </c>
      <c r="M38" s="42">
        <v>2.8</v>
      </c>
      <c r="N38" s="42">
        <v>5.47</v>
      </c>
      <c r="O38" s="42">
        <v>0</v>
      </c>
      <c r="P38" s="42">
        <v>6.05</v>
      </c>
      <c r="Q38" s="42">
        <v>0</v>
      </c>
      <c r="R38" s="42">
        <v>3.76</v>
      </c>
      <c r="S38" s="42">
        <v>3.11</v>
      </c>
      <c r="T38" s="46">
        <v>3.41</v>
      </c>
      <c r="V38" s="44" t="s">
        <v>2623</v>
      </c>
      <c r="W38" s="42">
        <v>3.9</v>
      </c>
      <c r="X38" s="42">
        <v>4.29</v>
      </c>
      <c r="Y38" s="42">
        <v>4.1399999999999997</v>
      </c>
      <c r="Z38" s="42">
        <v>4.29</v>
      </c>
      <c r="AA38" s="42">
        <v>3.62</v>
      </c>
      <c r="AB38" s="42">
        <v>3.13</v>
      </c>
      <c r="AC38" s="42">
        <v>1.61</v>
      </c>
      <c r="AD38" s="46">
        <v>1.2</v>
      </c>
      <c r="AF38" s="44" t="s">
        <v>2621</v>
      </c>
      <c r="AG38" s="42">
        <v>4.1500000000000004</v>
      </c>
      <c r="AH38" s="42">
        <v>6.13</v>
      </c>
      <c r="AI38" s="42">
        <v>3.71</v>
      </c>
      <c r="AJ38" s="42">
        <v>5.15</v>
      </c>
      <c r="AK38" s="42">
        <v>5.45</v>
      </c>
      <c r="AL38" s="42">
        <v>1.84</v>
      </c>
      <c r="AM38" s="42">
        <v>3.78</v>
      </c>
      <c r="AN38" s="46">
        <v>0</v>
      </c>
      <c r="AP38" s="44" t="s">
        <v>2619</v>
      </c>
      <c r="AQ38" s="42">
        <v>2.21</v>
      </c>
      <c r="AR38" s="42">
        <v>0</v>
      </c>
      <c r="AS38" s="42">
        <v>2.59</v>
      </c>
      <c r="AT38" s="42">
        <v>3.56</v>
      </c>
      <c r="AU38" s="42">
        <v>1.37</v>
      </c>
      <c r="AV38" s="42">
        <v>1.37</v>
      </c>
      <c r="AW38" s="42">
        <v>1.37</v>
      </c>
      <c r="AX38" s="46">
        <v>0</v>
      </c>
      <c r="AZ38" s="44" t="s">
        <v>2619</v>
      </c>
      <c r="BA38" s="42">
        <v>0.53</v>
      </c>
      <c r="BB38" s="42">
        <v>4.8899999999999997</v>
      </c>
      <c r="BC38" s="42">
        <v>0.39</v>
      </c>
      <c r="BD38" s="42">
        <v>1.61</v>
      </c>
      <c r="BE38" s="42">
        <v>2.59</v>
      </c>
      <c r="BF38" s="42">
        <v>1.89</v>
      </c>
      <c r="BG38" s="42">
        <v>0.73</v>
      </c>
      <c r="BH38" s="46">
        <v>1.17</v>
      </c>
      <c r="BJ38" s="44" t="s">
        <v>2619</v>
      </c>
      <c r="BK38" s="42">
        <v>14.87</v>
      </c>
      <c r="BL38" s="42">
        <v>1.37</v>
      </c>
      <c r="BM38" s="42">
        <v>1.61</v>
      </c>
      <c r="BN38" s="42">
        <v>1.89</v>
      </c>
      <c r="BO38" s="42">
        <v>1.89</v>
      </c>
      <c r="BP38" s="42">
        <v>2.59</v>
      </c>
      <c r="BQ38" s="42">
        <v>0.24</v>
      </c>
      <c r="BR38" s="46">
        <v>0.24</v>
      </c>
      <c r="BT38" s="44" t="s">
        <v>2619</v>
      </c>
      <c r="BU38" s="42">
        <v>0.85</v>
      </c>
      <c r="BV38" s="42">
        <v>0.45</v>
      </c>
      <c r="BW38" s="42">
        <v>0.15</v>
      </c>
      <c r="BX38" s="42">
        <v>1.17</v>
      </c>
      <c r="BY38" s="42">
        <v>1.89</v>
      </c>
      <c r="BZ38" s="42">
        <v>0.73</v>
      </c>
      <c r="CA38" s="42">
        <v>0.28000000000000003</v>
      </c>
      <c r="CB38" s="46">
        <v>2.21</v>
      </c>
    </row>
    <row r="39" spans="2:80">
      <c r="B39" s="44" t="s">
        <v>2624</v>
      </c>
      <c r="C39" s="42">
        <v>3.02</v>
      </c>
      <c r="D39" s="42">
        <v>4.3899999999999997</v>
      </c>
      <c r="E39" s="42">
        <v>5.27</v>
      </c>
      <c r="F39" s="42">
        <v>0.11</v>
      </c>
      <c r="G39" s="42">
        <v>4.33</v>
      </c>
      <c r="H39" s="42">
        <v>4.83</v>
      </c>
      <c r="I39" s="42">
        <v>1.74</v>
      </c>
      <c r="J39" s="46">
        <v>2.2400000000000002</v>
      </c>
      <c r="L39" s="44" t="s">
        <v>2621</v>
      </c>
      <c r="M39" s="42">
        <v>2.86</v>
      </c>
      <c r="N39" s="42">
        <v>5.48</v>
      </c>
      <c r="O39" s="42">
        <v>5.17</v>
      </c>
      <c r="P39" s="42">
        <v>6.11</v>
      </c>
      <c r="Q39" s="42">
        <v>5.12</v>
      </c>
      <c r="R39" s="42">
        <v>3.75</v>
      </c>
      <c r="S39" s="42">
        <v>3.06</v>
      </c>
      <c r="T39" s="46">
        <v>3.42</v>
      </c>
      <c r="V39" s="44" t="s">
        <v>2624</v>
      </c>
      <c r="W39" s="42">
        <v>3.94</v>
      </c>
      <c r="X39" s="42">
        <v>4.3</v>
      </c>
      <c r="Y39" s="42">
        <v>4.1399999999999997</v>
      </c>
      <c r="Z39" s="42">
        <v>4.32</v>
      </c>
      <c r="AA39" s="42">
        <v>3.56</v>
      </c>
      <c r="AB39" s="42">
        <v>3.11</v>
      </c>
      <c r="AC39" s="42">
        <v>1.62</v>
      </c>
      <c r="AD39" s="46">
        <v>1.22</v>
      </c>
      <c r="AF39" s="44" t="s">
        <v>2623</v>
      </c>
      <c r="AG39" s="42">
        <v>4.1399999999999997</v>
      </c>
      <c r="AH39" s="42">
        <v>6.12</v>
      </c>
      <c r="AI39" s="42">
        <v>3.76</v>
      </c>
      <c r="AJ39" s="42">
        <v>5.14</v>
      </c>
      <c r="AK39" s="42">
        <v>5.47</v>
      </c>
      <c r="AL39" s="42">
        <v>1.83</v>
      </c>
      <c r="AM39" s="42">
        <v>3.73</v>
      </c>
      <c r="AN39" s="46">
        <v>3.09</v>
      </c>
      <c r="AP39" s="44" t="s">
        <v>2620</v>
      </c>
      <c r="AQ39" s="42">
        <v>0.85</v>
      </c>
      <c r="AR39" s="42">
        <v>0</v>
      </c>
      <c r="AS39" s="42">
        <v>0</v>
      </c>
      <c r="AT39" s="42">
        <v>3.04</v>
      </c>
      <c r="AU39" s="42">
        <v>1.61</v>
      </c>
      <c r="AV39" s="42">
        <v>85.32</v>
      </c>
      <c r="AW39" s="42">
        <v>0.39</v>
      </c>
      <c r="AX39" s="46">
        <v>3.04</v>
      </c>
      <c r="AZ39" s="44" t="s">
        <v>2620</v>
      </c>
      <c r="BA39" s="42">
        <v>0.53</v>
      </c>
      <c r="BB39" s="42">
        <v>0.45</v>
      </c>
      <c r="BC39" s="42">
        <v>0.39</v>
      </c>
      <c r="BD39" s="42">
        <v>1.61</v>
      </c>
      <c r="BE39" s="42">
        <v>2.59</v>
      </c>
      <c r="BF39" s="42">
        <v>9.24</v>
      </c>
      <c r="BG39" s="42">
        <v>0.73</v>
      </c>
      <c r="BH39" s="46">
        <v>1.17</v>
      </c>
      <c r="BJ39" s="44" t="s">
        <v>2620</v>
      </c>
      <c r="BK39" s="42">
        <v>12.69</v>
      </c>
      <c r="BL39" s="42">
        <v>1.37</v>
      </c>
      <c r="BM39" s="42">
        <v>1.61</v>
      </c>
      <c r="BN39" s="42">
        <v>3.56</v>
      </c>
      <c r="BO39" s="42">
        <v>1.89</v>
      </c>
      <c r="BP39" s="42">
        <v>2.59</v>
      </c>
      <c r="BQ39" s="42">
        <v>0.24</v>
      </c>
      <c r="BR39" s="46">
        <v>0.24</v>
      </c>
      <c r="BT39" s="44" t="s">
        <v>2620</v>
      </c>
      <c r="BU39" s="42">
        <v>0.85</v>
      </c>
      <c r="BV39" s="42">
        <v>6.72</v>
      </c>
      <c r="BW39" s="42">
        <v>0.11</v>
      </c>
      <c r="BX39" s="42">
        <v>0</v>
      </c>
      <c r="BY39" s="42">
        <v>1.89</v>
      </c>
      <c r="BZ39" s="42">
        <v>0.73</v>
      </c>
      <c r="CA39" s="42">
        <v>0.33</v>
      </c>
      <c r="CB39" s="46">
        <v>2.21</v>
      </c>
    </row>
    <row r="40" spans="2:80">
      <c r="B40" s="44" t="s">
        <v>2624</v>
      </c>
      <c r="C40" s="42">
        <v>2.97</v>
      </c>
      <c r="D40" s="42">
        <v>4.3499999999999996</v>
      </c>
      <c r="E40" s="42">
        <v>5.28</v>
      </c>
      <c r="F40" s="42">
        <v>5.64</v>
      </c>
      <c r="G40" s="42">
        <v>4.34</v>
      </c>
      <c r="H40" s="42">
        <v>4.88</v>
      </c>
      <c r="I40" s="42">
        <v>1.75</v>
      </c>
      <c r="J40" s="46">
        <v>2.27</v>
      </c>
      <c r="L40" s="44" t="s">
        <v>2621</v>
      </c>
      <c r="M40" s="42">
        <v>2.85</v>
      </c>
      <c r="N40" s="42">
        <v>5.13</v>
      </c>
      <c r="O40" s="42">
        <v>5.15</v>
      </c>
      <c r="P40" s="42">
        <v>1.29</v>
      </c>
      <c r="Q40" s="42">
        <v>0</v>
      </c>
      <c r="R40" s="42">
        <v>3.73</v>
      </c>
      <c r="S40" s="42">
        <v>3.07</v>
      </c>
      <c r="T40" s="46">
        <v>3.53</v>
      </c>
      <c r="V40" s="44" t="s">
        <v>2624</v>
      </c>
      <c r="W40" s="42">
        <v>3.91</v>
      </c>
      <c r="X40" s="42">
        <v>4.2699999999999996</v>
      </c>
      <c r="Y40" s="42">
        <v>1.65</v>
      </c>
      <c r="Z40" s="42">
        <v>4.2699999999999996</v>
      </c>
      <c r="AA40" s="42">
        <v>3.61</v>
      </c>
      <c r="AB40" s="42">
        <v>3.14</v>
      </c>
      <c r="AC40" s="42">
        <v>1.63</v>
      </c>
      <c r="AD40" s="46">
        <v>1.22</v>
      </c>
      <c r="AF40" s="44" t="s">
        <v>2623</v>
      </c>
      <c r="AG40" s="42">
        <v>2.82</v>
      </c>
      <c r="AH40" s="42">
        <v>6.1</v>
      </c>
      <c r="AI40" s="42">
        <v>3.78</v>
      </c>
      <c r="AJ40" s="42">
        <v>5.15</v>
      </c>
      <c r="AK40" s="42">
        <v>5.45</v>
      </c>
      <c r="AL40" s="42">
        <v>1.85</v>
      </c>
      <c r="AM40" s="42">
        <v>3.75</v>
      </c>
      <c r="AN40" s="46">
        <v>0</v>
      </c>
      <c r="AP40" s="44" t="s">
        <v>2620</v>
      </c>
      <c r="AQ40" s="42">
        <v>0</v>
      </c>
      <c r="AR40" s="42">
        <v>1.17</v>
      </c>
      <c r="AS40" s="42">
        <v>2.59</v>
      </c>
      <c r="AT40" s="42">
        <v>3.56</v>
      </c>
      <c r="AU40" s="42">
        <v>1.37</v>
      </c>
      <c r="AV40" s="42">
        <v>99.99</v>
      </c>
      <c r="AW40" s="42">
        <v>1.17</v>
      </c>
      <c r="AX40" s="46">
        <v>0</v>
      </c>
      <c r="AZ40" s="44" t="s">
        <v>2620</v>
      </c>
      <c r="BA40" s="42">
        <v>0.53</v>
      </c>
      <c r="BB40" s="42">
        <v>4.18</v>
      </c>
      <c r="BC40" s="42">
        <v>0.39</v>
      </c>
      <c r="BD40" s="42">
        <v>1.61</v>
      </c>
      <c r="BE40" s="42">
        <v>2.21</v>
      </c>
      <c r="BF40" s="42">
        <v>1.89</v>
      </c>
      <c r="BG40" s="42">
        <v>0.73</v>
      </c>
      <c r="BH40" s="46">
        <v>1.17</v>
      </c>
      <c r="BJ40" s="44" t="s">
        <v>2620</v>
      </c>
      <c r="BK40" s="42">
        <v>10.83</v>
      </c>
      <c r="BL40" s="42">
        <v>0.85</v>
      </c>
      <c r="BM40" s="42">
        <v>1.89</v>
      </c>
      <c r="BN40" s="42">
        <v>1.89</v>
      </c>
      <c r="BO40" s="42">
        <v>1.37</v>
      </c>
      <c r="BP40" s="42">
        <v>3.56</v>
      </c>
      <c r="BQ40" s="42">
        <v>0.2</v>
      </c>
      <c r="BR40" s="46">
        <v>0.45</v>
      </c>
      <c r="BT40" s="44" t="s">
        <v>2620</v>
      </c>
      <c r="BU40" s="42">
        <v>0.85</v>
      </c>
      <c r="BV40" s="42">
        <v>0.45</v>
      </c>
      <c r="BW40" s="42">
        <v>0.15</v>
      </c>
      <c r="BX40" s="42">
        <v>2.21</v>
      </c>
      <c r="BY40" s="42">
        <v>1.89</v>
      </c>
      <c r="BZ40" s="42">
        <v>0.62</v>
      </c>
      <c r="CA40" s="42">
        <v>0.24</v>
      </c>
      <c r="CB40" s="46">
        <v>2.21</v>
      </c>
    </row>
    <row r="41" spans="2:80">
      <c r="B41" s="44" t="s">
        <v>2624</v>
      </c>
      <c r="C41" s="42">
        <v>3.02</v>
      </c>
      <c r="D41" s="42">
        <v>4.41</v>
      </c>
      <c r="E41" s="42">
        <v>5.31</v>
      </c>
      <c r="F41" s="42">
        <v>5.62</v>
      </c>
      <c r="G41" s="42">
        <v>4.33</v>
      </c>
      <c r="H41" s="42">
        <v>4.79</v>
      </c>
      <c r="I41" s="42">
        <v>1.74</v>
      </c>
      <c r="J41" s="46">
        <v>2.29</v>
      </c>
      <c r="L41" s="44" t="s">
        <v>2621</v>
      </c>
      <c r="M41" s="42">
        <v>2.85</v>
      </c>
      <c r="N41" s="42">
        <v>5.45</v>
      </c>
      <c r="O41" s="42">
        <v>5.17</v>
      </c>
      <c r="P41" s="42">
        <v>6.1</v>
      </c>
      <c r="Q41" s="42">
        <v>0</v>
      </c>
      <c r="R41" s="42">
        <v>2.13</v>
      </c>
      <c r="S41" s="42">
        <v>3.05</v>
      </c>
      <c r="T41" s="46">
        <v>3.41</v>
      </c>
      <c r="V41" s="44" t="s">
        <v>2624</v>
      </c>
      <c r="W41" s="42">
        <v>3.91</v>
      </c>
      <c r="X41" s="42">
        <v>4.2699999999999996</v>
      </c>
      <c r="Y41" s="42">
        <v>3.3</v>
      </c>
      <c r="Z41" s="42">
        <v>4.29</v>
      </c>
      <c r="AA41" s="42">
        <v>3.64</v>
      </c>
      <c r="AB41" s="42">
        <v>3.16</v>
      </c>
      <c r="AC41" s="42">
        <v>0.38</v>
      </c>
      <c r="AD41" s="46">
        <v>1.26</v>
      </c>
      <c r="AF41" s="44" t="s">
        <v>2623</v>
      </c>
      <c r="AG41" s="42">
        <v>4.17</v>
      </c>
      <c r="AH41" s="42">
        <v>99.99</v>
      </c>
      <c r="AI41" s="42">
        <v>2.4500000000000002</v>
      </c>
      <c r="AJ41" s="42">
        <v>5.0999999999999996</v>
      </c>
      <c r="AK41" s="42">
        <v>5.44</v>
      </c>
      <c r="AL41" s="42">
        <v>0.65</v>
      </c>
      <c r="AM41" s="42">
        <v>3.75</v>
      </c>
      <c r="AN41" s="46">
        <v>3.12</v>
      </c>
      <c r="AP41" s="44" t="s">
        <v>2620</v>
      </c>
      <c r="AQ41" s="42">
        <v>0</v>
      </c>
      <c r="AR41" s="42">
        <v>0</v>
      </c>
      <c r="AS41" s="42">
        <v>2.59</v>
      </c>
      <c r="AT41" s="42">
        <v>14.87</v>
      </c>
      <c r="AU41" s="42">
        <v>1.61</v>
      </c>
      <c r="AV41" s="42">
        <v>1.37</v>
      </c>
      <c r="AW41" s="42">
        <v>1.17</v>
      </c>
      <c r="AX41" s="46">
        <v>0</v>
      </c>
      <c r="AZ41" s="44" t="s">
        <v>2620</v>
      </c>
      <c r="BA41" s="42">
        <v>0.53</v>
      </c>
      <c r="BB41" s="42">
        <v>0.45</v>
      </c>
      <c r="BC41" s="42">
        <v>0.33</v>
      </c>
      <c r="BD41" s="42">
        <v>1.61</v>
      </c>
      <c r="BE41" s="42">
        <v>2.21</v>
      </c>
      <c r="BF41" s="42">
        <v>7.88</v>
      </c>
      <c r="BG41" s="42">
        <v>0.62</v>
      </c>
      <c r="BH41" s="46">
        <v>1.17</v>
      </c>
      <c r="BJ41" s="44" t="s">
        <v>2620</v>
      </c>
      <c r="BK41" s="42">
        <v>9.24</v>
      </c>
      <c r="BL41" s="42">
        <v>1.37</v>
      </c>
      <c r="BM41" s="42">
        <v>1.61</v>
      </c>
      <c r="BN41" s="42">
        <v>3.56</v>
      </c>
      <c r="BO41" s="42">
        <v>1.61</v>
      </c>
      <c r="BP41" s="42">
        <v>2.21</v>
      </c>
      <c r="BQ41" s="42">
        <v>0.24</v>
      </c>
      <c r="BR41" s="46">
        <v>0.2</v>
      </c>
      <c r="BT41" s="44" t="s">
        <v>2620</v>
      </c>
      <c r="BU41" s="42">
        <v>0.85</v>
      </c>
      <c r="BV41" s="42">
        <v>0.45</v>
      </c>
      <c r="BW41" s="42">
        <v>0.15</v>
      </c>
      <c r="BX41" s="42">
        <v>7.88</v>
      </c>
      <c r="BY41" s="42">
        <v>2.21</v>
      </c>
      <c r="BZ41" s="42">
        <v>0.33</v>
      </c>
      <c r="CA41" s="42">
        <v>0.28000000000000003</v>
      </c>
      <c r="CB41" s="46">
        <v>2.21</v>
      </c>
    </row>
    <row r="42" spans="2:80">
      <c r="B42" s="44" t="s">
        <v>2624</v>
      </c>
      <c r="C42" s="42">
        <v>3.01</v>
      </c>
      <c r="D42" s="42">
        <v>4.4000000000000004</v>
      </c>
      <c r="E42" s="42">
        <v>5.32</v>
      </c>
      <c r="F42" s="42">
        <v>5.61</v>
      </c>
      <c r="G42" s="42">
        <v>4.33</v>
      </c>
      <c r="H42" s="42">
        <v>4.8899999999999997</v>
      </c>
      <c r="I42" s="42">
        <v>1.76</v>
      </c>
      <c r="J42" s="46">
        <v>2.2799999999999998</v>
      </c>
      <c r="L42" s="44" t="s">
        <v>2621</v>
      </c>
      <c r="M42" s="42">
        <v>2.86</v>
      </c>
      <c r="N42" s="42">
        <v>5.49</v>
      </c>
      <c r="O42" s="42">
        <v>5.15</v>
      </c>
      <c r="P42" s="42">
        <v>6.07</v>
      </c>
      <c r="Q42" s="42">
        <v>0</v>
      </c>
      <c r="R42" s="42">
        <v>3.72</v>
      </c>
      <c r="S42" s="42">
        <v>3.02</v>
      </c>
      <c r="T42" s="46">
        <v>3.45</v>
      </c>
      <c r="V42" s="44" t="s">
        <v>2624</v>
      </c>
      <c r="W42" s="42">
        <v>3.9</v>
      </c>
      <c r="X42" s="42">
        <v>4.2699999999999996</v>
      </c>
      <c r="Y42" s="42">
        <v>4.2</v>
      </c>
      <c r="Z42" s="42">
        <v>1.41</v>
      </c>
      <c r="AA42" s="42">
        <v>3.62</v>
      </c>
      <c r="AB42" s="42">
        <v>1.98</v>
      </c>
      <c r="AC42" s="42">
        <v>1.67</v>
      </c>
      <c r="AD42" s="46">
        <v>1.24</v>
      </c>
      <c r="AF42" s="44" t="s">
        <v>2623</v>
      </c>
      <c r="AG42" s="42">
        <v>4.1399999999999997</v>
      </c>
      <c r="AH42" s="42">
        <v>6.08</v>
      </c>
      <c r="AI42" s="42">
        <v>3.75</v>
      </c>
      <c r="AJ42" s="42">
        <v>5.15</v>
      </c>
      <c r="AK42" s="42">
        <v>5.5</v>
      </c>
      <c r="AL42" s="42">
        <v>1.86</v>
      </c>
      <c r="AM42" s="42">
        <v>2.65</v>
      </c>
      <c r="AN42" s="46">
        <v>3.19</v>
      </c>
      <c r="AP42" s="44" t="s">
        <v>2620</v>
      </c>
      <c r="AQ42" s="42">
        <v>2.59</v>
      </c>
      <c r="AR42" s="42">
        <v>1.17</v>
      </c>
      <c r="AS42" s="42">
        <v>2.59</v>
      </c>
      <c r="AT42" s="42">
        <v>3.56</v>
      </c>
      <c r="AU42" s="42">
        <v>1.61</v>
      </c>
      <c r="AV42" s="42">
        <v>1.17</v>
      </c>
      <c r="AW42" s="42">
        <v>1.17</v>
      </c>
      <c r="AX42" s="46">
        <v>0</v>
      </c>
      <c r="AZ42" s="44" t="s">
        <v>2620</v>
      </c>
      <c r="BA42" s="42">
        <v>0.62</v>
      </c>
      <c r="BB42" s="42">
        <v>4.8899999999999997</v>
      </c>
      <c r="BC42" s="42">
        <v>0.39</v>
      </c>
      <c r="BD42" s="42">
        <v>1.61</v>
      </c>
      <c r="BE42" s="42">
        <v>2.59</v>
      </c>
      <c r="BF42" s="42">
        <v>1.89</v>
      </c>
      <c r="BG42" s="42">
        <v>0.73</v>
      </c>
      <c r="BH42" s="46">
        <v>1.37</v>
      </c>
      <c r="BJ42" s="44" t="s">
        <v>2620</v>
      </c>
      <c r="BK42" s="42">
        <v>14.87</v>
      </c>
      <c r="BL42" s="42">
        <v>1.37</v>
      </c>
      <c r="BM42" s="42">
        <v>1.89</v>
      </c>
      <c r="BN42" s="42">
        <v>3.56</v>
      </c>
      <c r="BO42" s="42">
        <v>1.61</v>
      </c>
      <c r="BP42" s="42">
        <v>2.59</v>
      </c>
      <c r="BQ42" s="42">
        <v>0.24</v>
      </c>
      <c r="BR42" s="46">
        <v>0.2</v>
      </c>
      <c r="BT42" s="44" t="s">
        <v>2620</v>
      </c>
      <c r="BU42" s="42">
        <v>0.85</v>
      </c>
      <c r="BV42" s="42">
        <v>0.45</v>
      </c>
      <c r="BW42" s="42">
        <v>0.15</v>
      </c>
      <c r="BX42" s="42">
        <v>0</v>
      </c>
      <c r="BY42" s="42">
        <v>1.61</v>
      </c>
      <c r="BZ42" s="42">
        <v>0.24</v>
      </c>
      <c r="CA42" s="42">
        <v>0.28000000000000003</v>
      </c>
      <c r="CB42" s="46">
        <v>1.89</v>
      </c>
    </row>
    <row r="43" spans="2:80" ht="15.75" thickBot="1">
      <c r="B43" s="67" t="s">
        <v>2624</v>
      </c>
      <c r="C43" s="42">
        <v>2.98</v>
      </c>
      <c r="D43" s="42">
        <v>4.3899999999999997</v>
      </c>
      <c r="E43" s="42">
        <v>5.3</v>
      </c>
      <c r="F43" s="42">
        <v>5.62</v>
      </c>
      <c r="G43" s="42">
        <v>4.32</v>
      </c>
      <c r="H43" s="42">
        <v>4.82</v>
      </c>
      <c r="I43" s="42">
        <v>1.74</v>
      </c>
      <c r="J43" s="46">
        <v>2.2200000000000002</v>
      </c>
      <c r="L43" s="44" t="s">
        <v>2621</v>
      </c>
      <c r="M43" s="42">
        <v>2.82</v>
      </c>
      <c r="N43" s="42">
        <v>5.44</v>
      </c>
      <c r="O43" s="42">
        <v>5.19</v>
      </c>
      <c r="P43" s="42">
        <v>6.05</v>
      </c>
      <c r="Q43" s="42">
        <v>0</v>
      </c>
      <c r="R43" s="42">
        <v>3.73</v>
      </c>
      <c r="S43" s="42">
        <v>3.05</v>
      </c>
      <c r="T43" s="46">
        <v>3.44</v>
      </c>
      <c r="V43" s="44" t="s">
        <v>2624</v>
      </c>
      <c r="W43" s="42">
        <v>3.89</v>
      </c>
      <c r="X43" s="42">
        <v>4.28</v>
      </c>
      <c r="Y43" s="42">
        <v>0.03</v>
      </c>
      <c r="Z43" s="42">
        <v>4.3</v>
      </c>
      <c r="AA43" s="42">
        <v>3.62</v>
      </c>
      <c r="AB43" s="42">
        <v>3.11</v>
      </c>
      <c r="AC43" s="42">
        <v>1.66</v>
      </c>
      <c r="AD43" s="46">
        <v>1.22</v>
      </c>
      <c r="AF43" s="44" t="s">
        <v>2623</v>
      </c>
      <c r="AG43" s="42">
        <v>4.1500000000000004</v>
      </c>
      <c r="AH43" s="42">
        <v>6.06</v>
      </c>
      <c r="AI43" s="42">
        <v>3.78</v>
      </c>
      <c r="AJ43" s="42">
        <v>5.15</v>
      </c>
      <c r="AK43" s="42">
        <v>5.48</v>
      </c>
      <c r="AL43" s="42">
        <v>1.82</v>
      </c>
      <c r="AM43" s="42">
        <v>3.75</v>
      </c>
      <c r="AN43" s="46">
        <v>3.18</v>
      </c>
      <c r="AP43" s="44" t="s">
        <v>2620</v>
      </c>
      <c r="AQ43" s="42">
        <v>0.85</v>
      </c>
      <c r="AR43" s="42">
        <v>1.17</v>
      </c>
      <c r="AS43" s="42">
        <v>2.59</v>
      </c>
      <c r="AT43" s="42">
        <v>3.04</v>
      </c>
      <c r="AU43" s="42">
        <v>1.37</v>
      </c>
      <c r="AV43" s="42">
        <v>1.37</v>
      </c>
      <c r="AW43" s="42">
        <v>1.17</v>
      </c>
      <c r="AX43" s="46">
        <v>0</v>
      </c>
      <c r="AZ43" s="44" t="s">
        <v>2620</v>
      </c>
      <c r="BA43" s="42">
        <v>0.53</v>
      </c>
      <c r="BB43" s="42">
        <v>4.18</v>
      </c>
      <c r="BC43" s="42">
        <v>0.33</v>
      </c>
      <c r="BD43" s="42">
        <v>1.61</v>
      </c>
      <c r="BE43" s="42">
        <v>2.59</v>
      </c>
      <c r="BF43" s="42">
        <v>1.61</v>
      </c>
      <c r="BG43" s="42">
        <v>0.73</v>
      </c>
      <c r="BH43" s="46">
        <v>1.17</v>
      </c>
      <c r="BJ43" s="44" t="s">
        <v>2620</v>
      </c>
      <c r="BK43" s="42">
        <v>4.8899999999999997</v>
      </c>
      <c r="BL43" s="42">
        <v>1.37</v>
      </c>
      <c r="BM43" s="42">
        <v>1.61</v>
      </c>
      <c r="BN43" s="42">
        <v>3.56</v>
      </c>
      <c r="BO43" s="42">
        <v>1.89</v>
      </c>
      <c r="BP43" s="42">
        <v>2.21</v>
      </c>
      <c r="BQ43" s="42">
        <v>0.24</v>
      </c>
      <c r="BR43" s="46">
        <v>0.2</v>
      </c>
      <c r="BT43" s="44" t="s">
        <v>2620</v>
      </c>
      <c r="BU43" s="42">
        <v>0</v>
      </c>
      <c r="BV43" s="42">
        <v>0.45</v>
      </c>
      <c r="BW43" s="42">
        <v>0.13</v>
      </c>
      <c r="BX43" s="42">
        <v>1.17</v>
      </c>
      <c r="BY43" s="42">
        <v>2.21</v>
      </c>
      <c r="BZ43" s="42">
        <v>0.73</v>
      </c>
      <c r="CA43" s="42">
        <v>0.33</v>
      </c>
      <c r="CB43" s="46">
        <v>2.21</v>
      </c>
    </row>
    <row r="44" spans="2:80">
      <c r="B44" s="20" t="s">
        <v>936</v>
      </c>
      <c r="C44" s="63">
        <v>2.9107500000000002</v>
      </c>
      <c r="D44" s="57">
        <v>4.3447058823529403</v>
      </c>
      <c r="E44" s="57">
        <v>5.3002500000000001</v>
      </c>
      <c r="F44" s="57">
        <v>5.0959999999999903</v>
      </c>
      <c r="G44" s="57">
        <v>4.2545000000000002</v>
      </c>
      <c r="H44" s="57">
        <v>4.5</v>
      </c>
      <c r="I44" s="57">
        <v>1.7476923076923001</v>
      </c>
      <c r="J44" s="58">
        <v>2.2570000000000001</v>
      </c>
      <c r="L44" s="44" t="s">
        <v>2623</v>
      </c>
      <c r="M44" s="42">
        <v>2.85</v>
      </c>
      <c r="N44" s="42">
        <v>5.5</v>
      </c>
      <c r="O44" s="42">
        <v>0.63</v>
      </c>
      <c r="P44" s="42">
        <v>3.99</v>
      </c>
      <c r="Q44" s="42">
        <v>0</v>
      </c>
      <c r="R44" s="42">
        <v>3.74</v>
      </c>
      <c r="S44" s="42">
        <v>3.05</v>
      </c>
      <c r="T44" s="46">
        <v>3.41</v>
      </c>
      <c r="V44" s="44" t="s">
        <v>2625</v>
      </c>
      <c r="W44" s="42">
        <v>3.92</v>
      </c>
      <c r="X44" s="42">
        <v>4.26</v>
      </c>
      <c r="Y44" s="42">
        <v>1.01</v>
      </c>
      <c r="Z44" s="42">
        <v>4.28</v>
      </c>
      <c r="AA44" s="42">
        <v>3.58</v>
      </c>
      <c r="AB44" s="42">
        <v>3.11</v>
      </c>
      <c r="AC44" s="42">
        <v>1.64</v>
      </c>
      <c r="AD44" s="46">
        <v>1.25</v>
      </c>
      <c r="AF44" s="44" t="s">
        <v>2624</v>
      </c>
      <c r="AG44" s="42">
        <v>4.1500000000000004</v>
      </c>
      <c r="AH44" s="42">
        <v>6.09</v>
      </c>
      <c r="AI44" s="42">
        <v>3.75</v>
      </c>
      <c r="AJ44" s="42">
        <v>0.67</v>
      </c>
      <c r="AK44" s="42">
        <v>5.46</v>
      </c>
      <c r="AL44" s="42">
        <v>1.83</v>
      </c>
      <c r="AM44" s="42">
        <v>3.75</v>
      </c>
      <c r="AN44" s="46">
        <v>0</v>
      </c>
      <c r="AP44" s="44" t="s">
        <v>2621</v>
      </c>
      <c r="AQ44" s="42">
        <v>2.21</v>
      </c>
      <c r="AR44" s="42">
        <v>1.17</v>
      </c>
      <c r="AS44" s="42">
        <v>2.59</v>
      </c>
      <c r="AT44" s="42">
        <v>3.56</v>
      </c>
      <c r="AU44" s="42">
        <v>1.37</v>
      </c>
      <c r="AV44" s="42">
        <v>1.17</v>
      </c>
      <c r="AW44" s="42">
        <v>1.37</v>
      </c>
      <c r="AX44" s="46">
        <v>0</v>
      </c>
      <c r="AZ44" s="44" t="s">
        <v>2621</v>
      </c>
      <c r="BA44" s="42">
        <v>0.53</v>
      </c>
      <c r="BB44" s="42">
        <v>4.8899999999999997</v>
      </c>
      <c r="BC44" s="42">
        <v>0.17</v>
      </c>
      <c r="BD44" s="42">
        <v>1.61</v>
      </c>
      <c r="BE44" s="42">
        <v>2.21</v>
      </c>
      <c r="BF44" s="42">
        <v>1.61</v>
      </c>
      <c r="BG44" s="42">
        <v>0.62</v>
      </c>
      <c r="BH44" s="46">
        <v>1.17</v>
      </c>
      <c r="BJ44" s="44" t="s">
        <v>2621</v>
      </c>
      <c r="BK44" s="42">
        <v>5.74</v>
      </c>
      <c r="BL44" s="42">
        <v>0.85</v>
      </c>
      <c r="BM44" s="42">
        <v>9.24</v>
      </c>
      <c r="BN44" s="42">
        <v>4.18</v>
      </c>
      <c r="BO44" s="42">
        <v>1.89</v>
      </c>
      <c r="BP44" s="42">
        <v>2.21</v>
      </c>
      <c r="BQ44" s="42">
        <v>0.24</v>
      </c>
      <c r="BR44" s="46">
        <v>0.24</v>
      </c>
      <c r="BT44" s="44" t="s">
        <v>2621</v>
      </c>
      <c r="BU44" s="42">
        <v>0</v>
      </c>
      <c r="BV44" s="42">
        <v>1.17</v>
      </c>
      <c r="BW44" s="42">
        <v>0.13</v>
      </c>
      <c r="BX44" s="42">
        <v>2.59</v>
      </c>
      <c r="BY44" s="42">
        <v>0</v>
      </c>
      <c r="BZ44" s="42">
        <v>0.33</v>
      </c>
      <c r="CA44" s="42">
        <v>0.33</v>
      </c>
      <c r="CB44" s="46">
        <v>3.56</v>
      </c>
    </row>
    <row r="45" spans="2:80">
      <c r="B45" s="20" t="s">
        <v>515</v>
      </c>
      <c r="C45" s="64">
        <v>0.41518903827052001</v>
      </c>
      <c r="D45" s="42">
        <v>0.245323739218652</v>
      </c>
      <c r="E45" s="42">
        <v>2.1152718501412499E-2</v>
      </c>
      <c r="F45" s="42">
        <v>1.2988433315839101</v>
      </c>
      <c r="G45" s="42">
        <v>0.43491349714627098</v>
      </c>
      <c r="H45" s="42">
        <v>0.96028641560734296</v>
      </c>
      <c r="I45" s="42">
        <v>1.9008977428564701E-2</v>
      </c>
      <c r="J45" s="46">
        <v>0.48999081624046797</v>
      </c>
      <c r="L45" s="44" t="s">
        <v>2623</v>
      </c>
      <c r="M45" s="42">
        <v>2.8</v>
      </c>
      <c r="N45" s="42">
        <v>2.08</v>
      </c>
      <c r="O45" s="42">
        <v>5.22</v>
      </c>
      <c r="P45" s="42">
        <v>6.09</v>
      </c>
      <c r="Q45" s="42">
        <v>0</v>
      </c>
      <c r="R45" s="42">
        <v>3.71</v>
      </c>
      <c r="S45" s="42">
        <v>3.09</v>
      </c>
      <c r="T45" s="46">
        <v>3.42</v>
      </c>
      <c r="V45" s="44" t="s">
        <v>2625</v>
      </c>
      <c r="W45" s="42">
        <v>3.91</v>
      </c>
      <c r="X45" s="42">
        <v>3.7</v>
      </c>
      <c r="Y45" s="42">
        <v>4.13</v>
      </c>
      <c r="Z45" s="42">
        <v>4.32</v>
      </c>
      <c r="AA45" s="42">
        <v>3.6</v>
      </c>
      <c r="AB45" s="42">
        <v>3.16</v>
      </c>
      <c r="AC45" s="42">
        <v>1.65</v>
      </c>
      <c r="AD45" s="46">
        <v>1.26</v>
      </c>
      <c r="AF45" s="44" t="s">
        <v>2624</v>
      </c>
      <c r="AG45" s="42">
        <v>4.1500000000000004</v>
      </c>
      <c r="AH45" s="42">
        <v>6.1</v>
      </c>
      <c r="AI45" s="42">
        <v>3.79</v>
      </c>
      <c r="AJ45" s="42">
        <v>5.09</v>
      </c>
      <c r="AK45" s="42">
        <v>1.92</v>
      </c>
      <c r="AL45" s="42">
        <v>1.85</v>
      </c>
      <c r="AM45" s="42">
        <v>3.75</v>
      </c>
      <c r="AN45" s="46">
        <v>3.23</v>
      </c>
      <c r="AP45" s="44" t="s">
        <v>2621</v>
      </c>
      <c r="AQ45" s="42">
        <v>2.21</v>
      </c>
      <c r="AR45" s="42">
        <v>1.17</v>
      </c>
      <c r="AS45" s="42">
        <v>2.59</v>
      </c>
      <c r="AT45" s="42">
        <v>3.56</v>
      </c>
      <c r="AU45" s="42">
        <v>1.37</v>
      </c>
      <c r="AV45" s="42">
        <v>1.17</v>
      </c>
      <c r="AW45" s="42">
        <v>1.17</v>
      </c>
      <c r="AX45" s="46">
        <v>0.85</v>
      </c>
      <c r="AZ45" s="44" t="s">
        <v>2621</v>
      </c>
      <c r="BA45" s="42">
        <v>0.45</v>
      </c>
      <c r="BB45" s="42">
        <v>4.18</v>
      </c>
      <c r="BC45" s="42">
        <v>0.39</v>
      </c>
      <c r="BD45" s="42">
        <v>1.37</v>
      </c>
      <c r="BE45" s="42">
        <v>2.21</v>
      </c>
      <c r="BF45" s="42">
        <v>2.21</v>
      </c>
      <c r="BG45" s="42">
        <v>0.62</v>
      </c>
      <c r="BH45" s="46">
        <v>0</v>
      </c>
      <c r="BJ45" s="44" t="s">
        <v>2621</v>
      </c>
      <c r="BK45" s="42">
        <v>12.69</v>
      </c>
      <c r="BL45" s="42">
        <v>1.37</v>
      </c>
      <c r="BM45" s="42">
        <v>1.61</v>
      </c>
      <c r="BN45" s="42">
        <v>3.04</v>
      </c>
      <c r="BO45" s="42">
        <v>1.61</v>
      </c>
      <c r="BP45" s="42">
        <v>2.59</v>
      </c>
      <c r="BQ45" s="42">
        <v>0.24</v>
      </c>
      <c r="BR45" s="46">
        <v>0.24</v>
      </c>
      <c r="BT45" s="44" t="s">
        <v>2621</v>
      </c>
      <c r="BU45" s="42">
        <v>0.85</v>
      </c>
      <c r="BV45" s="42">
        <v>0.45</v>
      </c>
      <c r="BW45" s="42">
        <v>0.2</v>
      </c>
      <c r="BX45" s="42">
        <v>2.59</v>
      </c>
      <c r="BY45" s="42">
        <v>2.21</v>
      </c>
      <c r="BZ45" s="42">
        <v>0.73</v>
      </c>
      <c r="CA45" s="42">
        <v>0.45</v>
      </c>
      <c r="CB45" s="46">
        <v>1.89</v>
      </c>
    </row>
    <row r="46" spans="2:80">
      <c r="B46" s="20" t="s">
        <v>520</v>
      </c>
      <c r="C46" s="64">
        <v>3.3259390382705201</v>
      </c>
      <c r="D46" s="42">
        <v>4.5900296215715901</v>
      </c>
      <c r="E46" s="42">
        <v>5.3214027185014103</v>
      </c>
      <c r="F46" s="42">
        <v>6.3948433315839104</v>
      </c>
      <c r="G46" s="42">
        <v>4.68941349714627</v>
      </c>
      <c r="H46" s="42">
        <v>5.4602864156073396</v>
      </c>
      <c r="I46" s="42">
        <v>1.7667012851208701</v>
      </c>
      <c r="J46" s="46">
        <v>2.7469908162404599</v>
      </c>
      <c r="L46" s="44" t="s">
        <v>2623</v>
      </c>
      <c r="M46" s="42">
        <v>2.83</v>
      </c>
      <c r="N46" s="42">
        <v>5.48</v>
      </c>
      <c r="O46" s="42">
        <v>5.21</v>
      </c>
      <c r="P46" s="42">
        <v>4.59</v>
      </c>
      <c r="Q46" s="42">
        <v>0</v>
      </c>
      <c r="R46" s="42">
        <v>3.71</v>
      </c>
      <c r="S46" s="42">
        <v>3.06</v>
      </c>
      <c r="T46" s="46">
        <v>3.46</v>
      </c>
      <c r="V46" s="44" t="s">
        <v>2625</v>
      </c>
      <c r="W46" s="42">
        <v>3.64</v>
      </c>
      <c r="X46" s="42">
        <v>4.29</v>
      </c>
      <c r="Y46" s="42">
        <v>4.1900000000000004</v>
      </c>
      <c r="Z46" s="42">
        <v>4.32</v>
      </c>
      <c r="AA46" s="42">
        <v>3.62</v>
      </c>
      <c r="AB46" s="42">
        <v>3.15</v>
      </c>
      <c r="AC46" s="42">
        <v>1.65</v>
      </c>
      <c r="AD46" s="46">
        <v>1.25</v>
      </c>
      <c r="AF46" s="44" t="s">
        <v>2624</v>
      </c>
      <c r="AG46" s="42">
        <v>4.16</v>
      </c>
      <c r="AH46" s="42">
        <v>0.32</v>
      </c>
      <c r="AI46" s="42">
        <v>3.75</v>
      </c>
      <c r="AJ46" s="42">
        <v>3.86</v>
      </c>
      <c r="AK46" s="42">
        <v>1.2</v>
      </c>
      <c r="AL46" s="42">
        <v>1.85</v>
      </c>
      <c r="AM46" s="42">
        <v>3.76</v>
      </c>
      <c r="AN46" s="46">
        <v>0</v>
      </c>
      <c r="AP46" s="44" t="s">
        <v>2621</v>
      </c>
      <c r="AQ46" s="42">
        <v>2.21</v>
      </c>
      <c r="AR46" s="42">
        <v>0</v>
      </c>
      <c r="AS46" s="42">
        <v>2.59</v>
      </c>
      <c r="AT46" s="42">
        <v>3.56</v>
      </c>
      <c r="AU46" s="42">
        <v>1.37</v>
      </c>
      <c r="AV46" s="42">
        <v>1.17</v>
      </c>
      <c r="AW46" s="42">
        <v>1.37</v>
      </c>
      <c r="AX46" s="46">
        <v>1.17</v>
      </c>
      <c r="AZ46" s="44" t="s">
        <v>2621</v>
      </c>
      <c r="BA46" s="42">
        <v>0.53</v>
      </c>
      <c r="BB46" s="42">
        <v>4.18</v>
      </c>
      <c r="BC46" s="42">
        <v>0.39</v>
      </c>
      <c r="BD46" s="42">
        <v>1.61</v>
      </c>
      <c r="BE46" s="42">
        <v>2.21</v>
      </c>
      <c r="BF46" s="42">
        <v>1.89</v>
      </c>
      <c r="BG46" s="42">
        <v>0.73</v>
      </c>
      <c r="BH46" s="46">
        <v>0</v>
      </c>
      <c r="BJ46" s="44" t="s">
        <v>2621</v>
      </c>
      <c r="BK46" s="42">
        <v>12.69</v>
      </c>
      <c r="BL46" s="42">
        <v>1.37</v>
      </c>
      <c r="BM46" s="42">
        <v>1.61</v>
      </c>
      <c r="BN46" s="42">
        <v>3.56</v>
      </c>
      <c r="BO46" s="42">
        <v>1.37</v>
      </c>
      <c r="BP46" s="42">
        <v>2.59</v>
      </c>
      <c r="BQ46" s="42">
        <v>0.28000000000000003</v>
      </c>
      <c r="BR46" s="46">
        <v>0.2</v>
      </c>
      <c r="BT46" s="44" t="s">
        <v>2621</v>
      </c>
      <c r="BU46" s="42">
        <v>0.73</v>
      </c>
      <c r="BV46" s="42">
        <v>0.45</v>
      </c>
      <c r="BW46" s="42">
        <v>0.15</v>
      </c>
      <c r="BX46" s="42">
        <v>1.17</v>
      </c>
      <c r="BY46" s="42">
        <v>2.21</v>
      </c>
      <c r="BZ46" s="42">
        <v>0.73</v>
      </c>
      <c r="CA46" s="42">
        <v>0.53</v>
      </c>
      <c r="CB46" s="46">
        <v>1.89</v>
      </c>
    </row>
    <row r="47" spans="2:80">
      <c r="B47" s="20" t="s">
        <v>525</v>
      </c>
      <c r="C47" s="64">
        <v>2.4955609617294701</v>
      </c>
      <c r="D47" s="42">
        <v>4.0993821431342798</v>
      </c>
      <c r="E47" s="42">
        <v>5.2790972814985802</v>
      </c>
      <c r="F47" s="42">
        <v>3.79715666841608</v>
      </c>
      <c r="G47" s="42">
        <v>3.8195865028537299</v>
      </c>
      <c r="H47" s="42">
        <v>3.5397135843926502</v>
      </c>
      <c r="I47" s="42">
        <v>1.7286833302637401</v>
      </c>
      <c r="J47" s="46">
        <v>1.7670091837595301</v>
      </c>
      <c r="L47" s="44" t="s">
        <v>2623</v>
      </c>
      <c r="M47" s="42">
        <v>2.86</v>
      </c>
      <c r="N47" s="42">
        <v>5.44</v>
      </c>
      <c r="O47" s="42">
        <v>5.19</v>
      </c>
      <c r="P47" s="42">
        <v>3.86</v>
      </c>
      <c r="Q47" s="42">
        <v>0</v>
      </c>
      <c r="R47" s="42">
        <v>3.75</v>
      </c>
      <c r="S47" s="42">
        <v>3.03</v>
      </c>
      <c r="T47" s="46">
        <v>3.42</v>
      </c>
      <c r="V47" s="44" t="s">
        <v>2625</v>
      </c>
      <c r="W47" s="42">
        <v>3.9</v>
      </c>
      <c r="X47" s="42">
        <v>4.28</v>
      </c>
      <c r="Y47" s="42">
        <v>4.12</v>
      </c>
      <c r="Z47" s="42">
        <v>4.34</v>
      </c>
      <c r="AA47" s="42">
        <v>3.59</v>
      </c>
      <c r="AB47" s="42">
        <v>3.11</v>
      </c>
      <c r="AC47" s="42">
        <v>1.64</v>
      </c>
      <c r="AD47" s="46">
        <v>1.26</v>
      </c>
      <c r="AF47" s="44" t="s">
        <v>2624</v>
      </c>
      <c r="AG47" s="42">
        <v>4.1500000000000004</v>
      </c>
      <c r="AH47" s="42">
        <v>6.11</v>
      </c>
      <c r="AI47" s="42">
        <v>3.79</v>
      </c>
      <c r="AJ47" s="42">
        <v>5.1100000000000003</v>
      </c>
      <c r="AK47" s="42">
        <v>5.45</v>
      </c>
      <c r="AL47" s="42">
        <v>1.86</v>
      </c>
      <c r="AM47" s="42">
        <v>3.73</v>
      </c>
      <c r="AN47" s="46">
        <v>3.18</v>
      </c>
      <c r="AP47" s="44" t="s">
        <v>2621</v>
      </c>
      <c r="AQ47" s="42">
        <v>2.21</v>
      </c>
      <c r="AR47" s="42">
        <v>1.17</v>
      </c>
      <c r="AS47" s="42">
        <v>2.59</v>
      </c>
      <c r="AT47" s="42">
        <v>3.56</v>
      </c>
      <c r="AU47" s="42">
        <v>1.37</v>
      </c>
      <c r="AV47" s="42">
        <v>1.17</v>
      </c>
      <c r="AW47" s="42">
        <v>0.39</v>
      </c>
      <c r="AX47" s="46">
        <v>0</v>
      </c>
      <c r="AZ47" s="44" t="s">
        <v>2621</v>
      </c>
      <c r="BA47" s="42">
        <v>0.53</v>
      </c>
      <c r="BB47" s="42">
        <v>0.45</v>
      </c>
      <c r="BC47" s="42">
        <v>0.39</v>
      </c>
      <c r="BD47" s="42">
        <v>3.56</v>
      </c>
      <c r="BE47" s="42">
        <v>2.21</v>
      </c>
      <c r="BF47" s="42">
        <v>1.89</v>
      </c>
      <c r="BG47" s="42">
        <v>0.73</v>
      </c>
      <c r="BH47" s="46">
        <v>1.17</v>
      </c>
      <c r="BJ47" s="44" t="s">
        <v>2621</v>
      </c>
      <c r="BK47" s="42">
        <v>12.69</v>
      </c>
      <c r="BL47" s="42">
        <v>0</v>
      </c>
      <c r="BM47" s="42">
        <v>1.61</v>
      </c>
      <c r="BN47" s="42">
        <v>0</v>
      </c>
      <c r="BO47" s="42">
        <v>1.61</v>
      </c>
      <c r="BP47" s="42">
        <v>2.21</v>
      </c>
      <c r="BQ47" s="42">
        <v>0.28000000000000003</v>
      </c>
      <c r="BR47" s="46">
        <v>0.24</v>
      </c>
      <c r="BT47" s="44" t="s">
        <v>2621</v>
      </c>
      <c r="BU47" s="42">
        <v>0.85</v>
      </c>
      <c r="BV47" s="42">
        <v>0.45</v>
      </c>
      <c r="BW47" s="42">
        <v>0.15</v>
      </c>
      <c r="BX47" s="42">
        <v>1.17</v>
      </c>
      <c r="BY47" s="42">
        <v>1.89</v>
      </c>
      <c r="BZ47" s="42">
        <v>0.73</v>
      </c>
      <c r="CA47" s="42">
        <v>0.28000000000000003</v>
      </c>
      <c r="CB47" s="46">
        <v>2.21</v>
      </c>
    </row>
    <row r="48" spans="2:80" ht="15.75" thickBot="1">
      <c r="B48" s="67" t="s">
        <v>937</v>
      </c>
      <c r="C48" s="65">
        <v>2.9973684210526299</v>
      </c>
      <c r="D48" s="49">
        <v>4.3872727272727197</v>
      </c>
      <c r="E48" s="49">
        <v>5.2975757575757498</v>
      </c>
      <c r="F48" s="49">
        <v>5.4936111111111101</v>
      </c>
      <c r="G48" s="49">
        <v>4.3241025641025601</v>
      </c>
      <c r="H48" s="49">
        <v>4.7966666666666598</v>
      </c>
      <c r="I48" s="49">
        <v>1.7490322580645099</v>
      </c>
      <c r="J48" s="50">
        <v>2.2533333333333299</v>
      </c>
      <c r="L48" s="44" t="s">
        <v>2623</v>
      </c>
      <c r="M48" s="42">
        <v>2.86</v>
      </c>
      <c r="N48" s="42">
        <v>5.49</v>
      </c>
      <c r="O48" s="42">
        <v>5.16</v>
      </c>
      <c r="P48" s="42">
        <v>6.02</v>
      </c>
      <c r="Q48" s="42">
        <v>5.38</v>
      </c>
      <c r="R48" s="42">
        <v>3.74</v>
      </c>
      <c r="S48" s="42">
        <v>3.04</v>
      </c>
      <c r="T48" s="46">
        <v>3.43</v>
      </c>
      <c r="V48" s="44" t="s">
        <v>2625</v>
      </c>
      <c r="W48" s="42">
        <v>3.98</v>
      </c>
      <c r="X48" s="42">
        <v>4.33</v>
      </c>
      <c r="Y48" s="42">
        <v>4.1900000000000004</v>
      </c>
      <c r="Z48" s="42">
        <v>4.32</v>
      </c>
      <c r="AA48" s="42">
        <v>3.57</v>
      </c>
      <c r="AB48" s="42">
        <v>2.69</v>
      </c>
      <c r="AC48" s="42">
        <v>1.63</v>
      </c>
      <c r="AD48" s="46">
        <v>1.32</v>
      </c>
      <c r="AF48" s="44" t="s">
        <v>2624</v>
      </c>
      <c r="AG48" s="42">
        <v>4.1500000000000004</v>
      </c>
      <c r="AH48" s="42">
        <v>6.1</v>
      </c>
      <c r="AI48" s="42">
        <v>3.78</v>
      </c>
      <c r="AJ48" s="42">
        <v>3.79</v>
      </c>
      <c r="AK48" s="42">
        <v>5.49</v>
      </c>
      <c r="AL48" s="42">
        <v>1.84</v>
      </c>
      <c r="AM48" s="42">
        <v>3.72</v>
      </c>
      <c r="AN48" s="46">
        <v>3.12</v>
      </c>
      <c r="AP48" s="44" t="s">
        <v>2621</v>
      </c>
      <c r="AQ48" s="42">
        <v>2.21</v>
      </c>
      <c r="AR48" s="42">
        <v>1.17</v>
      </c>
      <c r="AS48" s="42">
        <v>2.59</v>
      </c>
      <c r="AT48" s="42">
        <v>2.59</v>
      </c>
      <c r="AU48" s="42">
        <v>1.37</v>
      </c>
      <c r="AV48" s="42">
        <v>1.37</v>
      </c>
      <c r="AW48" s="42">
        <v>1.17</v>
      </c>
      <c r="AX48" s="46">
        <v>0</v>
      </c>
      <c r="AZ48" s="44" t="s">
        <v>2621</v>
      </c>
      <c r="BA48" s="42">
        <v>1.17</v>
      </c>
      <c r="BB48" s="42">
        <v>0.45</v>
      </c>
      <c r="BC48" s="42">
        <v>0.39</v>
      </c>
      <c r="BD48" s="42">
        <v>1.61</v>
      </c>
      <c r="BE48" s="42">
        <v>20.43</v>
      </c>
      <c r="BF48" s="42">
        <v>1.61</v>
      </c>
      <c r="BG48" s="42">
        <v>0.73</v>
      </c>
      <c r="BH48" s="46">
        <v>1.17</v>
      </c>
      <c r="BJ48" s="44" t="s">
        <v>2621</v>
      </c>
      <c r="BK48" s="42">
        <v>12.69</v>
      </c>
      <c r="BL48" s="42">
        <v>1.61</v>
      </c>
      <c r="BM48" s="42">
        <v>1.61</v>
      </c>
      <c r="BN48" s="42">
        <v>3.56</v>
      </c>
      <c r="BO48" s="42">
        <v>1.61</v>
      </c>
      <c r="BP48" s="42">
        <v>2.59</v>
      </c>
      <c r="BQ48" s="42">
        <v>0.2</v>
      </c>
      <c r="BR48" s="46">
        <v>0.2</v>
      </c>
      <c r="BT48" s="44" t="s">
        <v>2621</v>
      </c>
      <c r="BU48" s="42">
        <v>0.73</v>
      </c>
      <c r="BV48" s="42">
        <v>0.45</v>
      </c>
      <c r="BW48" s="42">
        <v>0.15</v>
      </c>
      <c r="BX48" s="42">
        <v>0</v>
      </c>
      <c r="BY48" s="42">
        <v>1.89</v>
      </c>
      <c r="BZ48" s="42">
        <v>0.62</v>
      </c>
      <c r="CA48" s="42">
        <v>0.24</v>
      </c>
      <c r="CB48" s="46">
        <v>1.89</v>
      </c>
    </row>
    <row r="49" spans="2:80" ht="15.75" thickBot="1">
      <c r="L49" s="44" t="s">
        <v>2624</v>
      </c>
      <c r="M49" s="42">
        <v>2.86</v>
      </c>
      <c r="N49" s="42">
        <v>4.03</v>
      </c>
      <c r="O49" s="42">
        <v>5.18</v>
      </c>
      <c r="P49" s="42">
        <v>6.07</v>
      </c>
      <c r="Q49" s="42">
        <v>0</v>
      </c>
      <c r="R49" s="42">
        <v>3.72</v>
      </c>
      <c r="S49" s="42">
        <v>3.04</v>
      </c>
      <c r="T49" s="46">
        <v>3.47</v>
      </c>
      <c r="V49" s="66" t="s">
        <v>936</v>
      </c>
      <c r="W49" s="63">
        <v>3.7908888888888801</v>
      </c>
      <c r="X49" s="57">
        <v>4.1906666666666599</v>
      </c>
      <c r="Y49" s="57">
        <v>3.8635555555555499</v>
      </c>
      <c r="Z49" s="57">
        <v>4.07522727272727</v>
      </c>
      <c r="AA49" s="57">
        <v>3.5629545454545402</v>
      </c>
      <c r="AB49" s="57">
        <v>3.0693333333333301</v>
      </c>
      <c r="AC49" s="57">
        <v>1.59622222222222</v>
      </c>
      <c r="AD49" s="58">
        <v>1.2393333333333301</v>
      </c>
      <c r="AF49" s="44" t="s">
        <v>2625</v>
      </c>
      <c r="AG49" s="42">
        <v>4.13</v>
      </c>
      <c r="AH49" s="42">
        <v>6.1</v>
      </c>
      <c r="AI49" s="42">
        <v>3.79</v>
      </c>
      <c r="AJ49" s="42">
        <v>5.22</v>
      </c>
      <c r="AK49" s="42">
        <v>5.46</v>
      </c>
      <c r="AL49" s="42">
        <v>1.87</v>
      </c>
      <c r="AM49" s="42">
        <v>3.81</v>
      </c>
      <c r="AN49" s="46">
        <v>3.11</v>
      </c>
      <c r="AP49" s="44" t="s">
        <v>2623</v>
      </c>
      <c r="AQ49" s="42">
        <v>2.21</v>
      </c>
      <c r="AR49" s="42">
        <v>1.17</v>
      </c>
      <c r="AS49" s="42">
        <v>0</v>
      </c>
      <c r="AT49" s="42">
        <v>2.59</v>
      </c>
      <c r="AU49" s="42">
        <v>1.61</v>
      </c>
      <c r="AV49" s="42">
        <v>99.99</v>
      </c>
      <c r="AW49" s="42">
        <v>0.33</v>
      </c>
      <c r="AX49" s="46">
        <v>2.59</v>
      </c>
      <c r="AZ49" s="44" t="s">
        <v>2623</v>
      </c>
      <c r="BA49" s="42">
        <v>0.62</v>
      </c>
      <c r="BB49" s="42">
        <v>4.18</v>
      </c>
      <c r="BC49" s="42">
        <v>0.39</v>
      </c>
      <c r="BD49" s="42">
        <v>1.61</v>
      </c>
      <c r="BE49" s="42">
        <v>2.59</v>
      </c>
      <c r="BF49" s="42">
        <v>1.89</v>
      </c>
      <c r="BG49" s="42">
        <v>0.73</v>
      </c>
      <c r="BH49" s="46">
        <v>1.17</v>
      </c>
      <c r="BJ49" s="44" t="s">
        <v>2623</v>
      </c>
      <c r="BK49" s="42">
        <v>12.69</v>
      </c>
      <c r="BL49" s="42">
        <v>1.61</v>
      </c>
      <c r="BM49" s="42">
        <v>1.61</v>
      </c>
      <c r="BN49" s="42">
        <v>3.56</v>
      </c>
      <c r="BO49" s="42">
        <v>1.89</v>
      </c>
      <c r="BP49" s="42">
        <v>2.59</v>
      </c>
      <c r="BQ49" s="42">
        <v>0.17</v>
      </c>
      <c r="BR49" s="46">
        <v>0.2</v>
      </c>
      <c r="BT49" s="44" t="s">
        <v>2623</v>
      </c>
      <c r="BU49" s="42">
        <v>0.73</v>
      </c>
      <c r="BV49" s="42">
        <v>0.45</v>
      </c>
      <c r="BW49" s="42">
        <v>0.15</v>
      </c>
      <c r="BX49" s="42">
        <v>0</v>
      </c>
      <c r="BY49" s="42">
        <v>2.21</v>
      </c>
      <c r="BZ49" s="42">
        <v>0.73</v>
      </c>
      <c r="CA49" s="42">
        <v>0.45</v>
      </c>
      <c r="CB49" s="46">
        <v>2.21</v>
      </c>
    </row>
    <row r="50" spans="2:80">
      <c r="B50" s="51" t="s">
        <v>1673</v>
      </c>
      <c r="C50" s="8">
        <v>3.04</v>
      </c>
      <c r="D50" s="8">
        <v>4.01</v>
      </c>
      <c r="E50" s="8">
        <v>5.24</v>
      </c>
      <c r="F50" s="8">
        <v>5.77</v>
      </c>
      <c r="G50" s="8">
        <v>4.1900000000000004</v>
      </c>
      <c r="H50" s="8">
        <v>4.38</v>
      </c>
      <c r="I50" s="8">
        <v>1.55</v>
      </c>
      <c r="J50" s="9">
        <v>2.41</v>
      </c>
      <c r="L50" s="44" t="s">
        <v>2624</v>
      </c>
      <c r="M50" s="42">
        <v>2.84</v>
      </c>
      <c r="N50" s="42">
        <v>2.63</v>
      </c>
      <c r="O50" s="42">
        <v>5.2</v>
      </c>
      <c r="P50" s="42">
        <v>6.1</v>
      </c>
      <c r="Q50" s="42">
        <v>0</v>
      </c>
      <c r="R50" s="42">
        <v>3.74</v>
      </c>
      <c r="S50" s="42">
        <v>3.1</v>
      </c>
      <c r="T50" s="46">
        <v>3.46</v>
      </c>
      <c r="V50" s="20" t="s">
        <v>515</v>
      </c>
      <c r="W50" s="64">
        <v>0.473534333952775</v>
      </c>
      <c r="X50" s="42">
        <v>0.48724805455400899</v>
      </c>
      <c r="Y50" s="42">
        <v>0.92024913427604005</v>
      </c>
      <c r="Z50" s="42">
        <v>0.80220573374677195</v>
      </c>
      <c r="AA50" s="42">
        <v>0.25008707161392701</v>
      </c>
      <c r="AB50" s="42">
        <v>0.25085099605587002</v>
      </c>
      <c r="AC50" s="42">
        <v>0.19166276968663101</v>
      </c>
      <c r="AD50" s="46">
        <v>9.6411156569720199E-2</v>
      </c>
      <c r="AF50" s="44" t="s">
        <v>2625</v>
      </c>
      <c r="AG50" s="42">
        <v>4.13</v>
      </c>
      <c r="AH50" s="42">
        <v>6.07</v>
      </c>
      <c r="AI50" s="42">
        <v>3.76</v>
      </c>
      <c r="AJ50" s="42">
        <v>3.78</v>
      </c>
      <c r="AK50" s="42">
        <v>4.6900000000000004</v>
      </c>
      <c r="AL50" s="42">
        <v>1.84</v>
      </c>
      <c r="AM50" s="42">
        <v>3.71</v>
      </c>
      <c r="AN50" s="46">
        <v>3.04</v>
      </c>
      <c r="AP50" s="44" t="s">
        <v>2623</v>
      </c>
      <c r="AQ50" s="42">
        <v>2.59</v>
      </c>
      <c r="AR50" s="42">
        <v>0</v>
      </c>
      <c r="AS50" s="42">
        <v>2.21</v>
      </c>
      <c r="AT50" s="42">
        <v>3.04</v>
      </c>
      <c r="AU50" s="42">
        <v>1.37</v>
      </c>
      <c r="AV50" s="42">
        <v>1.37</v>
      </c>
      <c r="AW50" s="42">
        <v>0.33</v>
      </c>
      <c r="AX50" s="46">
        <v>0</v>
      </c>
      <c r="AZ50" s="44" t="s">
        <v>2623</v>
      </c>
      <c r="BA50" s="42">
        <v>0.62</v>
      </c>
      <c r="BB50" s="42">
        <v>4.18</v>
      </c>
      <c r="BC50" s="42">
        <v>0.39</v>
      </c>
      <c r="BD50" s="42">
        <v>1.61</v>
      </c>
      <c r="BE50" s="42">
        <v>2.21</v>
      </c>
      <c r="BF50" s="42">
        <v>1.89</v>
      </c>
      <c r="BG50" s="42">
        <v>0.73</v>
      </c>
      <c r="BH50" s="46">
        <v>1.17</v>
      </c>
      <c r="BJ50" s="44" t="s">
        <v>2623</v>
      </c>
      <c r="BK50" s="42">
        <v>10.83</v>
      </c>
      <c r="BL50" s="42">
        <v>1.17</v>
      </c>
      <c r="BM50" s="42">
        <v>10.83</v>
      </c>
      <c r="BN50" s="42">
        <v>1.89</v>
      </c>
      <c r="BO50" s="42">
        <v>1.37</v>
      </c>
      <c r="BP50" s="42">
        <v>3.56</v>
      </c>
      <c r="BQ50" s="42">
        <v>0.2</v>
      </c>
      <c r="BR50" s="46">
        <v>0.53</v>
      </c>
      <c r="BT50" s="44" t="s">
        <v>2623</v>
      </c>
      <c r="BU50" s="42">
        <v>0.85</v>
      </c>
      <c r="BV50" s="42">
        <v>0.45</v>
      </c>
      <c r="BW50" s="42">
        <v>0.15</v>
      </c>
      <c r="BX50" s="42">
        <v>1.17</v>
      </c>
      <c r="BY50" s="42">
        <v>2.21</v>
      </c>
      <c r="BZ50" s="42">
        <v>0.33</v>
      </c>
      <c r="CA50" s="42">
        <v>0.24</v>
      </c>
      <c r="CB50" s="46">
        <v>1.89</v>
      </c>
    </row>
    <row r="51" spans="2:80">
      <c r="B51" s="52" t="s">
        <v>945</v>
      </c>
      <c r="C51" s="11">
        <f t="shared" ref="C51:J51" si="0">C50-C48</f>
        <v>4.263157894737013E-2</v>
      </c>
      <c r="D51" s="11">
        <f t="shared" si="0"/>
        <v>-0.37727272727271988</v>
      </c>
      <c r="E51" s="11">
        <f t="shared" si="0"/>
        <v>-5.757575757574962E-2</v>
      </c>
      <c r="F51" s="11">
        <f t="shared" si="0"/>
        <v>0.27638888888888946</v>
      </c>
      <c r="G51" s="11">
        <f t="shared" si="0"/>
        <v>-0.13410256410255972</v>
      </c>
      <c r="H51" s="11">
        <f t="shared" si="0"/>
        <v>-0.41666666666665986</v>
      </c>
      <c r="I51" s="11">
        <f t="shared" si="0"/>
        <v>-0.19903225806450986</v>
      </c>
      <c r="J51" s="12">
        <f t="shared" si="0"/>
        <v>0.15666666666667028</v>
      </c>
      <c r="L51" s="44" t="s">
        <v>2624</v>
      </c>
      <c r="M51" s="42">
        <v>2.85</v>
      </c>
      <c r="N51" s="42">
        <v>5.49</v>
      </c>
      <c r="O51" s="42">
        <v>5.17</v>
      </c>
      <c r="P51" s="42">
        <v>6.06</v>
      </c>
      <c r="Q51" s="42">
        <v>0</v>
      </c>
      <c r="R51" s="42">
        <v>3.72</v>
      </c>
      <c r="S51" s="42">
        <v>3.04</v>
      </c>
      <c r="T51" s="46">
        <v>3.46</v>
      </c>
      <c r="V51" s="20" t="s">
        <v>520</v>
      </c>
      <c r="W51" s="64">
        <v>4.2644232228416596</v>
      </c>
      <c r="X51" s="42">
        <v>4.6779147212206702</v>
      </c>
      <c r="Y51" s="42">
        <v>4.78380468983159</v>
      </c>
      <c r="Z51" s="42">
        <v>4.8774330064740399</v>
      </c>
      <c r="AA51" s="42">
        <v>3.8130416170684698</v>
      </c>
      <c r="AB51" s="42">
        <v>3.3201843293892002</v>
      </c>
      <c r="AC51" s="42">
        <v>1.78788499190885</v>
      </c>
      <c r="AD51" s="46">
        <v>1.3357444899030499</v>
      </c>
      <c r="AF51" s="44" t="s">
        <v>2625</v>
      </c>
      <c r="AG51" s="42">
        <v>4.16</v>
      </c>
      <c r="AH51" s="42">
        <v>3.47</v>
      </c>
      <c r="AI51" s="42">
        <v>3.73</v>
      </c>
      <c r="AJ51" s="42">
        <v>5.14</v>
      </c>
      <c r="AK51" s="42">
        <v>5.46</v>
      </c>
      <c r="AL51" s="42">
        <v>1.83</v>
      </c>
      <c r="AM51" s="42">
        <v>3.28</v>
      </c>
      <c r="AN51" s="46">
        <v>3.14</v>
      </c>
      <c r="AP51" s="44" t="s">
        <v>2623</v>
      </c>
      <c r="AQ51" s="42">
        <v>2.59</v>
      </c>
      <c r="AR51" s="42">
        <v>1.17</v>
      </c>
      <c r="AS51" s="42">
        <v>2.59</v>
      </c>
      <c r="AT51" s="42">
        <v>3.56</v>
      </c>
      <c r="AU51" s="42">
        <v>1.37</v>
      </c>
      <c r="AV51" s="42">
        <v>1.17</v>
      </c>
      <c r="AW51" s="42">
        <v>0.33</v>
      </c>
      <c r="AX51" s="46">
        <v>0</v>
      </c>
      <c r="AZ51" s="44" t="s">
        <v>2623</v>
      </c>
      <c r="BA51" s="42">
        <v>0.53</v>
      </c>
      <c r="BB51" s="42">
        <v>0.45</v>
      </c>
      <c r="BC51" s="42">
        <v>0.39</v>
      </c>
      <c r="BD51" s="42">
        <v>1.61</v>
      </c>
      <c r="BE51" s="42">
        <v>0.73</v>
      </c>
      <c r="BF51" s="42">
        <v>1.89</v>
      </c>
      <c r="BG51" s="42">
        <v>0.62</v>
      </c>
      <c r="BH51" s="46">
        <v>4.18</v>
      </c>
      <c r="BJ51" s="44" t="s">
        <v>2623</v>
      </c>
      <c r="BK51" s="42">
        <v>12.69</v>
      </c>
      <c r="BL51" s="42">
        <v>1.61</v>
      </c>
      <c r="BM51" s="42">
        <v>0.2</v>
      </c>
      <c r="BN51" s="42">
        <v>3.56</v>
      </c>
      <c r="BO51" s="42">
        <v>1.89</v>
      </c>
      <c r="BP51" s="42">
        <v>2.59</v>
      </c>
      <c r="BQ51" s="42">
        <v>0.2</v>
      </c>
      <c r="BR51" s="46">
        <v>0.2</v>
      </c>
      <c r="BT51" s="44" t="s">
        <v>2623</v>
      </c>
      <c r="BU51" s="42">
        <v>0.73</v>
      </c>
      <c r="BV51" s="42">
        <v>0.45</v>
      </c>
      <c r="BW51" s="42">
        <v>0.11</v>
      </c>
      <c r="BX51" s="42">
        <v>1.17</v>
      </c>
      <c r="BY51" s="42">
        <v>2.21</v>
      </c>
      <c r="BZ51" s="42">
        <v>0.62</v>
      </c>
      <c r="CA51" s="42">
        <v>0.28000000000000003</v>
      </c>
      <c r="CB51" s="46">
        <v>2.21</v>
      </c>
    </row>
    <row r="52" spans="2:80" ht="15.75" thickBot="1">
      <c r="B52" s="53" t="s">
        <v>946</v>
      </c>
      <c r="C52" s="14">
        <f>(C51/C48)*100</f>
        <v>1.4223002633889954</v>
      </c>
      <c r="D52" s="14">
        <f t="shared" ref="D52:H52" si="1">(D51/D48)*100</f>
        <v>-8.5992540406131912</v>
      </c>
      <c r="E52" s="14">
        <f t="shared" si="1"/>
        <v>-1.0868321702320902</v>
      </c>
      <c r="F52" s="14">
        <f t="shared" si="1"/>
        <v>5.0310967285230435</v>
      </c>
      <c r="G52" s="14">
        <f>(G51/G48)*100</f>
        <v>-3.1012808349145127</v>
      </c>
      <c r="H52" s="14">
        <f t="shared" si="1"/>
        <v>-8.6865879082695017</v>
      </c>
      <c r="I52" s="14">
        <f>(I51/I48)*100</f>
        <v>-11.379564736259365</v>
      </c>
      <c r="J52" s="15">
        <f>(J51/J48)*100</f>
        <v>6.9526627218936623</v>
      </c>
      <c r="L52" s="44" t="s">
        <v>2624</v>
      </c>
      <c r="M52" s="42">
        <v>2.83</v>
      </c>
      <c r="N52" s="42">
        <v>5.53</v>
      </c>
      <c r="O52" s="42">
        <v>5.14</v>
      </c>
      <c r="P52" s="42">
        <v>6.09</v>
      </c>
      <c r="Q52" s="42">
        <v>0</v>
      </c>
      <c r="R52" s="42">
        <v>3.72</v>
      </c>
      <c r="S52" s="42">
        <v>3.04</v>
      </c>
      <c r="T52" s="46">
        <v>3.47</v>
      </c>
      <c r="V52" s="20" t="s">
        <v>525</v>
      </c>
      <c r="W52" s="64">
        <v>3.3173545549361099</v>
      </c>
      <c r="X52" s="42">
        <v>3.70341861211265</v>
      </c>
      <c r="Y52" s="42">
        <v>2.9433064212795101</v>
      </c>
      <c r="Z52" s="42">
        <v>3.27302153898049</v>
      </c>
      <c r="AA52" s="42">
        <v>3.3128674738406101</v>
      </c>
      <c r="AB52" s="42">
        <v>2.8184823372774601</v>
      </c>
      <c r="AC52" s="42">
        <v>1.40455945253559</v>
      </c>
      <c r="AD52" s="46">
        <v>1.14292217676361</v>
      </c>
      <c r="AF52" s="44" t="s">
        <v>2625</v>
      </c>
      <c r="AG52" s="42">
        <v>4.16</v>
      </c>
      <c r="AH52" s="42">
        <v>6.08</v>
      </c>
      <c r="AI52" s="42">
        <v>3.76</v>
      </c>
      <c r="AJ52" s="42">
        <v>5.19</v>
      </c>
      <c r="AK52" s="42">
        <v>5.34</v>
      </c>
      <c r="AL52" s="42">
        <v>1.86</v>
      </c>
      <c r="AM52" s="42">
        <v>2.61</v>
      </c>
      <c r="AN52" s="46">
        <v>0</v>
      </c>
      <c r="AP52" s="44" t="s">
        <v>2623</v>
      </c>
      <c r="AQ52" s="42">
        <v>2.21</v>
      </c>
      <c r="AR52" s="42">
        <v>0</v>
      </c>
      <c r="AS52" s="42">
        <v>2.21</v>
      </c>
      <c r="AT52" s="42">
        <v>14.87</v>
      </c>
      <c r="AU52" s="42">
        <v>1.37</v>
      </c>
      <c r="AV52" s="42">
        <v>1.37</v>
      </c>
      <c r="AW52" s="42">
        <v>1.37</v>
      </c>
      <c r="AX52" s="46">
        <v>0</v>
      </c>
      <c r="AZ52" s="44" t="s">
        <v>2623</v>
      </c>
      <c r="BA52" s="42">
        <v>0.53</v>
      </c>
      <c r="BB52" s="42">
        <v>0.39</v>
      </c>
      <c r="BC52" s="42">
        <v>0.33</v>
      </c>
      <c r="BD52" s="42">
        <v>1.61</v>
      </c>
      <c r="BE52" s="42">
        <v>2.21</v>
      </c>
      <c r="BF52" s="42">
        <v>1.89</v>
      </c>
      <c r="BG52" s="42">
        <v>0.62</v>
      </c>
      <c r="BH52" s="46">
        <v>1.37</v>
      </c>
      <c r="BJ52" s="44" t="s">
        <v>2623</v>
      </c>
      <c r="BK52" s="42">
        <v>12.69</v>
      </c>
      <c r="BL52" s="42">
        <v>1.61</v>
      </c>
      <c r="BM52" s="42">
        <v>1.61</v>
      </c>
      <c r="BN52" s="42">
        <v>0</v>
      </c>
      <c r="BO52" s="42">
        <v>1.89</v>
      </c>
      <c r="BP52" s="42">
        <v>2.59</v>
      </c>
      <c r="BQ52" s="42">
        <v>0.2</v>
      </c>
      <c r="BR52" s="46">
        <v>0.2</v>
      </c>
      <c r="BT52" s="44" t="s">
        <v>2623</v>
      </c>
      <c r="BU52" s="42">
        <v>0.85</v>
      </c>
      <c r="BV52" s="42">
        <v>1.37</v>
      </c>
      <c r="BW52" s="42">
        <v>0.15</v>
      </c>
      <c r="BX52" s="42">
        <v>1.17</v>
      </c>
      <c r="BY52" s="42">
        <v>1.89</v>
      </c>
      <c r="BZ52" s="42">
        <v>0.62</v>
      </c>
      <c r="CA52" s="42">
        <v>0.39</v>
      </c>
      <c r="CB52" s="46">
        <v>2.21</v>
      </c>
    </row>
    <row r="53" spans="2:80" ht="15.75" thickBot="1">
      <c r="L53" s="44" t="s">
        <v>2624</v>
      </c>
      <c r="M53" s="42">
        <v>2.81</v>
      </c>
      <c r="N53" s="42">
        <v>5.44</v>
      </c>
      <c r="O53" s="42">
        <v>5.18</v>
      </c>
      <c r="P53" s="42">
        <v>6.07</v>
      </c>
      <c r="Q53" s="42">
        <v>0</v>
      </c>
      <c r="R53" s="42">
        <v>3.75</v>
      </c>
      <c r="S53" s="42">
        <v>3.09</v>
      </c>
      <c r="T53" s="46">
        <v>3.41</v>
      </c>
      <c r="V53" s="67" t="s">
        <v>937</v>
      </c>
      <c r="W53" s="65">
        <v>3.90880952380952</v>
      </c>
      <c r="X53" s="49">
        <v>4.2760465116279001</v>
      </c>
      <c r="Y53" s="49">
        <v>4.1424390243902396</v>
      </c>
      <c r="Z53" s="49">
        <v>4.3089999999999904</v>
      </c>
      <c r="AA53" s="49">
        <v>3.6006976744185999</v>
      </c>
      <c r="AB53" s="49">
        <v>3.1316666666666602</v>
      </c>
      <c r="AC53" s="49">
        <v>1.63186046511627</v>
      </c>
      <c r="AD53" s="50">
        <v>1.24857142857142</v>
      </c>
      <c r="AF53" s="44" t="s">
        <v>2625</v>
      </c>
      <c r="AG53" s="42">
        <v>4.1500000000000004</v>
      </c>
      <c r="AH53" s="42">
        <v>6.06</v>
      </c>
      <c r="AI53" s="42">
        <v>3.76</v>
      </c>
      <c r="AJ53" s="42">
        <v>4.2699999999999996</v>
      </c>
      <c r="AK53" s="42">
        <v>0.48</v>
      </c>
      <c r="AL53" s="42">
        <v>1.86</v>
      </c>
      <c r="AM53" s="42">
        <v>3.74</v>
      </c>
      <c r="AN53" s="46">
        <v>3.21</v>
      </c>
      <c r="AP53" s="44" t="s">
        <v>2623</v>
      </c>
      <c r="AQ53" s="42">
        <v>0</v>
      </c>
      <c r="AR53" s="42">
        <v>1.17</v>
      </c>
      <c r="AS53" s="42">
        <v>2.21</v>
      </c>
      <c r="AT53" s="42">
        <v>4.18</v>
      </c>
      <c r="AU53" s="42">
        <v>1.37</v>
      </c>
      <c r="AV53" s="42">
        <v>1.17</v>
      </c>
      <c r="AW53" s="42">
        <v>1.17</v>
      </c>
      <c r="AX53" s="46">
        <v>0</v>
      </c>
      <c r="AZ53" s="44" t="s">
        <v>2623</v>
      </c>
      <c r="BA53" s="42">
        <v>0.53</v>
      </c>
      <c r="BB53" s="42">
        <v>4.18</v>
      </c>
      <c r="BC53" s="42">
        <v>0.39</v>
      </c>
      <c r="BD53" s="42">
        <v>1.37</v>
      </c>
      <c r="BE53" s="42">
        <v>2.59</v>
      </c>
      <c r="BF53" s="42">
        <v>1.89</v>
      </c>
      <c r="BG53" s="42">
        <v>0.62</v>
      </c>
      <c r="BH53" s="46">
        <v>1.17</v>
      </c>
      <c r="BJ53" s="44" t="s">
        <v>2623</v>
      </c>
      <c r="BK53" s="42">
        <v>12.69</v>
      </c>
      <c r="BL53" s="42">
        <v>1.37</v>
      </c>
      <c r="BM53" s="42">
        <v>1.61</v>
      </c>
      <c r="BN53" s="42">
        <v>3.56</v>
      </c>
      <c r="BO53" s="42">
        <v>1.61</v>
      </c>
      <c r="BP53" s="42">
        <v>2.21</v>
      </c>
      <c r="BQ53" s="42">
        <v>0.24</v>
      </c>
      <c r="BR53" s="46">
        <v>0.2</v>
      </c>
      <c r="BT53" s="44" t="s">
        <v>2623</v>
      </c>
      <c r="BU53" s="42">
        <v>0.85</v>
      </c>
      <c r="BV53" s="42">
        <v>1.37</v>
      </c>
      <c r="BW53" s="42">
        <v>0.15</v>
      </c>
      <c r="BX53" s="42">
        <v>1.17</v>
      </c>
      <c r="BY53" s="42">
        <v>2.21</v>
      </c>
      <c r="BZ53" s="42">
        <v>0.73</v>
      </c>
      <c r="CA53" s="42">
        <v>0.24</v>
      </c>
      <c r="CB53" s="46">
        <v>2.21</v>
      </c>
    </row>
    <row r="54" spans="2:80" ht="30.75" thickBot="1">
      <c r="B54" s="82" t="s">
        <v>553</v>
      </c>
      <c r="C54" s="8">
        <v>2.99</v>
      </c>
      <c r="D54" s="8">
        <v>4.18</v>
      </c>
      <c r="E54" s="8">
        <v>5.28</v>
      </c>
      <c r="F54" s="8">
        <v>5.69</v>
      </c>
      <c r="G54" s="8">
        <v>4.22</v>
      </c>
      <c r="H54" s="8">
        <v>4.3899999999999997</v>
      </c>
      <c r="I54" s="8">
        <v>1.62</v>
      </c>
      <c r="J54" s="9">
        <v>2.44</v>
      </c>
      <c r="L54" s="44" t="s">
        <v>2625</v>
      </c>
      <c r="M54" s="42">
        <v>2.86</v>
      </c>
      <c r="N54" s="42">
        <v>5.48</v>
      </c>
      <c r="O54" s="42">
        <v>5.17</v>
      </c>
      <c r="P54" s="42">
        <v>6.03</v>
      </c>
      <c r="Q54" s="42">
        <v>0</v>
      </c>
      <c r="R54" s="42">
        <v>3.73</v>
      </c>
      <c r="S54" s="42">
        <v>3.07</v>
      </c>
      <c r="T54" s="46">
        <v>3.49</v>
      </c>
      <c r="AF54" s="66" t="s">
        <v>936</v>
      </c>
      <c r="AG54" s="63">
        <v>3.9607999999999999</v>
      </c>
      <c r="AH54" s="57">
        <v>5.6050000000000004</v>
      </c>
      <c r="AI54" s="57">
        <v>3.4921999999999902</v>
      </c>
      <c r="AJ54" s="57">
        <v>4.8220000000000001</v>
      </c>
      <c r="AK54" s="57">
        <v>5.0455999999999896</v>
      </c>
      <c r="AL54" s="57">
        <v>1.8188</v>
      </c>
      <c r="AM54" s="57">
        <v>3.4992000000000001</v>
      </c>
      <c r="AN54" s="58">
        <v>3.19</v>
      </c>
      <c r="AP54" s="44" t="s">
        <v>2624</v>
      </c>
      <c r="AQ54" s="42">
        <v>2.59</v>
      </c>
      <c r="AR54" s="42">
        <v>0</v>
      </c>
      <c r="AS54" s="42">
        <v>2.21</v>
      </c>
      <c r="AT54" s="42">
        <v>3.04</v>
      </c>
      <c r="AU54" s="42">
        <v>1.37</v>
      </c>
      <c r="AV54" s="42">
        <v>1.37</v>
      </c>
      <c r="AW54" s="42">
        <v>1.37</v>
      </c>
      <c r="AX54" s="46">
        <v>0</v>
      </c>
      <c r="AZ54" s="44" t="s">
        <v>2624</v>
      </c>
      <c r="BA54" s="42">
        <v>0.53</v>
      </c>
      <c r="BB54" s="42">
        <v>4.18</v>
      </c>
      <c r="BC54" s="42">
        <v>0.33</v>
      </c>
      <c r="BD54" s="42">
        <v>1.61</v>
      </c>
      <c r="BE54" s="42">
        <v>2.21</v>
      </c>
      <c r="BF54" s="42">
        <v>1.89</v>
      </c>
      <c r="BG54" s="42">
        <v>0.73</v>
      </c>
      <c r="BH54" s="46">
        <v>1.17</v>
      </c>
      <c r="BJ54" s="44" t="s">
        <v>2624</v>
      </c>
      <c r="BK54" s="42">
        <v>10.83</v>
      </c>
      <c r="BL54" s="42">
        <v>1.61</v>
      </c>
      <c r="BM54" s="42">
        <v>1.61</v>
      </c>
      <c r="BN54" s="42">
        <v>3.56</v>
      </c>
      <c r="BO54" s="42">
        <v>1.89</v>
      </c>
      <c r="BP54" s="42">
        <v>2.21</v>
      </c>
      <c r="BQ54" s="42">
        <v>0.24</v>
      </c>
      <c r="BR54" s="46">
        <v>0.53</v>
      </c>
      <c r="BT54" s="44" t="s">
        <v>2624</v>
      </c>
      <c r="BU54" s="42">
        <v>0.85</v>
      </c>
      <c r="BV54" s="42">
        <v>0.45</v>
      </c>
      <c r="BW54" s="42">
        <v>0.15</v>
      </c>
      <c r="BX54" s="42">
        <v>1.17</v>
      </c>
      <c r="BY54" s="42">
        <v>2.21</v>
      </c>
      <c r="BZ54" s="42">
        <v>0.73</v>
      </c>
      <c r="CA54" s="42">
        <v>0.24</v>
      </c>
      <c r="CB54" s="46">
        <v>2.21</v>
      </c>
    </row>
    <row r="55" spans="2:80" ht="45">
      <c r="B55" s="52" t="s">
        <v>539</v>
      </c>
      <c r="C55" s="11">
        <f t="shared" ref="C55:J55" si="2">C54-C48</f>
        <v>-7.3684210526296923E-3</v>
      </c>
      <c r="D55" s="11">
        <f t="shared" si="2"/>
        <v>-0.20727272727271995</v>
      </c>
      <c r="E55" s="11">
        <f t="shared" si="2"/>
        <v>-1.7575757575749584E-2</v>
      </c>
      <c r="F55" s="11">
        <f t="shared" si="2"/>
        <v>0.19638888888889028</v>
      </c>
      <c r="G55" s="11">
        <f t="shared" si="2"/>
        <v>-0.10410256410256036</v>
      </c>
      <c r="H55" s="11">
        <f t="shared" si="2"/>
        <v>-0.40666666666666007</v>
      </c>
      <c r="I55" s="11">
        <f t="shared" si="2"/>
        <v>-0.1290322580645098</v>
      </c>
      <c r="J55" s="12">
        <f t="shared" si="2"/>
        <v>0.18666666666667009</v>
      </c>
      <c r="L55" s="44" t="s">
        <v>2625</v>
      </c>
      <c r="M55" s="42">
        <v>2.8</v>
      </c>
      <c r="N55" s="42">
        <v>5.51</v>
      </c>
      <c r="O55" s="42">
        <v>5.17</v>
      </c>
      <c r="P55" s="42">
        <v>99.99</v>
      </c>
      <c r="Q55" s="42">
        <v>0</v>
      </c>
      <c r="R55" s="42">
        <v>3.73</v>
      </c>
      <c r="S55" s="42">
        <v>3.06</v>
      </c>
      <c r="T55" s="46">
        <v>3.43</v>
      </c>
      <c r="V55" s="82" t="s">
        <v>534</v>
      </c>
      <c r="W55" s="8">
        <v>3.88</v>
      </c>
      <c r="X55" s="8">
        <v>4.2300000000000004</v>
      </c>
      <c r="Y55" s="8">
        <v>3.88</v>
      </c>
      <c r="Z55" s="8">
        <v>4.43</v>
      </c>
      <c r="AA55" s="8">
        <v>3.58</v>
      </c>
      <c r="AB55" s="8">
        <v>3.17</v>
      </c>
      <c r="AC55" s="8">
        <v>1.72</v>
      </c>
      <c r="AD55" s="9">
        <v>1.1399999999999999</v>
      </c>
      <c r="AF55" s="20" t="s">
        <v>515</v>
      </c>
      <c r="AG55" s="64">
        <v>0.70228153898561196</v>
      </c>
      <c r="AH55" s="42">
        <v>1.3289861423907501</v>
      </c>
      <c r="AI55" s="42">
        <v>0.81910021364909802</v>
      </c>
      <c r="AJ55" s="42">
        <v>0.95407337244050505</v>
      </c>
      <c r="AK55" s="42">
        <v>1.2463709881090701</v>
      </c>
      <c r="AL55" s="42">
        <v>0.16745912934205701</v>
      </c>
      <c r="AM55" s="42">
        <v>0.72528019413189504</v>
      </c>
      <c r="AN55" s="46">
        <v>0.21138995786393</v>
      </c>
      <c r="AP55" s="44" t="s">
        <v>2624</v>
      </c>
      <c r="AQ55" s="42">
        <v>2.59</v>
      </c>
      <c r="AR55" s="42">
        <v>1.17</v>
      </c>
      <c r="AS55" s="42">
        <v>2.59</v>
      </c>
      <c r="AT55" s="42">
        <v>3.04</v>
      </c>
      <c r="AU55" s="42">
        <v>1.37</v>
      </c>
      <c r="AV55" s="42">
        <v>1.17</v>
      </c>
      <c r="AW55" s="42">
        <v>1.17</v>
      </c>
      <c r="AX55" s="46">
        <v>0</v>
      </c>
      <c r="AZ55" s="44" t="s">
        <v>2624</v>
      </c>
      <c r="BA55" s="42">
        <v>0.53</v>
      </c>
      <c r="BB55" s="42">
        <v>0.45</v>
      </c>
      <c r="BC55" s="42">
        <v>0.33</v>
      </c>
      <c r="BD55" s="42">
        <v>3.56</v>
      </c>
      <c r="BE55" s="42">
        <v>20.43</v>
      </c>
      <c r="BF55" s="42">
        <v>2.21</v>
      </c>
      <c r="BG55" s="42">
        <v>0.62</v>
      </c>
      <c r="BH55" s="46">
        <v>1.37</v>
      </c>
      <c r="BJ55" s="44" t="s">
        <v>2624</v>
      </c>
      <c r="BK55" s="42">
        <v>10.83</v>
      </c>
      <c r="BL55" s="42">
        <v>1.61</v>
      </c>
      <c r="BM55" s="42">
        <v>1.61</v>
      </c>
      <c r="BN55" s="42">
        <v>0.85</v>
      </c>
      <c r="BO55" s="42">
        <v>1.61</v>
      </c>
      <c r="BP55" s="42">
        <v>2.21</v>
      </c>
      <c r="BQ55" s="42">
        <v>0.2</v>
      </c>
      <c r="BR55" s="46">
        <v>0.24</v>
      </c>
      <c r="BT55" s="44" t="s">
        <v>2624</v>
      </c>
      <c r="BU55" s="42">
        <v>0.85</v>
      </c>
      <c r="BV55" s="42">
        <v>0.45</v>
      </c>
      <c r="BW55" s="42">
        <v>0.15</v>
      </c>
      <c r="BX55" s="42">
        <v>0</v>
      </c>
      <c r="BY55" s="42">
        <v>1.89</v>
      </c>
      <c r="BZ55" s="42">
        <v>0.73</v>
      </c>
      <c r="CA55" s="42">
        <v>0.45</v>
      </c>
      <c r="CB55" s="46">
        <v>2.21</v>
      </c>
    </row>
    <row r="56" spans="2:80" ht="15.75" thickBot="1">
      <c r="B56" s="53" t="s">
        <v>544</v>
      </c>
      <c r="C56" s="14">
        <f>(C55/C48)*100</f>
        <v>-0.24582967515358076</v>
      </c>
      <c r="D56" s="14">
        <f>(D55/D48)*100</f>
        <v>-4.7244094488187383</v>
      </c>
      <c r="E56" s="14">
        <f>(E55/E48)*100</f>
        <v>-0.33176982038653308</v>
      </c>
      <c r="F56" s="14">
        <f>(F55/F48)*100</f>
        <v>3.5748596854932755</v>
      </c>
      <c r="G56" s="14">
        <f>(G55/G48)*100</f>
        <v>-2.4074952561668987</v>
      </c>
      <c r="H56" s="14">
        <f t="shared" ref="H56" si="3">(H55/H48)*100</f>
        <v>-8.478109798471035</v>
      </c>
      <c r="I56" s="14">
        <f>(I55/I48)*100</f>
        <v>-7.377351530800107</v>
      </c>
      <c r="J56" s="15">
        <f>(J55/J48)*100</f>
        <v>8.2840236686392181</v>
      </c>
      <c r="L56" s="44" t="s">
        <v>2625</v>
      </c>
      <c r="M56" s="42">
        <v>2.84</v>
      </c>
      <c r="N56" s="42">
        <v>5.45</v>
      </c>
      <c r="O56" s="42">
        <v>5.19</v>
      </c>
      <c r="P56" s="42">
        <v>4.6100000000000003</v>
      </c>
      <c r="Q56" s="42">
        <v>0</v>
      </c>
      <c r="R56" s="42">
        <v>3.22</v>
      </c>
      <c r="S56" s="42">
        <v>3.07</v>
      </c>
      <c r="T56" s="46">
        <v>1.1399999999999999</v>
      </c>
      <c r="V56" s="52" t="s">
        <v>945</v>
      </c>
      <c r="W56" s="11">
        <f>W55-W53</f>
        <v>-2.8809523809520066E-2</v>
      </c>
      <c r="X56" s="11">
        <f t="shared" ref="X56" si="4">X55-X53</f>
        <v>-4.6046511627899633E-2</v>
      </c>
      <c r="Y56" s="11">
        <f>Y55-Y53</f>
        <v>-0.26243902439023969</v>
      </c>
      <c r="Z56" s="11">
        <f t="shared" ref="Z56" si="5">Z55-Z53</f>
        <v>0.12100000000000932</v>
      </c>
      <c r="AA56" s="11">
        <f>AA55-AA53</f>
        <v>-2.0697674418599821E-2</v>
      </c>
      <c r="AB56" s="11">
        <f>AB55-AB53</f>
        <v>3.833333333333977E-2</v>
      </c>
      <c r="AC56" s="11">
        <f>AC55-AC53</f>
        <v>8.8139534883729942E-2</v>
      </c>
      <c r="AD56" s="12">
        <f t="shared" ref="AD56" si="6">AD55-AD53</f>
        <v>-0.1085714285714201</v>
      </c>
      <c r="AF56" s="20" t="s">
        <v>520</v>
      </c>
      <c r="AG56" s="64">
        <v>4.66308153898561</v>
      </c>
      <c r="AH56" s="42">
        <v>6.9339861423907498</v>
      </c>
      <c r="AI56" s="42">
        <v>4.3113002136490897</v>
      </c>
      <c r="AJ56" s="42">
        <v>5.7760733724405</v>
      </c>
      <c r="AK56" s="42">
        <v>6.2919709881090702</v>
      </c>
      <c r="AL56" s="42">
        <v>1.98625912934205</v>
      </c>
      <c r="AM56" s="42">
        <v>4.2244801941318899</v>
      </c>
      <c r="AN56" s="46">
        <v>3.4013899578639299</v>
      </c>
      <c r="AP56" s="44" t="s">
        <v>2624</v>
      </c>
      <c r="AQ56" s="42">
        <v>2.59</v>
      </c>
      <c r="AR56" s="42">
        <v>1.17</v>
      </c>
      <c r="AS56" s="42">
        <v>2.21</v>
      </c>
      <c r="AT56" s="42">
        <v>3.56</v>
      </c>
      <c r="AU56" s="42">
        <v>1.17</v>
      </c>
      <c r="AV56" s="42">
        <v>1.37</v>
      </c>
      <c r="AW56" s="42">
        <v>1.37</v>
      </c>
      <c r="AX56" s="46">
        <v>6.72</v>
      </c>
      <c r="AZ56" s="44" t="s">
        <v>2624</v>
      </c>
      <c r="BA56" s="42">
        <v>0.53</v>
      </c>
      <c r="BB56" s="42">
        <v>4.18</v>
      </c>
      <c r="BC56" s="42">
        <v>0.39</v>
      </c>
      <c r="BD56" s="42">
        <v>1.61</v>
      </c>
      <c r="BE56" s="42">
        <v>2.21</v>
      </c>
      <c r="BF56" s="42">
        <v>1.89</v>
      </c>
      <c r="BG56" s="42">
        <v>0.62</v>
      </c>
      <c r="BH56" s="46">
        <v>1.17</v>
      </c>
      <c r="BJ56" s="44" t="s">
        <v>2624</v>
      </c>
      <c r="BK56" s="42">
        <v>14.87</v>
      </c>
      <c r="BL56" s="42">
        <v>0.85</v>
      </c>
      <c r="BM56" s="42">
        <v>1.61</v>
      </c>
      <c r="BN56" s="42">
        <v>0</v>
      </c>
      <c r="BO56" s="42">
        <v>1.61</v>
      </c>
      <c r="BP56" s="42">
        <v>2.59</v>
      </c>
      <c r="BQ56" s="42">
        <v>0.2</v>
      </c>
      <c r="BR56" s="46">
        <v>0.2</v>
      </c>
      <c r="BT56" s="44" t="s">
        <v>2624</v>
      </c>
      <c r="BU56" s="42">
        <v>0.85</v>
      </c>
      <c r="BV56" s="42">
        <v>0.39</v>
      </c>
      <c r="BW56" s="42">
        <v>0.15</v>
      </c>
      <c r="BX56" s="42">
        <v>0</v>
      </c>
      <c r="BY56" s="42">
        <v>1.89</v>
      </c>
      <c r="BZ56" s="42">
        <v>0.62</v>
      </c>
      <c r="CA56" s="42">
        <v>0.45</v>
      </c>
      <c r="CB56" s="46">
        <v>1.89</v>
      </c>
    </row>
    <row r="57" spans="2:80" ht="15.75" thickBot="1">
      <c r="L57" s="44" t="s">
        <v>2625</v>
      </c>
      <c r="M57" s="42">
        <v>2.86</v>
      </c>
      <c r="N57" s="42">
        <v>5.47</v>
      </c>
      <c r="O57" s="42">
        <v>5.21</v>
      </c>
      <c r="P57" s="42">
        <v>6.05</v>
      </c>
      <c r="Q57" s="42">
        <v>0</v>
      </c>
      <c r="R57" s="42">
        <v>3.74</v>
      </c>
      <c r="S57" s="42">
        <v>3.03</v>
      </c>
      <c r="T57" s="46">
        <v>2.69</v>
      </c>
      <c r="V57" s="53" t="s">
        <v>946</v>
      </c>
      <c r="W57" s="14">
        <f>(W56/W53)*100</f>
        <v>-0.73704087226645798</v>
      </c>
      <c r="X57" s="14">
        <f t="shared" ref="X57" si="7">(X56/X53)*100</f>
        <v>-1.0768477728828452</v>
      </c>
      <c r="Y57" s="14">
        <f>(Y56/Y53)*100</f>
        <v>-6.335374470089401</v>
      </c>
      <c r="Z57" s="14">
        <f t="shared" ref="Z57" si="8">(Z56/Z53)*100</f>
        <v>2.8080761197495847</v>
      </c>
      <c r="AA57" s="14">
        <f>(AA56/AA53)*100</f>
        <v>-0.57482400051656235</v>
      </c>
      <c r="AB57" s="14">
        <f t="shared" ref="AB57" si="9">(AB56/AB53)*100</f>
        <v>1.2240553485898835</v>
      </c>
      <c r="AC57" s="14">
        <f>(AC56/AC53)*100</f>
        <v>5.4011685905663516</v>
      </c>
      <c r="AD57" s="15">
        <f>(AD56/AD53)*100</f>
        <v>-8.6956521739124248</v>
      </c>
      <c r="AF57" s="20" t="s">
        <v>525</v>
      </c>
      <c r="AG57" s="64">
        <v>3.25851846101438</v>
      </c>
      <c r="AH57" s="42">
        <v>4.2760138576092404</v>
      </c>
      <c r="AI57" s="42">
        <v>2.6730997863509001</v>
      </c>
      <c r="AJ57" s="42">
        <v>3.8679266275594899</v>
      </c>
      <c r="AK57" s="42">
        <v>3.7992290118909202</v>
      </c>
      <c r="AL57" s="42">
        <v>1.65134087065794</v>
      </c>
      <c r="AM57" s="42">
        <v>2.7739198058681001</v>
      </c>
      <c r="AN57" s="46">
        <v>2.9786100421360699</v>
      </c>
      <c r="AP57" s="44" t="s">
        <v>2624</v>
      </c>
      <c r="AQ57" s="42">
        <v>0.85</v>
      </c>
      <c r="AR57" s="42">
        <v>1.17</v>
      </c>
      <c r="AS57" s="42">
        <v>2.59</v>
      </c>
      <c r="AT57" s="42">
        <v>3.04</v>
      </c>
      <c r="AU57" s="42">
        <v>1.37</v>
      </c>
      <c r="AV57" s="42">
        <v>1.37</v>
      </c>
      <c r="AW57" s="42">
        <v>0.33</v>
      </c>
      <c r="AX57" s="46">
        <v>0</v>
      </c>
      <c r="AZ57" s="44" t="s">
        <v>2624</v>
      </c>
      <c r="BA57" s="42">
        <v>0.53</v>
      </c>
      <c r="BB57" s="42">
        <v>4.18</v>
      </c>
      <c r="BC57" s="42">
        <v>0.39</v>
      </c>
      <c r="BD57" s="42">
        <v>1.61</v>
      </c>
      <c r="BE57" s="42">
        <v>2.59</v>
      </c>
      <c r="BF57" s="42">
        <v>1.89</v>
      </c>
      <c r="BG57" s="42">
        <v>0.73</v>
      </c>
      <c r="BH57" s="46">
        <v>1.17</v>
      </c>
      <c r="BJ57" s="44" t="s">
        <v>2624</v>
      </c>
      <c r="BK57" s="42">
        <v>12.69</v>
      </c>
      <c r="BL57" s="42">
        <v>1.61</v>
      </c>
      <c r="BM57" s="42">
        <v>1.61</v>
      </c>
      <c r="BN57" s="42">
        <v>3.56</v>
      </c>
      <c r="BO57" s="42">
        <v>1.89</v>
      </c>
      <c r="BP57" s="42">
        <v>2.59</v>
      </c>
      <c r="BQ57" s="42">
        <v>0.24</v>
      </c>
      <c r="BR57" s="46">
        <v>0.24</v>
      </c>
      <c r="BT57" s="44" t="s">
        <v>2624</v>
      </c>
      <c r="BU57" s="42">
        <v>0.73</v>
      </c>
      <c r="BV57" s="42">
        <v>0.45</v>
      </c>
      <c r="BW57" s="42">
        <v>0.15</v>
      </c>
      <c r="BX57" s="42">
        <v>1.17</v>
      </c>
      <c r="BY57" s="42">
        <v>1.89</v>
      </c>
      <c r="BZ57" s="42">
        <v>0.73</v>
      </c>
      <c r="CA57" s="42">
        <v>0.24</v>
      </c>
      <c r="CB57" s="46">
        <v>3.56</v>
      </c>
    </row>
    <row r="58" spans="2:80" ht="30.75" thickBot="1">
      <c r="B58" s="82" t="s">
        <v>568</v>
      </c>
      <c r="C58" s="8">
        <v>2.99</v>
      </c>
      <c r="D58" s="8">
        <v>4.1900000000000004</v>
      </c>
      <c r="E58" s="8">
        <v>5.3</v>
      </c>
      <c r="F58" s="8">
        <v>5.73</v>
      </c>
      <c r="G58" s="8">
        <v>4.24</v>
      </c>
      <c r="H58" s="8">
        <v>4.45</v>
      </c>
      <c r="I58" s="8">
        <v>1.61</v>
      </c>
      <c r="J58" s="9">
        <v>2.42</v>
      </c>
      <c r="L58" s="44" t="s">
        <v>2625</v>
      </c>
      <c r="M58" s="42">
        <v>2.85</v>
      </c>
      <c r="N58" s="42">
        <v>5.45</v>
      </c>
      <c r="O58" s="42">
        <v>5.14</v>
      </c>
      <c r="P58" s="42">
        <v>2.06</v>
      </c>
      <c r="Q58" s="42">
        <v>0</v>
      </c>
      <c r="R58" s="42">
        <v>3.72</v>
      </c>
      <c r="S58" s="42">
        <v>3.1</v>
      </c>
      <c r="T58" s="46">
        <v>3.47</v>
      </c>
      <c r="AF58" s="67" t="s">
        <v>937</v>
      </c>
      <c r="AG58" s="65">
        <v>4.1447826086956496</v>
      </c>
      <c r="AH58" s="49">
        <v>6.0802380952380899</v>
      </c>
      <c r="AI58" s="49">
        <v>3.7702272727272699</v>
      </c>
      <c r="AJ58" s="49">
        <v>5.12</v>
      </c>
      <c r="AK58" s="49">
        <v>5.4043478260869504</v>
      </c>
      <c r="AL58" s="49">
        <v>1.84265306122449</v>
      </c>
      <c r="AM58" s="49">
        <v>3.7420454545454498</v>
      </c>
      <c r="AN58" s="50">
        <v>3.1459375000000001</v>
      </c>
      <c r="AP58" s="44" t="s">
        <v>2624</v>
      </c>
      <c r="AQ58" s="42">
        <v>2.59</v>
      </c>
      <c r="AR58" s="42">
        <v>1.17</v>
      </c>
      <c r="AS58" s="42">
        <v>2.59</v>
      </c>
      <c r="AT58" s="42">
        <v>3.56</v>
      </c>
      <c r="AU58" s="42">
        <v>1.37</v>
      </c>
      <c r="AV58" s="42">
        <v>1.37</v>
      </c>
      <c r="AW58" s="42">
        <v>0.33</v>
      </c>
      <c r="AX58" s="46">
        <v>6.72</v>
      </c>
      <c r="AZ58" s="44" t="s">
        <v>2624</v>
      </c>
      <c r="BA58" s="42">
        <v>1.17</v>
      </c>
      <c r="BB58" s="42">
        <v>0.39</v>
      </c>
      <c r="BC58" s="42">
        <v>0.39</v>
      </c>
      <c r="BD58" s="42">
        <v>1.61</v>
      </c>
      <c r="BE58" s="42">
        <v>2.59</v>
      </c>
      <c r="BF58" s="42">
        <v>1.89</v>
      </c>
      <c r="BG58" s="42">
        <v>0.73</v>
      </c>
      <c r="BH58" s="46">
        <v>1.17</v>
      </c>
      <c r="BJ58" s="44" t="s">
        <v>2624</v>
      </c>
      <c r="BK58" s="42">
        <v>12.69</v>
      </c>
      <c r="BL58" s="42">
        <v>1.61</v>
      </c>
      <c r="BM58" s="42">
        <v>1.61</v>
      </c>
      <c r="BN58" s="42">
        <v>3.56</v>
      </c>
      <c r="BO58" s="42">
        <v>1.89</v>
      </c>
      <c r="BP58" s="42">
        <v>2.59</v>
      </c>
      <c r="BQ58" s="42">
        <v>0.17</v>
      </c>
      <c r="BR58" s="46">
        <v>0.28000000000000003</v>
      </c>
      <c r="BT58" s="44" t="s">
        <v>2624</v>
      </c>
      <c r="BU58" s="42">
        <v>0.73</v>
      </c>
      <c r="BV58" s="42">
        <v>0.45</v>
      </c>
      <c r="BW58" s="42">
        <v>0.15</v>
      </c>
      <c r="BX58" s="42">
        <v>1.17</v>
      </c>
      <c r="BY58" s="42">
        <v>1.89</v>
      </c>
      <c r="BZ58" s="42">
        <v>0.33</v>
      </c>
      <c r="CA58" s="42">
        <v>0.39</v>
      </c>
      <c r="CB58" s="46">
        <v>2.21</v>
      </c>
    </row>
    <row r="59" spans="2:80" ht="30.75" thickBot="1">
      <c r="B59" s="52" t="s">
        <v>539</v>
      </c>
      <c r="C59" s="11">
        <f>C58-C48</f>
        <v>-7.3684210526296923E-3</v>
      </c>
      <c r="D59" s="11">
        <f t="shared" ref="D59:J59" si="10">D58-D48</f>
        <v>-0.19727272727271927</v>
      </c>
      <c r="E59" s="11">
        <f>E58-E48</f>
        <v>2.4242424242499894E-3</v>
      </c>
      <c r="F59" s="11">
        <f>F58-F48</f>
        <v>0.23638888888889031</v>
      </c>
      <c r="G59" s="11">
        <f>G58-G48</f>
        <v>-8.4102564102559896E-2</v>
      </c>
      <c r="H59" s="11">
        <f t="shared" si="10"/>
        <v>-0.34666666666665957</v>
      </c>
      <c r="I59" s="11">
        <f>I58-I48</f>
        <v>-0.13903225806450981</v>
      </c>
      <c r="J59" s="12">
        <f t="shared" si="10"/>
        <v>0.16666666666667007</v>
      </c>
      <c r="L59" s="66" t="s">
        <v>936</v>
      </c>
      <c r="M59" s="63">
        <v>2.8245454545454498</v>
      </c>
      <c r="N59" s="57">
        <v>4.9396363636363603</v>
      </c>
      <c r="O59" s="57">
        <v>4.9624074074074001</v>
      </c>
      <c r="P59" s="57">
        <v>5.1333333333333302</v>
      </c>
      <c r="Q59" s="57">
        <v>5.1974999999999998</v>
      </c>
      <c r="R59" s="57">
        <v>3.5218181818181802</v>
      </c>
      <c r="S59" s="57">
        <v>2.8787037037037</v>
      </c>
      <c r="T59" s="58">
        <v>3.3957407407407398</v>
      </c>
      <c r="V59" s="82" t="s">
        <v>553</v>
      </c>
      <c r="W59" s="8">
        <v>3.86</v>
      </c>
      <c r="X59" s="8">
        <v>4.24</v>
      </c>
      <c r="Y59" s="8">
        <v>3.37</v>
      </c>
      <c r="Z59" s="8">
        <v>4.38</v>
      </c>
      <c r="AA59" s="8">
        <v>3.57</v>
      </c>
      <c r="AB59" s="8">
        <v>3.19</v>
      </c>
      <c r="AC59" s="8">
        <v>1.74</v>
      </c>
      <c r="AD59" s="9">
        <v>1.1200000000000001</v>
      </c>
      <c r="AP59" s="44" t="s">
        <v>2625</v>
      </c>
      <c r="AQ59" s="42">
        <v>0</v>
      </c>
      <c r="AR59" s="42">
        <v>0</v>
      </c>
      <c r="AS59" s="42">
        <v>2.59</v>
      </c>
      <c r="AT59" s="42">
        <v>3.56</v>
      </c>
      <c r="AU59" s="42">
        <v>1.37</v>
      </c>
      <c r="AV59" s="42">
        <v>1.37</v>
      </c>
      <c r="AW59" s="42">
        <v>1.17</v>
      </c>
      <c r="AX59" s="46">
        <v>0</v>
      </c>
      <c r="AZ59" s="44" t="s">
        <v>2625</v>
      </c>
      <c r="BA59" s="42">
        <v>0.62</v>
      </c>
      <c r="BB59" s="42">
        <v>4.18</v>
      </c>
      <c r="BC59" s="42">
        <v>0.15</v>
      </c>
      <c r="BD59" s="42">
        <v>1.61</v>
      </c>
      <c r="BE59" s="42">
        <v>2.21</v>
      </c>
      <c r="BF59" s="42">
        <v>1.89</v>
      </c>
      <c r="BG59" s="42">
        <v>0.73</v>
      </c>
      <c r="BH59" s="46">
        <v>1.17</v>
      </c>
      <c r="BJ59" s="44" t="s">
        <v>2625</v>
      </c>
      <c r="BK59" s="42">
        <v>12.69</v>
      </c>
      <c r="BL59" s="42">
        <v>1.37</v>
      </c>
      <c r="BM59" s="42">
        <v>1.61</v>
      </c>
      <c r="BN59" s="42">
        <v>3.56</v>
      </c>
      <c r="BO59" s="42">
        <v>1.61</v>
      </c>
      <c r="BP59" s="42">
        <v>2.59</v>
      </c>
      <c r="BQ59" s="42">
        <v>0.24</v>
      </c>
      <c r="BR59" s="46">
        <v>0.2</v>
      </c>
      <c r="BT59" s="66" t="s">
        <v>936</v>
      </c>
      <c r="BU59" s="63">
        <v>0.81571428571428595</v>
      </c>
      <c r="BV59" s="57">
        <v>0.93854545454545502</v>
      </c>
      <c r="BW59" s="57">
        <v>0.14872727272727199</v>
      </c>
      <c r="BX59" s="57">
        <v>2.02714285714285</v>
      </c>
      <c r="BY59" s="57">
        <v>1.9284313725490101</v>
      </c>
      <c r="BZ59" s="57">
        <v>0.62654545454545396</v>
      </c>
      <c r="CA59" s="57">
        <v>0.32581818181818101</v>
      </c>
      <c r="CB59" s="58">
        <v>2.4072727272727201</v>
      </c>
    </row>
    <row r="60" spans="2:80" ht="45.75" thickBot="1">
      <c r="B60" s="53" t="s">
        <v>544</v>
      </c>
      <c r="C60" s="14">
        <f t="shared" ref="C60:H60" si="11">(C59/C48)*100</f>
        <v>-0.24582967515358076</v>
      </c>
      <c r="D60" s="14">
        <f t="shared" si="11"/>
        <v>-4.496477414007285</v>
      </c>
      <c r="E60" s="14">
        <f t="shared" si="11"/>
        <v>4.5761354536237135E-2</v>
      </c>
      <c r="F60" s="14">
        <f t="shared" si="11"/>
        <v>4.3029782070081675</v>
      </c>
      <c r="G60" s="14">
        <f t="shared" si="11"/>
        <v>-1.9449715370018019</v>
      </c>
      <c r="H60" s="14">
        <f t="shared" si="11"/>
        <v>-7.2272411396801957</v>
      </c>
      <c r="I60" s="14">
        <f t="shared" ref="I60" si="12">(I59/I48)*100</f>
        <v>-7.9490962744371441</v>
      </c>
      <c r="J60" s="15">
        <f>(J59/J48)*100</f>
        <v>7.3964497041421744</v>
      </c>
      <c r="L60" s="20" t="s">
        <v>515</v>
      </c>
      <c r="M60" s="64">
        <v>0.10897569673711099</v>
      </c>
      <c r="N60" s="42">
        <v>1.2954788004108899</v>
      </c>
      <c r="O60" s="42">
        <v>0.87536856827024601</v>
      </c>
      <c r="P60" s="42">
        <v>1.6494813999827</v>
      </c>
      <c r="Q60" s="42">
        <v>0.12080459428349501</v>
      </c>
      <c r="R60" s="42">
        <v>0.653427580766059</v>
      </c>
      <c r="S60" s="42">
        <v>0.64373633404062203</v>
      </c>
      <c r="T60" s="46">
        <v>0.40499017752995897</v>
      </c>
      <c r="V60" s="52" t="s">
        <v>539</v>
      </c>
      <c r="W60" s="11">
        <f>W59-W53</f>
        <v>-4.8809523809520083E-2</v>
      </c>
      <c r="X60" s="11">
        <f t="shared" ref="X60" si="13">X59-X53</f>
        <v>-3.6046511627899847E-2</v>
      </c>
      <c r="Y60" s="11">
        <f>Y59-Y53</f>
        <v>-0.77243902439023948</v>
      </c>
      <c r="Z60" s="11">
        <f t="shared" ref="Z60" si="14">Z59-Z53</f>
        <v>7.10000000000095E-2</v>
      </c>
      <c r="AA60" s="11">
        <f>AA59-AA53</f>
        <v>-3.0697674418600052E-2</v>
      </c>
      <c r="AB60" s="11">
        <f t="shared" ref="AB60" si="15">AB59-AB53</f>
        <v>5.8333333333339787E-2</v>
      </c>
      <c r="AC60" s="11">
        <f>AC59-AC53</f>
        <v>0.10813953488372996</v>
      </c>
      <c r="AD60" s="12">
        <f>AD59-AD53</f>
        <v>-0.1285714285714199</v>
      </c>
      <c r="AF60" s="82" t="s">
        <v>534</v>
      </c>
      <c r="AG60" s="8">
        <v>4.2</v>
      </c>
      <c r="AH60" s="8">
        <v>6.08</v>
      </c>
      <c r="AI60" s="8">
        <v>3.62</v>
      </c>
      <c r="AJ60" s="8">
        <v>5.36</v>
      </c>
      <c r="AK60" s="8">
        <v>5.44</v>
      </c>
      <c r="AL60" s="8">
        <v>1.82</v>
      </c>
      <c r="AM60" s="8">
        <v>3.76</v>
      </c>
      <c r="AN60" s="9">
        <v>2.87</v>
      </c>
      <c r="AP60" s="44" t="s">
        <v>2625</v>
      </c>
      <c r="AQ60" s="42">
        <v>2.21</v>
      </c>
      <c r="AR60" s="42">
        <v>1.17</v>
      </c>
      <c r="AS60" s="42">
        <v>2.59</v>
      </c>
      <c r="AT60" s="42">
        <v>3.56</v>
      </c>
      <c r="AU60" s="42">
        <v>1.37</v>
      </c>
      <c r="AV60" s="42">
        <v>1.37</v>
      </c>
      <c r="AW60" s="42">
        <v>1.37</v>
      </c>
      <c r="AX60" s="46">
        <v>0</v>
      </c>
      <c r="AZ60" s="44" t="s">
        <v>2625</v>
      </c>
      <c r="BA60" s="42">
        <v>0.62</v>
      </c>
      <c r="BB60" s="42">
        <v>4.18</v>
      </c>
      <c r="BC60" s="42">
        <v>0.39</v>
      </c>
      <c r="BD60" s="42">
        <v>1.61</v>
      </c>
      <c r="BE60" s="42">
        <v>2.21</v>
      </c>
      <c r="BF60" s="42">
        <v>1.89</v>
      </c>
      <c r="BG60" s="42">
        <v>0.73</v>
      </c>
      <c r="BH60" s="46">
        <v>1.17</v>
      </c>
      <c r="BJ60" s="44" t="s">
        <v>2625</v>
      </c>
      <c r="BK60" s="42">
        <v>9.24</v>
      </c>
      <c r="BL60" s="42">
        <v>0</v>
      </c>
      <c r="BM60" s="42">
        <v>0.2</v>
      </c>
      <c r="BN60" s="42">
        <v>1.89</v>
      </c>
      <c r="BO60" s="42">
        <v>1.37</v>
      </c>
      <c r="BP60" s="42">
        <v>3.56</v>
      </c>
      <c r="BQ60" s="42">
        <v>0.17</v>
      </c>
      <c r="BR60" s="46">
        <v>0.53</v>
      </c>
      <c r="BT60" s="20" t="s">
        <v>515</v>
      </c>
      <c r="BU60" s="64">
        <v>5.4210474174315099E-2</v>
      </c>
      <c r="BV60" s="42">
        <v>1.51575893763645</v>
      </c>
      <c r="BW60" s="42">
        <v>2.87973828011912E-2</v>
      </c>
      <c r="BX60" s="42">
        <v>1.8436509918072399</v>
      </c>
      <c r="BY60" s="42">
        <v>0.39921183402740901</v>
      </c>
      <c r="BZ60" s="42">
        <v>0.15825431985277999</v>
      </c>
      <c r="CA60" s="42">
        <v>7.4093084184469901E-2</v>
      </c>
      <c r="CB60" s="46">
        <v>0.53630199954013202</v>
      </c>
    </row>
    <row r="61" spans="2:80" ht="15.75" thickBot="1">
      <c r="L61" s="20" t="s">
        <v>520</v>
      </c>
      <c r="M61" s="64">
        <v>2.9335211512825601</v>
      </c>
      <c r="N61" s="42">
        <v>6.23511516404725</v>
      </c>
      <c r="O61" s="42">
        <v>5.8377759756776504</v>
      </c>
      <c r="P61" s="42">
        <v>6.7828147333160302</v>
      </c>
      <c r="Q61" s="42">
        <v>5.3183045942834903</v>
      </c>
      <c r="R61" s="42">
        <v>4.1752457625842396</v>
      </c>
      <c r="S61" s="42">
        <v>3.5224400377443201</v>
      </c>
      <c r="T61" s="46">
        <v>3.8007309182706899</v>
      </c>
      <c r="V61" s="53" t="s">
        <v>544</v>
      </c>
      <c r="W61" s="14">
        <f t="shared" ref="W61:AC61" si="16">(W60/W53)*100</f>
        <v>-1.2487056100382807</v>
      </c>
      <c r="X61" s="14">
        <f t="shared" si="16"/>
        <v>-0.84298689291330609</v>
      </c>
      <c r="Y61" s="14">
        <f>(Y60/Y53)*100</f>
        <v>-18.646961846443624</v>
      </c>
      <c r="Z61" s="14">
        <f t="shared" si="16"/>
        <v>1.647714086795304</v>
      </c>
      <c r="AA61" s="14">
        <f t="shared" si="16"/>
        <v>-0.8525479558223884</v>
      </c>
      <c r="AB61" s="14">
        <f>(AB60/AB53)*100</f>
        <v>1.8626929217671073</v>
      </c>
      <c r="AC61" s="14">
        <f t="shared" si="16"/>
        <v>6.6267635741775885</v>
      </c>
      <c r="AD61" s="15">
        <f>(AD60/AD53)*100</f>
        <v>-10.29748283752798</v>
      </c>
      <c r="AF61" s="52" t="s">
        <v>539</v>
      </c>
      <c r="AG61" s="11">
        <f>AG60-AG58</f>
        <v>5.5217391304350549E-2</v>
      </c>
      <c r="AH61" s="11">
        <f t="shared" ref="AH61:AN61" si="17">AH60-AH58</f>
        <v>-2.3809523808981936E-4</v>
      </c>
      <c r="AI61" s="11">
        <f t="shared" si="17"/>
        <v>-0.15022727272726977</v>
      </c>
      <c r="AJ61" s="11">
        <f t="shared" si="17"/>
        <v>0.24000000000000021</v>
      </c>
      <c r="AK61" s="11">
        <f t="shared" si="17"/>
        <v>3.5652173913049978E-2</v>
      </c>
      <c r="AL61" s="11">
        <f t="shared" si="17"/>
        <v>-2.2653061224489957E-2</v>
      </c>
      <c r="AM61" s="11">
        <f t="shared" si="17"/>
        <v>1.7954545454549997E-2</v>
      </c>
      <c r="AN61" s="12">
        <f t="shared" si="17"/>
        <v>-0.27593749999999995</v>
      </c>
      <c r="AP61" s="44" t="s">
        <v>2625</v>
      </c>
      <c r="AQ61" s="42">
        <v>17.43</v>
      </c>
      <c r="AR61" s="42">
        <v>0</v>
      </c>
      <c r="AS61" s="42">
        <v>0</v>
      </c>
      <c r="AT61" s="42">
        <v>2.59</v>
      </c>
      <c r="AU61" s="42">
        <v>1.61</v>
      </c>
      <c r="AV61" s="42">
        <v>85.32</v>
      </c>
      <c r="AW61" s="42">
        <v>0.33</v>
      </c>
      <c r="AX61" s="46">
        <v>3.04</v>
      </c>
      <c r="AZ61" s="44" t="s">
        <v>2625</v>
      </c>
      <c r="BA61" s="42">
        <v>0.45</v>
      </c>
      <c r="BB61" s="42">
        <v>0.73</v>
      </c>
      <c r="BC61" s="42">
        <v>0.39</v>
      </c>
      <c r="BD61" s="42">
        <v>1.61</v>
      </c>
      <c r="BE61" s="42">
        <v>2.59</v>
      </c>
      <c r="BF61" s="42">
        <v>1.89</v>
      </c>
      <c r="BG61" s="42">
        <v>0.73</v>
      </c>
      <c r="BH61" s="46">
        <v>1.17</v>
      </c>
      <c r="BJ61" s="44" t="s">
        <v>2625</v>
      </c>
      <c r="BK61" s="42">
        <v>4.8899999999999997</v>
      </c>
      <c r="BL61" s="42">
        <v>1.37</v>
      </c>
      <c r="BM61" s="42">
        <v>0.2</v>
      </c>
      <c r="BN61" s="42">
        <v>1.37</v>
      </c>
      <c r="BO61" s="42">
        <v>1.17</v>
      </c>
      <c r="BP61" s="42">
        <v>0.85</v>
      </c>
      <c r="BQ61" s="42">
        <v>0.17</v>
      </c>
      <c r="BR61" s="46">
        <v>0.62</v>
      </c>
      <c r="BT61" s="20" t="s">
        <v>520</v>
      </c>
      <c r="BU61" s="64">
        <v>0.86992475988860096</v>
      </c>
      <c r="BV61" s="42">
        <v>2.4543043921818999</v>
      </c>
      <c r="BW61" s="42">
        <v>0.177524655528464</v>
      </c>
      <c r="BX61" s="42">
        <v>3.8707938489500999</v>
      </c>
      <c r="BY61" s="42">
        <v>2.3276432065764201</v>
      </c>
      <c r="BZ61" s="42">
        <v>0.78479977439823401</v>
      </c>
      <c r="CA61" s="42">
        <v>0.39991126600265098</v>
      </c>
      <c r="CB61" s="46">
        <v>2.9435747268128498</v>
      </c>
    </row>
    <row r="62" spans="2:80" ht="15.75" thickBot="1">
      <c r="L62" s="20" t="s">
        <v>525</v>
      </c>
      <c r="M62" s="64">
        <v>2.71556975780834</v>
      </c>
      <c r="N62" s="42">
        <v>3.6441575632254599</v>
      </c>
      <c r="O62" s="42">
        <v>4.0870388391371497</v>
      </c>
      <c r="P62" s="42">
        <v>3.4838519333506301</v>
      </c>
      <c r="Q62" s="42">
        <v>5.0766954057165004</v>
      </c>
      <c r="R62" s="42">
        <v>2.8683906010521198</v>
      </c>
      <c r="S62" s="42">
        <v>2.2349673696630799</v>
      </c>
      <c r="T62" s="46">
        <v>2.99075056321078</v>
      </c>
      <c r="AF62" s="53" t="s">
        <v>544</v>
      </c>
      <c r="AG62" s="14">
        <f>(AG61/AG58)*100</f>
        <v>1.3322144130914335</v>
      </c>
      <c r="AH62" s="14">
        <f t="shared" ref="AH62:AN62" si="18">(AH61/AH58)*100</f>
        <v>-3.9158867524659996E-3</v>
      </c>
      <c r="AI62" s="14">
        <f t="shared" si="18"/>
        <v>-3.9845680872866809</v>
      </c>
      <c r="AJ62" s="14">
        <f t="shared" si="18"/>
        <v>4.6875000000000044</v>
      </c>
      <c r="AK62" s="14">
        <f t="shared" si="18"/>
        <v>0.65969428801299312</v>
      </c>
      <c r="AL62" s="14">
        <f t="shared" si="18"/>
        <v>-1.2293720234799066</v>
      </c>
      <c r="AM62" s="14">
        <f t="shared" si="18"/>
        <v>0.4798056483450962</v>
      </c>
      <c r="AN62" s="15">
        <f t="shared" si="18"/>
        <v>-8.7712327406377266</v>
      </c>
      <c r="AP62" s="44" t="s">
        <v>2625</v>
      </c>
      <c r="AQ62" s="42">
        <v>2.59</v>
      </c>
      <c r="AR62" s="42">
        <v>1.17</v>
      </c>
      <c r="AS62" s="42">
        <v>0</v>
      </c>
      <c r="AT62" s="42">
        <v>3.56</v>
      </c>
      <c r="AU62" s="42">
        <v>1.17</v>
      </c>
      <c r="AV62" s="42">
        <v>1.37</v>
      </c>
      <c r="AW62" s="42">
        <v>1.17</v>
      </c>
      <c r="AX62" s="46">
        <v>0</v>
      </c>
      <c r="AZ62" s="44" t="s">
        <v>2625</v>
      </c>
      <c r="BA62" s="42">
        <v>0.53</v>
      </c>
      <c r="BB62" s="42">
        <v>0.45</v>
      </c>
      <c r="BC62" s="42">
        <v>0.33</v>
      </c>
      <c r="BD62" s="42">
        <v>1.61</v>
      </c>
      <c r="BE62" s="42">
        <v>2.21</v>
      </c>
      <c r="BF62" s="42">
        <v>1.89</v>
      </c>
      <c r="BG62" s="42">
        <v>0.62</v>
      </c>
      <c r="BH62" s="46">
        <v>1.17</v>
      </c>
      <c r="BJ62" s="44" t="s">
        <v>2625</v>
      </c>
      <c r="BK62" s="42">
        <v>14.87</v>
      </c>
      <c r="BL62" s="42">
        <v>1.61</v>
      </c>
      <c r="BM62" s="42">
        <v>1.61</v>
      </c>
      <c r="BN62" s="42">
        <v>3.56</v>
      </c>
      <c r="BO62" s="42">
        <v>1.89</v>
      </c>
      <c r="BP62" s="42">
        <v>2.59</v>
      </c>
      <c r="BQ62" s="42">
        <v>0.28000000000000003</v>
      </c>
      <c r="BR62" s="46">
        <v>0.53</v>
      </c>
      <c r="BT62" s="20" t="s">
        <v>525</v>
      </c>
      <c r="BU62" s="64">
        <v>0.76150381153997104</v>
      </c>
      <c r="BV62" s="42">
        <v>-0.57721348309099896</v>
      </c>
      <c r="BW62" s="42">
        <v>0.119929889926081</v>
      </c>
      <c r="BX62" s="42">
        <v>0.18349186533561301</v>
      </c>
      <c r="BY62" s="42">
        <v>1.5292195385216001</v>
      </c>
      <c r="BZ62" s="42">
        <v>0.46829113469267403</v>
      </c>
      <c r="CA62" s="42">
        <v>0.25172509763371098</v>
      </c>
      <c r="CB62" s="46">
        <v>1.87097072773259</v>
      </c>
    </row>
    <row r="63" spans="2:80" ht="30.75" thickBot="1">
      <c r="L63" s="67" t="s">
        <v>937</v>
      </c>
      <c r="M63" s="65">
        <v>2.8390740740740701</v>
      </c>
      <c r="N63" s="49">
        <v>5.3644897959183604</v>
      </c>
      <c r="O63" s="49">
        <v>5.1723529411764604</v>
      </c>
      <c r="P63" s="49">
        <v>5.7343478260869496</v>
      </c>
      <c r="Q63" s="49">
        <v>5.1283333333333303</v>
      </c>
      <c r="R63" s="49">
        <v>3.7056</v>
      </c>
      <c r="S63" s="49">
        <v>3.0577999999999999</v>
      </c>
      <c r="T63" s="50">
        <v>3.4423404255319099</v>
      </c>
      <c r="V63" s="82" t="s">
        <v>568</v>
      </c>
      <c r="W63" s="8">
        <v>3.83</v>
      </c>
      <c r="X63" s="8">
        <v>4.29</v>
      </c>
      <c r="Y63" s="8">
        <v>3.95</v>
      </c>
      <c r="Z63" s="8">
        <v>4.43</v>
      </c>
      <c r="AA63" s="8">
        <v>3.64</v>
      </c>
      <c r="AB63" s="8">
        <v>3.23</v>
      </c>
      <c r="AC63" s="8">
        <v>1.7</v>
      </c>
      <c r="AD63" s="9">
        <v>1.1299999999999999</v>
      </c>
      <c r="AF63" s="1"/>
      <c r="AG63" s="1"/>
      <c r="AH63" s="1"/>
      <c r="AI63" s="1"/>
      <c r="AJ63" s="1"/>
      <c r="AK63" s="1"/>
      <c r="AL63" s="1"/>
      <c r="AM63" s="1"/>
      <c r="AN63" s="1"/>
      <c r="AP63" s="44" t="s">
        <v>2625</v>
      </c>
      <c r="AQ63" s="42">
        <v>2.59</v>
      </c>
      <c r="AR63" s="42">
        <v>0</v>
      </c>
      <c r="AS63" s="42">
        <v>2.59</v>
      </c>
      <c r="AT63" s="42">
        <v>3.56</v>
      </c>
      <c r="AU63" s="42">
        <v>1.37</v>
      </c>
      <c r="AV63" s="42">
        <v>1.17</v>
      </c>
      <c r="AW63" s="42">
        <v>1.17</v>
      </c>
      <c r="AX63" s="46">
        <v>0</v>
      </c>
      <c r="AZ63" s="44" t="s">
        <v>2625</v>
      </c>
      <c r="BA63" s="42">
        <v>0.45</v>
      </c>
      <c r="BB63" s="42">
        <v>4.18</v>
      </c>
      <c r="BC63" s="42">
        <v>0.39</v>
      </c>
      <c r="BD63" s="42">
        <v>1.61</v>
      </c>
      <c r="BE63" s="42">
        <v>2.59</v>
      </c>
      <c r="BF63" s="42">
        <v>1.89</v>
      </c>
      <c r="BG63" s="42">
        <v>0.62</v>
      </c>
      <c r="BH63" s="46">
        <v>1.17</v>
      </c>
      <c r="BJ63" s="44" t="s">
        <v>2625</v>
      </c>
      <c r="BK63" s="42">
        <v>12.69</v>
      </c>
      <c r="BL63" s="42">
        <v>1.17</v>
      </c>
      <c r="BM63" s="42">
        <v>0.2</v>
      </c>
      <c r="BN63" s="42">
        <v>0</v>
      </c>
      <c r="BO63" s="42">
        <v>1.61</v>
      </c>
      <c r="BP63" s="42">
        <v>3.56</v>
      </c>
      <c r="BQ63" s="42">
        <v>0.24</v>
      </c>
      <c r="BR63" s="46">
        <v>0.24</v>
      </c>
      <c r="BT63" s="67" t="s">
        <v>937</v>
      </c>
      <c r="BU63" s="65">
        <v>0.85</v>
      </c>
      <c r="BV63" s="49">
        <v>0.58269230769230695</v>
      </c>
      <c r="BW63" s="49">
        <v>0.147916666666666</v>
      </c>
      <c r="BX63" s="49">
        <v>1.5281578947368399</v>
      </c>
      <c r="BY63" s="49">
        <v>2.04565217391304</v>
      </c>
      <c r="BZ63" s="49">
        <v>0.69666666666666699</v>
      </c>
      <c r="CA63" s="49">
        <v>0.31783783783783698</v>
      </c>
      <c r="CB63" s="50">
        <v>2.1545454545454499</v>
      </c>
    </row>
    <row r="64" spans="2:80" ht="30.75" thickBot="1">
      <c r="V64" s="52" t="s">
        <v>539</v>
      </c>
      <c r="W64" s="11">
        <f>W63-W53</f>
        <v>-7.8809523809519888E-2</v>
      </c>
      <c r="X64" s="11">
        <f t="shared" ref="X64:AC64" si="19">X63-X53</f>
        <v>1.3953488372099976E-2</v>
      </c>
      <c r="Y64" s="11">
        <f>Y63-Y53</f>
        <v>-0.19243902439023941</v>
      </c>
      <c r="Z64" s="11">
        <f t="shared" si="19"/>
        <v>0.12100000000000932</v>
      </c>
      <c r="AA64" s="11">
        <f>AA63-AA53</f>
        <v>3.9302325581400233E-2</v>
      </c>
      <c r="AB64" s="11">
        <f>AB63-AB53</f>
        <v>9.8333333333339823E-2</v>
      </c>
      <c r="AC64" s="11">
        <f t="shared" si="19"/>
        <v>6.8139534883729924E-2</v>
      </c>
      <c r="AD64" s="12">
        <f>AD63-AD53</f>
        <v>-0.11857142857142011</v>
      </c>
      <c r="AF64" s="82" t="s">
        <v>553</v>
      </c>
      <c r="AG64" s="8">
        <v>4.1399999999999997</v>
      </c>
      <c r="AH64" s="8">
        <v>6.08</v>
      </c>
      <c r="AI64" s="8">
        <v>3.66</v>
      </c>
      <c r="AJ64" s="8">
        <v>5.32</v>
      </c>
      <c r="AK64" s="8">
        <v>5.44</v>
      </c>
      <c r="AL64" s="8">
        <v>1.83</v>
      </c>
      <c r="AM64" s="8">
        <v>3.76</v>
      </c>
      <c r="AN64" s="9">
        <v>2.91</v>
      </c>
      <c r="AP64" s="66" t="s">
        <v>936</v>
      </c>
      <c r="AQ64" s="63">
        <v>2.5569387755102002</v>
      </c>
      <c r="AR64" s="57">
        <v>1.32325</v>
      </c>
      <c r="AS64" s="57">
        <v>3.1364705882352899</v>
      </c>
      <c r="AT64" s="57">
        <v>4.7919999999999998</v>
      </c>
      <c r="AU64" s="57">
        <v>1.48983333333333</v>
      </c>
      <c r="AV64" s="57">
        <v>9.5643137254901998</v>
      </c>
      <c r="AW64" s="57">
        <v>1.0623728813559301</v>
      </c>
      <c r="AX64" s="58">
        <v>3.1775000000000002</v>
      </c>
      <c r="AZ64" s="66" t="s">
        <v>936</v>
      </c>
      <c r="BA64" s="63">
        <v>0.60716666666666697</v>
      </c>
      <c r="BB64" s="57">
        <v>2.9540000000000002</v>
      </c>
      <c r="BC64" s="57">
        <v>0.51566666666666605</v>
      </c>
      <c r="BD64" s="57">
        <v>1.7936666666666601</v>
      </c>
      <c r="BE64" s="57">
        <v>4.3856666666666602</v>
      </c>
      <c r="BF64" s="57">
        <v>2.6581666666666601</v>
      </c>
      <c r="BG64" s="57">
        <v>0.67183333333333295</v>
      </c>
      <c r="BH64" s="58">
        <v>1.37053571428571</v>
      </c>
      <c r="BJ64" s="66" t="s">
        <v>936</v>
      </c>
      <c r="BK64" s="63">
        <v>12.372999999999999</v>
      </c>
      <c r="BL64" s="57">
        <v>1.3788888888888799</v>
      </c>
      <c r="BM64" s="57">
        <v>1.8291666666666599</v>
      </c>
      <c r="BN64" s="57">
        <v>2.9844230769230702</v>
      </c>
      <c r="BO64" s="57">
        <v>1.68533333333333</v>
      </c>
      <c r="BP64" s="57">
        <v>2.5891666666666602</v>
      </c>
      <c r="BQ64" s="57">
        <v>0.22566666666666599</v>
      </c>
      <c r="BR64" s="58">
        <v>0.30883333333333302</v>
      </c>
    </row>
    <row r="65" spans="12:80" ht="45.75" thickBot="1">
      <c r="L65" s="82" t="s">
        <v>534</v>
      </c>
      <c r="M65" s="8">
        <v>2.88</v>
      </c>
      <c r="N65" s="8">
        <v>5.31</v>
      </c>
      <c r="O65" s="8">
        <v>5.04</v>
      </c>
      <c r="P65" s="8">
        <v>6.21</v>
      </c>
      <c r="Q65" s="8">
        <v>5.29</v>
      </c>
      <c r="R65" s="8">
        <v>3.65</v>
      </c>
      <c r="S65" s="8">
        <v>2.85</v>
      </c>
      <c r="T65" s="9">
        <v>3.06</v>
      </c>
      <c r="V65" s="53" t="s">
        <v>544</v>
      </c>
      <c r="W65" s="14">
        <f>(W64/W53)*100</f>
        <v>-2.0162027166960095</v>
      </c>
      <c r="X65" s="14">
        <f t="shared" ref="X65:AB65" si="20">(X64/X53)*100</f>
        <v>0.32631750693441014</v>
      </c>
      <c r="Y65" s="14">
        <f>(Y64/Y53)*100</f>
        <v>-4.6455487517662641</v>
      </c>
      <c r="Z65" s="14">
        <f t="shared" si="20"/>
        <v>2.8080761197495847</v>
      </c>
      <c r="AA65" s="14">
        <f>(AA64/AA53)*100</f>
        <v>1.0915197313183571</v>
      </c>
      <c r="AB65" s="14">
        <f t="shared" si="20"/>
        <v>3.1399680681215547</v>
      </c>
      <c r="AC65" s="14">
        <f>(AC64/AC53)*100</f>
        <v>4.1755736069551128</v>
      </c>
      <c r="AD65" s="15">
        <f>(AD64/AD53)*100</f>
        <v>-9.4965675057202112</v>
      </c>
      <c r="AF65" s="52" t="s">
        <v>539</v>
      </c>
      <c r="AG65" s="11">
        <f>AG64-AG58</f>
        <v>-4.7826086956499481E-3</v>
      </c>
      <c r="AH65" s="11">
        <f t="shared" ref="AH65:AN65" si="21">AH64-AH58</f>
        <v>-2.3809523808981936E-4</v>
      </c>
      <c r="AI65" s="11">
        <f t="shared" si="21"/>
        <v>-0.11022727272726973</v>
      </c>
      <c r="AJ65" s="11">
        <f t="shared" si="21"/>
        <v>0.20000000000000018</v>
      </c>
      <c r="AK65" s="11">
        <f t="shared" si="21"/>
        <v>3.5652173913049978E-2</v>
      </c>
      <c r="AL65" s="11">
        <f t="shared" si="21"/>
        <v>-1.2653061224489948E-2</v>
      </c>
      <c r="AM65" s="11">
        <f t="shared" si="21"/>
        <v>1.7954545454549997E-2</v>
      </c>
      <c r="AN65" s="12">
        <f t="shared" si="21"/>
        <v>-0.23593749999999991</v>
      </c>
      <c r="AP65" s="20" t="s">
        <v>515</v>
      </c>
      <c r="AQ65" s="64">
        <v>2.1941129062177098</v>
      </c>
      <c r="AR65" s="42">
        <v>0.54236697677863799</v>
      </c>
      <c r="AS65" s="42">
        <v>1.8493049288106</v>
      </c>
      <c r="AT65" s="42">
        <v>4.0992104117744397</v>
      </c>
      <c r="AU65" s="42">
        <v>0.689861076997068</v>
      </c>
      <c r="AV65" s="42">
        <v>24.2269648228792</v>
      </c>
      <c r="AW65" s="42">
        <v>0.38930332813691298</v>
      </c>
      <c r="AX65" s="46">
        <v>2.18874136206176</v>
      </c>
      <c r="AZ65" s="20" t="s">
        <v>515</v>
      </c>
      <c r="BA65" s="64">
        <v>0.20483401139025201</v>
      </c>
      <c r="BB65" s="42">
        <v>1.83219558635716</v>
      </c>
      <c r="BC65" s="42">
        <v>0.814420789409395</v>
      </c>
      <c r="BD65" s="42">
        <v>0.56808146911825497</v>
      </c>
      <c r="BE65" s="42">
        <v>5.2801386871516502</v>
      </c>
      <c r="BF65" s="42">
        <v>2.1956771860989801</v>
      </c>
      <c r="BG65" s="42">
        <v>8.0093521724433001E-2</v>
      </c>
      <c r="BH65" s="46">
        <v>0.67305651334271999</v>
      </c>
      <c r="BJ65" s="20" t="s">
        <v>515</v>
      </c>
      <c r="BK65" s="64">
        <v>2.54768214919627</v>
      </c>
      <c r="BL65" s="42">
        <v>0.250825796613732</v>
      </c>
      <c r="BM65" s="42">
        <v>1.9118518872781101</v>
      </c>
      <c r="BN65" s="42">
        <v>0.87403444189648505</v>
      </c>
      <c r="BO65" s="42">
        <v>0.21141954077667899</v>
      </c>
      <c r="BP65" s="42">
        <v>0.58505638379751201</v>
      </c>
      <c r="BQ65" s="42">
        <v>2.7164110309172401E-2</v>
      </c>
      <c r="BR65" s="46">
        <v>0.15981334598698399</v>
      </c>
      <c r="BT65" s="82" t="s">
        <v>534</v>
      </c>
      <c r="BU65" s="8">
        <v>4.2</v>
      </c>
      <c r="BV65" s="8">
        <v>6.08</v>
      </c>
      <c r="BW65" s="8">
        <v>3.62</v>
      </c>
      <c r="BX65" s="8">
        <v>5.36</v>
      </c>
      <c r="BY65" s="8">
        <v>5.44</v>
      </c>
      <c r="BZ65" s="8">
        <v>1.82</v>
      </c>
      <c r="CA65" s="8">
        <v>3.76</v>
      </c>
      <c r="CB65" s="9">
        <v>2.87</v>
      </c>
    </row>
    <row r="66" spans="12:80" ht="15.75" thickBot="1">
      <c r="L66" s="52" t="s">
        <v>945</v>
      </c>
      <c r="M66" s="11">
        <f>M65-M63</f>
        <v>4.0925925925929807E-2</v>
      </c>
      <c r="N66" s="11">
        <f t="shared" ref="N66:T66" si="22">N65-N63</f>
        <v>-5.4489795918360784E-2</v>
      </c>
      <c r="O66" s="11">
        <f t="shared" si="22"/>
        <v>-0.13235294117646035</v>
      </c>
      <c r="P66" s="11">
        <f t="shared" si="22"/>
        <v>0.47565217391305037</v>
      </c>
      <c r="Q66" s="11">
        <f>Q65-Q63</f>
        <v>0.16166666666666973</v>
      </c>
      <c r="R66" s="11">
        <f>R65-R63</f>
        <v>-5.5600000000000094E-2</v>
      </c>
      <c r="S66" s="11">
        <f t="shared" si="22"/>
        <v>-0.20779999999999976</v>
      </c>
      <c r="T66" s="12">
        <f t="shared" si="22"/>
        <v>-0.38234042553190983</v>
      </c>
      <c r="AF66" s="53" t="s">
        <v>544</v>
      </c>
      <c r="AG66" s="14">
        <f>(AG65/AG58)*100</f>
        <v>-0.11538864995274192</v>
      </c>
      <c r="AH66" s="14">
        <f t="shared" ref="AH66:AN66" si="23">(AH65/AH58)*100</f>
        <v>-3.9158867524659996E-3</v>
      </c>
      <c r="AI66" s="14">
        <f t="shared" si="23"/>
        <v>-2.9236240882511737</v>
      </c>
      <c r="AJ66" s="14">
        <f t="shared" si="23"/>
        <v>3.9062500000000036</v>
      </c>
      <c r="AK66" s="14">
        <f t="shared" si="23"/>
        <v>0.65969428801299312</v>
      </c>
      <c r="AL66" s="14">
        <f t="shared" si="23"/>
        <v>-0.68667626536715842</v>
      </c>
      <c r="AM66" s="14">
        <f t="shared" si="23"/>
        <v>0.4798056483450962</v>
      </c>
      <c r="AN66" s="15">
        <f t="shared" si="23"/>
        <v>-7.4997516638521873</v>
      </c>
      <c r="AP66" s="20" t="s">
        <v>520</v>
      </c>
      <c r="AQ66" s="64">
        <v>4.75105168172791</v>
      </c>
      <c r="AR66" s="42">
        <v>1.8656169767786399</v>
      </c>
      <c r="AS66" s="42">
        <v>4.9857755170458899</v>
      </c>
      <c r="AT66" s="42">
        <v>8.8912104117744395</v>
      </c>
      <c r="AU66" s="42">
        <v>2.1796944103303999</v>
      </c>
      <c r="AV66" s="42">
        <v>33.791278548369398</v>
      </c>
      <c r="AW66" s="42">
        <v>1.4516762094928399</v>
      </c>
      <c r="AX66" s="46">
        <v>5.3662413620617597</v>
      </c>
      <c r="AZ66" s="20" t="s">
        <v>520</v>
      </c>
      <c r="BA66" s="64">
        <v>0.812000678056919</v>
      </c>
      <c r="BB66" s="42">
        <v>4.7861955863571604</v>
      </c>
      <c r="BC66" s="42">
        <v>1.33008745607606</v>
      </c>
      <c r="BD66" s="42">
        <v>2.3617481357849202</v>
      </c>
      <c r="BE66" s="42">
        <v>9.6658053538183193</v>
      </c>
      <c r="BF66" s="42">
        <v>4.8538438527656496</v>
      </c>
      <c r="BG66" s="42">
        <v>0.75192685505776502</v>
      </c>
      <c r="BH66" s="46">
        <v>2.0435922276284302</v>
      </c>
      <c r="BJ66" s="20" t="s">
        <v>520</v>
      </c>
      <c r="BK66" s="64">
        <v>14.9206821491962</v>
      </c>
      <c r="BL66" s="42">
        <v>1.6297146855026201</v>
      </c>
      <c r="BM66" s="42">
        <v>3.7410185539447798</v>
      </c>
      <c r="BN66" s="42">
        <v>3.8584575188195598</v>
      </c>
      <c r="BO66" s="42">
        <v>1.8967528741100099</v>
      </c>
      <c r="BP66" s="42">
        <v>3.17422305046418</v>
      </c>
      <c r="BQ66" s="42">
        <v>0.252830776975839</v>
      </c>
      <c r="BR66" s="46">
        <v>0.46864667932031701</v>
      </c>
      <c r="BT66" s="52" t="s">
        <v>539</v>
      </c>
      <c r="BU66" s="11">
        <f>BU65-BU63</f>
        <v>3.35</v>
      </c>
      <c r="BV66" s="11">
        <f t="shared" ref="BV66:CB66" si="24">BV65-BV63</f>
        <v>5.4973076923076931</v>
      </c>
      <c r="BW66" s="11">
        <f t="shared" si="24"/>
        <v>3.4720833333333343</v>
      </c>
      <c r="BX66" s="11">
        <f t="shared" si="24"/>
        <v>3.8318421052631604</v>
      </c>
      <c r="BY66" s="11">
        <f t="shared" si="24"/>
        <v>3.3943478260869604</v>
      </c>
      <c r="BZ66" s="11">
        <f t="shared" si="24"/>
        <v>1.1233333333333331</v>
      </c>
      <c r="CA66" s="11">
        <f t="shared" si="24"/>
        <v>3.442162162162163</v>
      </c>
      <c r="CB66" s="12">
        <f t="shared" si="24"/>
        <v>0.71545454545455023</v>
      </c>
    </row>
    <row r="67" spans="12:80" ht="15.75" thickBot="1">
      <c r="L67" s="53" t="s">
        <v>946</v>
      </c>
      <c r="M67" s="14">
        <f>(M66/M63)*100</f>
        <v>1.4415237101299412</v>
      </c>
      <c r="N67" s="14">
        <f t="shared" ref="N67:S67" si="25">(N66/N63)*100</f>
        <v>-1.0157498288060876</v>
      </c>
      <c r="O67" s="14">
        <f t="shared" si="25"/>
        <v>-2.5588536335719665</v>
      </c>
      <c r="P67" s="14">
        <f t="shared" si="25"/>
        <v>8.29479111380709</v>
      </c>
      <c r="Q67" s="14">
        <f t="shared" si="25"/>
        <v>3.1524211894703251</v>
      </c>
      <c r="R67" s="14">
        <f t="shared" si="25"/>
        <v>-1.5004317789291908</v>
      </c>
      <c r="S67" s="14">
        <f t="shared" si="25"/>
        <v>-6.7957354961083061</v>
      </c>
      <c r="T67" s="15">
        <f>(T66/T63)*100</f>
        <v>-11.106990543296735</v>
      </c>
      <c r="AP67" s="20" t="s">
        <v>525</v>
      </c>
      <c r="AQ67" s="64">
        <v>0.362825869292487</v>
      </c>
      <c r="AR67" s="42">
        <v>0.78088302322136205</v>
      </c>
      <c r="AS67" s="42">
        <v>1.2871656594246901</v>
      </c>
      <c r="AT67" s="42">
        <v>0.69278958822555703</v>
      </c>
      <c r="AU67" s="42">
        <v>0.79997225633626601</v>
      </c>
      <c r="AV67" s="42">
        <v>-14.662651097389</v>
      </c>
      <c r="AW67" s="42">
        <v>0.67306955321901796</v>
      </c>
      <c r="AX67" s="46">
        <v>0.98875863793823304</v>
      </c>
      <c r="AZ67" s="20" t="s">
        <v>525</v>
      </c>
      <c r="BA67" s="64">
        <v>0.40233265527641399</v>
      </c>
      <c r="BB67" s="42">
        <v>1.12180441364283</v>
      </c>
      <c r="BC67" s="42">
        <v>-0.298754122742728</v>
      </c>
      <c r="BD67" s="42">
        <v>1.22558519754841</v>
      </c>
      <c r="BE67" s="42">
        <v>-0.89447202048498298</v>
      </c>
      <c r="BF67" s="42">
        <v>0.46248948056767702</v>
      </c>
      <c r="BG67" s="42">
        <v>0.59173981160889999</v>
      </c>
      <c r="BH67" s="46">
        <v>0.69747920094299398</v>
      </c>
      <c r="BJ67" s="20" t="s">
        <v>525</v>
      </c>
      <c r="BK67" s="64">
        <v>9.8253178508037404</v>
      </c>
      <c r="BL67" s="42">
        <v>1.12806309227515</v>
      </c>
      <c r="BM67" s="42">
        <v>-8.2685220611448507E-2</v>
      </c>
      <c r="BN67" s="42">
        <v>2.1103886350265899</v>
      </c>
      <c r="BO67" s="42">
        <v>1.4739137925566499</v>
      </c>
      <c r="BP67" s="42">
        <v>2.0041102828691502</v>
      </c>
      <c r="BQ67" s="42">
        <v>0.198502556357494</v>
      </c>
      <c r="BR67" s="46">
        <v>0.149019987346348</v>
      </c>
      <c r="BT67" s="53" t="s">
        <v>544</v>
      </c>
      <c r="BU67" s="14">
        <f>(BU66/BU63)*100</f>
        <v>394.11764705882354</v>
      </c>
      <c r="BV67" s="14">
        <f t="shared" ref="BV67:CB67" si="26">(BV66/BV63)*100</f>
        <v>943.43234323432489</v>
      </c>
      <c r="BW67" s="14">
        <f>(BW66/BW63)*100</f>
        <v>2347.3239436619833</v>
      </c>
      <c r="BX67" s="14">
        <f t="shared" si="26"/>
        <v>250.74909591871929</v>
      </c>
      <c r="BY67" s="14">
        <f t="shared" si="26"/>
        <v>165.92986184909716</v>
      </c>
      <c r="BZ67" s="14">
        <f t="shared" si="26"/>
        <v>161.24401913875587</v>
      </c>
      <c r="CA67" s="14">
        <f t="shared" si="26"/>
        <v>1082.9931972789147</v>
      </c>
      <c r="CB67" s="15">
        <f t="shared" si="26"/>
        <v>33.20675105485261</v>
      </c>
    </row>
    <row r="68" spans="12:80" ht="30.75" thickBot="1">
      <c r="AF68" s="82" t="s">
        <v>568</v>
      </c>
      <c r="AG68" s="8">
        <v>4.1900000000000004</v>
      </c>
      <c r="AH68" s="8">
        <v>6.13</v>
      </c>
      <c r="AI68" s="8">
        <v>3.69</v>
      </c>
      <c r="AJ68" s="8">
        <v>5.35</v>
      </c>
      <c r="AK68" s="8">
        <v>5.49</v>
      </c>
      <c r="AL68" s="8">
        <v>1.85</v>
      </c>
      <c r="AM68" s="8">
        <v>3.72</v>
      </c>
      <c r="AN68" s="9">
        <v>2.9</v>
      </c>
      <c r="AP68" s="67" t="s">
        <v>937</v>
      </c>
      <c r="AQ68" s="65">
        <v>2.2470833333333302</v>
      </c>
      <c r="AR68" s="49">
        <v>1.17</v>
      </c>
      <c r="AS68" s="49">
        <v>2.5321739130434699</v>
      </c>
      <c r="AT68" s="49">
        <v>3.3160377358490498</v>
      </c>
      <c r="AU68" s="49">
        <v>1.4011864406779599</v>
      </c>
      <c r="AV68" s="49">
        <v>1.60239130434782</v>
      </c>
      <c r="AW68" s="49">
        <v>1.25444444444444</v>
      </c>
      <c r="AX68" s="50">
        <v>2.2833333333333301</v>
      </c>
      <c r="AZ68" s="67" t="s">
        <v>937</v>
      </c>
      <c r="BA68" s="65">
        <v>0.54092592592592603</v>
      </c>
      <c r="BB68" s="49">
        <v>4.18</v>
      </c>
      <c r="BC68" s="49">
        <v>0.36482758620689598</v>
      </c>
      <c r="BD68" s="49">
        <v>1.6070370370370299</v>
      </c>
      <c r="BE68" s="49">
        <v>2.5413207547169798</v>
      </c>
      <c r="BF68" s="49">
        <v>1.86584905660377</v>
      </c>
      <c r="BG68" s="49">
        <v>0.68561403508771901</v>
      </c>
      <c r="BH68" s="50">
        <v>1.2115094339622601</v>
      </c>
      <c r="BJ68" s="67" t="s">
        <v>937</v>
      </c>
      <c r="BK68" s="65">
        <v>13.270799999999999</v>
      </c>
      <c r="BL68" s="49">
        <v>1.46021276595744</v>
      </c>
      <c r="BM68" s="49">
        <v>1.4112280701754301</v>
      </c>
      <c r="BN68" s="49">
        <v>3.51125</v>
      </c>
      <c r="BO68" s="49">
        <v>1.76428571428571</v>
      </c>
      <c r="BP68" s="49">
        <v>2.5244897959183601</v>
      </c>
      <c r="BQ68" s="49">
        <v>0.22901960784313699</v>
      </c>
      <c r="BR68" s="50">
        <v>0.23749999999999899</v>
      </c>
      <c r="BT68" s="1"/>
      <c r="BU68" s="1"/>
      <c r="BV68" s="1"/>
      <c r="BW68" s="1"/>
      <c r="BX68" s="1"/>
      <c r="BY68" s="1"/>
      <c r="BZ68" s="1"/>
      <c r="CA68" s="1"/>
      <c r="CB68" s="1"/>
    </row>
    <row r="69" spans="12:80" ht="30.75" thickBot="1">
      <c r="L69" s="82" t="s">
        <v>553</v>
      </c>
      <c r="M69" s="8">
        <v>2.84</v>
      </c>
      <c r="N69" s="8">
        <v>5.41</v>
      </c>
      <c r="O69" s="8">
        <v>5.0999999999999996</v>
      </c>
      <c r="P69" s="8">
        <v>6.17</v>
      </c>
      <c r="Q69" s="8">
        <v>5.33</v>
      </c>
      <c r="R69" s="8">
        <v>3.65</v>
      </c>
      <c r="S69" s="8">
        <v>2.94</v>
      </c>
      <c r="T69" s="9">
        <v>3.12</v>
      </c>
      <c r="AF69" s="52" t="s">
        <v>539</v>
      </c>
      <c r="AG69" s="11">
        <f>AG68-AG58</f>
        <v>4.5217391304350762E-2</v>
      </c>
      <c r="AH69" s="11">
        <f t="shared" ref="AH69:AN69" si="27">AH68-AH58</f>
        <v>4.9761904761910003E-2</v>
      </c>
      <c r="AI69" s="11">
        <f t="shared" si="27"/>
        <v>-8.0227272727269927E-2</v>
      </c>
      <c r="AJ69" s="11">
        <f t="shared" si="27"/>
        <v>0.22999999999999954</v>
      </c>
      <c r="AK69" s="11">
        <f t="shared" si="27"/>
        <v>8.5652173913049801E-2</v>
      </c>
      <c r="AL69" s="11">
        <f t="shared" si="27"/>
        <v>7.3469387755100701E-3</v>
      </c>
      <c r="AM69" s="11">
        <f t="shared" si="27"/>
        <v>-2.2045454545449594E-2</v>
      </c>
      <c r="AN69" s="12">
        <f t="shared" si="27"/>
        <v>-0.24593750000000014</v>
      </c>
      <c r="BT69" s="82" t="s">
        <v>553</v>
      </c>
      <c r="BU69" s="8">
        <v>4.1399999999999997</v>
      </c>
      <c r="BV69" s="8">
        <v>6.08</v>
      </c>
      <c r="BW69" s="8">
        <v>3.66</v>
      </c>
      <c r="BX69" s="8">
        <v>5.32</v>
      </c>
      <c r="BY69" s="8">
        <v>5.44</v>
      </c>
      <c r="BZ69" s="8">
        <v>1.83</v>
      </c>
      <c r="CA69" s="8">
        <v>3.76</v>
      </c>
      <c r="CB69" s="9">
        <v>2.91</v>
      </c>
    </row>
    <row r="70" spans="12:80" ht="45.75" thickBot="1">
      <c r="L70" s="52" t="s">
        <v>539</v>
      </c>
      <c r="M70" s="11">
        <f>M69-M63</f>
        <v>9.2592592592977141E-4</v>
      </c>
      <c r="N70" s="11">
        <f t="shared" ref="N70:S70" si="28">N69-N63</f>
        <v>4.5510204081639749E-2</v>
      </c>
      <c r="O70" s="11">
        <f t="shared" si="28"/>
        <v>-7.2352941176460739E-2</v>
      </c>
      <c r="P70" s="11">
        <f t="shared" si="28"/>
        <v>0.43565217391305033</v>
      </c>
      <c r="Q70" s="11">
        <f>Q69-Q63</f>
        <v>0.20166666666666977</v>
      </c>
      <c r="R70" s="11">
        <f t="shared" si="28"/>
        <v>-5.5600000000000094E-2</v>
      </c>
      <c r="S70" s="11">
        <f t="shared" si="28"/>
        <v>-0.1177999999999999</v>
      </c>
      <c r="T70" s="12">
        <f>T69-T63</f>
        <v>-0.32234042553190978</v>
      </c>
      <c r="AF70" s="53" t="s">
        <v>544</v>
      </c>
      <c r="AG70" s="14">
        <f>(AG69/AG58)*100</f>
        <v>1.0909472359174113</v>
      </c>
      <c r="AH70" s="14">
        <f t="shared" ref="AH70:AN70" si="29">(AH69/AH58)*100</f>
        <v>0.81842033128410618</v>
      </c>
      <c r="AI70" s="14">
        <f t="shared" si="29"/>
        <v>-2.127916088974549</v>
      </c>
      <c r="AJ70" s="14">
        <f t="shared" si="29"/>
        <v>4.4921874999999911</v>
      </c>
      <c r="AK70" s="14">
        <f t="shared" si="29"/>
        <v>1.5848753016895798</v>
      </c>
      <c r="AL70" s="14">
        <f t="shared" si="29"/>
        <v>0.39871525085833803</v>
      </c>
      <c r="AM70" s="14">
        <f t="shared" si="29"/>
        <v>-0.58912845429686211</v>
      </c>
      <c r="AN70" s="15">
        <f t="shared" si="29"/>
        <v>-7.8176219330485779</v>
      </c>
      <c r="AP70" s="82" t="s">
        <v>534</v>
      </c>
      <c r="AQ70" s="8">
        <v>3.04</v>
      </c>
      <c r="AR70" s="8">
        <v>4.01</v>
      </c>
      <c r="AS70" s="8">
        <v>5.24</v>
      </c>
      <c r="AT70" s="8">
        <v>5.77</v>
      </c>
      <c r="AU70" s="8">
        <v>4.1900000000000004</v>
      </c>
      <c r="AV70" s="8">
        <v>4.38</v>
      </c>
      <c r="AW70" s="8">
        <v>1.55</v>
      </c>
      <c r="AX70" s="9">
        <v>2.41</v>
      </c>
      <c r="AZ70" s="82" t="s">
        <v>534</v>
      </c>
      <c r="BA70" s="8">
        <v>2.88</v>
      </c>
      <c r="BB70" s="8">
        <v>5.31</v>
      </c>
      <c r="BC70" s="8">
        <v>5.04</v>
      </c>
      <c r="BD70" s="8">
        <v>6.21</v>
      </c>
      <c r="BE70" s="8">
        <v>5.29</v>
      </c>
      <c r="BF70" s="8">
        <v>3.65</v>
      </c>
      <c r="BG70" s="8">
        <v>2.85</v>
      </c>
      <c r="BH70" s="9">
        <v>3.06</v>
      </c>
      <c r="BJ70" s="82" t="s">
        <v>534</v>
      </c>
      <c r="BK70" s="8">
        <v>3.88</v>
      </c>
      <c r="BL70" s="8">
        <v>4.2300000000000004</v>
      </c>
      <c r="BM70" s="8">
        <v>3.88</v>
      </c>
      <c r="BN70" s="8">
        <v>4.43</v>
      </c>
      <c r="BO70" s="8">
        <v>3.58</v>
      </c>
      <c r="BP70" s="8">
        <v>3.17</v>
      </c>
      <c r="BQ70" s="8">
        <v>1.72</v>
      </c>
      <c r="BR70" s="9">
        <v>1.1399999999999999</v>
      </c>
      <c r="BT70" s="52" t="s">
        <v>539</v>
      </c>
      <c r="BU70" s="11">
        <f>BU69-BU63</f>
        <v>3.2899999999999996</v>
      </c>
      <c r="BV70" s="11">
        <f t="shared" ref="BV70:CB70" si="30">BV69-BV63</f>
        <v>5.4973076923076931</v>
      </c>
      <c r="BW70" s="11">
        <f t="shared" si="30"/>
        <v>3.5120833333333343</v>
      </c>
      <c r="BX70" s="11">
        <f t="shared" si="30"/>
        <v>3.7918421052631603</v>
      </c>
      <c r="BY70" s="11">
        <f t="shared" si="30"/>
        <v>3.3943478260869604</v>
      </c>
      <c r="BZ70" s="11">
        <f t="shared" si="30"/>
        <v>1.1333333333333331</v>
      </c>
      <c r="CA70" s="11">
        <f t="shared" si="30"/>
        <v>3.442162162162163</v>
      </c>
      <c r="CB70" s="12">
        <f t="shared" si="30"/>
        <v>0.75545454545455026</v>
      </c>
    </row>
    <row r="71" spans="12:80" ht="15.75" thickBot="1">
      <c r="L71" s="53" t="s">
        <v>544</v>
      </c>
      <c r="M71" s="14">
        <f>(M70/M63)*100</f>
        <v>3.2613658600357268E-2</v>
      </c>
      <c r="N71" s="14">
        <f>(N70/N63)*100</f>
        <v>0.84836034390943871</v>
      </c>
      <c r="O71" s="14">
        <f t="shared" ref="O71:S71" si="31">(O70/O63)*100</f>
        <v>-1.3988399863525931</v>
      </c>
      <c r="P71" s="14">
        <f>(P70/P63)*100</f>
        <v>7.5972401243461745</v>
      </c>
      <c r="Q71" s="14">
        <f t="shared" si="31"/>
        <v>3.9324016899578136</v>
      </c>
      <c r="R71" s="14">
        <f>(R70/R63)*100</f>
        <v>-1.5004317789291908</v>
      </c>
      <c r="S71" s="14">
        <f t="shared" si="31"/>
        <v>-3.8524429328275205</v>
      </c>
      <c r="T71" s="15">
        <f>(T70/T63)*100</f>
        <v>-9.3639903578711792</v>
      </c>
      <c r="AP71" s="52" t="s">
        <v>539</v>
      </c>
      <c r="AQ71" s="11">
        <f>AQ70-AQ68</f>
        <v>0.79291666666666982</v>
      </c>
      <c r="AR71" s="11">
        <f t="shared" ref="AR71:AX71" si="32">AR70-AR68</f>
        <v>2.84</v>
      </c>
      <c r="AS71" s="11">
        <f t="shared" si="32"/>
        <v>2.7078260869565303</v>
      </c>
      <c r="AT71" s="11">
        <f t="shared" si="32"/>
        <v>2.4539622641509498</v>
      </c>
      <c r="AU71" s="11">
        <f t="shared" si="32"/>
        <v>2.7888135593220404</v>
      </c>
      <c r="AV71" s="11">
        <f t="shared" si="32"/>
        <v>2.7776086956521802</v>
      </c>
      <c r="AW71" s="11">
        <f t="shared" si="32"/>
        <v>0.29555555555556001</v>
      </c>
      <c r="AX71" s="12">
        <f t="shared" si="32"/>
        <v>0.12666666666667004</v>
      </c>
      <c r="AZ71" s="52" t="s">
        <v>539</v>
      </c>
      <c r="BA71" s="11">
        <f>BA70-BA68</f>
        <v>2.3390740740740741</v>
      </c>
      <c r="BB71" s="11">
        <f t="shared" ref="BB71:BH71" si="33">BB70-BB68</f>
        <v>1.1299999999999999</v>
      </c>
      <c r="BC71" s="11">
        <f t="shared" si="33"/>
        <v>4.6751724137931037</v>
      </c>
      <c r="BD71" s="11">
        <f t="shared" si="33"/>
        <v>4.6029629629629696</v>
      </c>
      <c r="BE71" s="11">
        <f t="shared" si="33"/>
        <v>2.7486792452830202</v>
      </c>
      <c r="BF71" s="11">
        <f t="shared" si="33"/>
        <v>1.7841509433962299</v>
      </c>
      <c r="BG71" s="11">
        <f t="shared" si="33"/>
        <v>2.164385964912281</v>
      </c>
      <c r="BH71" s="12">
        <f t="shared" si="33"/>
        <v>1.84849056603774</v>
      </c>
      <c r="BJ71" s="52" t="s">
        <v>539</v>
      </c>
      <c r="BK71" s="11">
        <f>BK70-BK68</f>
        <v>-9.3907999999999987</v>
      </c>
      <c r="BL71" s="11">
        <f t="shared" ref="BL71:BR71" si="34">BL70-BL68</f>
        <v>2.7697872340425604</v>
      </c>
      <c r="BM71" s="11">
        <f t="shared" si="34"/>
        <v>2.4687719298245696</v>
      </c>
      <c r="BN71" s="11">
        <f t="shared" si="34"/>
        <v>0.91874999999999973</v>
      </c>
      <c r="BO71" s="11">
        <f t="shared" si="34"/>
        <v>1.8157142857142901</v>
      </c>
      <c r="BP71" s="11">
        <f t="shared" si="34"/>
        <v>0.64551020408163984</v>
      </c>
      <c r="BQ71" s="11">
        <f t="shared" si="34"/>
        <v>1.490980392156863</v>
      </c>
      <c r="BR71" s="12">
        <f t="shared" si="34"/>
        <v>0.90250000000000097</v>
      </c>
      <c r="BT71" s="53" t="s">
        <v>544</v>
      </c>
      <c r="BU71" s="14">
        <f>(BU70/BU63)*100</f>
        <v>387.05882352941171</v>
      </c>
      <c r="BV71" s="14">
        <f t="shared" ref="BV71:CB71" si="35">(BV70/BV63)*100</f>
        <v>943.43234323432489</v>
      </c>
      <c r="BW71" s="14">
        <f t="shared" si="35"/>
        <v>2374.3661971831098</v>
      </c>
      <c r="BX71" s="14">
        <f t="shared" si="35"/>
        <v>248.13156535216169</v>
      </c>
      <c r="BY71" s="14">
        <f t="shared" si="35"/>
        <v>165.92986184909716</v>
      </c>
      <c r="BZ71" s="14">
        <f t="shared" si="35"/>
        <v>162.67942583732048</v>
      </c>
      <c r="CA71" s="14">
        <f t="shared" si="35"/>
        <v>1082.9931972789147</v>
      </c>
      <c r="CB71" s="15">
        <f t="shared" si="35"/>
        <v>35.063291139240803</v>
      </c>
    </row>
    <row r="72" spans="12:80" ht="15.75" thickBot="1">
      <c r="AP72" s="53" t="s">
        <v>544</v>
      </c>
      <c r="AQ72" s="14">
        <f>(AQ71/AQ68)*100</f>
        <v>35.28648247728556</v>
      </c>
      <c r="AR72" s="14">
        <f t="shared" ref="AR72:AX72" si="36">(AR71/AR68)*100</f>
        <v>242.73504273504273</v>
      </c>
      <c r="AS72" s="14">
        <f t="shared" si="36"/>
        <v>106.93681318681388</v>
      </c>
      <c r="AT72" s="14">
        <f t="shared" si="36"/>
        <v>74.002844950213714</v>
      </c>
      <c r="AU72" s="14">
        <f t="shared" si="36"/>
        <v>199.03229708479631</v>
      </c>
      <c r="AV72" s="14">
        <f t="shared" si="36"/>
        <v>173.3414733414744</v>
      </c>
      <c r="AW72" s="14">
        <f t="shared" si="36"/>
        <v>23.560673162090783</v>
      </c>
      <c r="AX72" s="15">
        <f t="shared" si="36"/>
        <v>5.5474452554746083</v>
      </c>
      <c r="AZ72" s="53" t="s">
        <v>544</v>
      </c>
      <c r="BA72" s="14">
        <f>(BA71/BA68)*100</f>
        <v>432.42040397124259</v>
      </c>
      <c r="BB72" s="14">
        <f t="shared" ref="BB72:BH72" si="37">(BB71/BB68)*100</f>
        <v>27.033492822966505</v>
      </c>
      <c r="BC72" s="14">
        <f t="shared" si="37"/>
        <v>1281.4744801512309</v>
      </c>
      <c r="BD72" s="14">
        <f t="shared" si="37"/>
        <v>286.42544365061241</v>
      </c>
      <c r="BE72" s="14">
        <f t="shared" si="37"/>
        <v>108.15947731828655</v>
      </c>
      <c r="BF72" s="14">
        <f t="shared" si="37"/>
        <v>95.621397512387873</v>
      </c>
      <c r="BG72" s="14">
        <f t="shared" si="37"/>
        <v>315.68577277379751</v>
      </c>
      <c r="BH72" s="15">
        <f t="shared" si="37"/>
        <v>152.57748014328072</v>
      </c>
      <c r="BJ72" s="53" t="s">
        <v>544</v>
      </c>
      <c r="BK72" s="14">
        <f>(BK71/BK68)*100</f>
        <v>-70.762877897338512</v>
      </c>
      <c r="BL72" s="14">
        <f t="shared" ref="BL72:BP72" si="38">(BL71/BL68)*100</f>
        <v>189.68381174413659</v>
      </c>
      <c r="BM72" s="14">
        <f t="shared" si="38"/>
        <v>174.9378418697182</v>
      </c>
      <c r="BN72" s="14">
        <f>(BN71/BN68)*100</f>
        <v>26.16589533641865</v>
      </c>
      <c r="BO72" s="14">
        <f>(BO71/BO68)*100</f>
        <v>102.91497975708552</v>
      </c>
      <c r="BP72" s="14">
        <f t="shared" si="38"/>
        <v>25.569927243330998</v>
      </c>
      <c r="BQ72" s="14">
        <f>(BQ71/BQ68)*100</f>
        <v>651.02739726027482</v>
      </c>
      <c r="BR72" s="15">
        <f>(BR71/BR68)*100</f>
        <v>380.00000000000205</v>
      </c>
    </row>
    <row r="73" spans="12:80" ht="30.75" thickBot="1">
      <c r="L73" s="82" t="s">
        <v>568</v>
      </c>
      <c r="M73" s="7">
        <v>2.88</v>
      </c>
      <c r="N73" s="8">
        <v>5.38</v>
      </c>
      <c r="O73" s="8">
        <v>5.0999999999999996</v>
      </c>
      <c r="P73" s="8">
        <v>6.21</v>
      </c>
      <c r="Q73" s="8">
        <v>5.33</v>
      </c>
      <c r="R73" s="8">
        <v>3.71</v>
      </c>
      <c r="S73" s="8">
        <v>2.87</v>
      </c>
      <c r="T73" s="9">
        <v>3.05</v>
      </c>
      <c r="AP73" s="1"/>
      <c r="AQ73" s="1"/>
      <c r="AR73" s="1"/>
      <c r="AS73" s="1"/>
      <c r="AT73" s="1"/>
      <c r="AU73" s="1"/>
      <c r="AV73" s="1"/>
      <c r="AW73" s="1"/>
      <c r="AX73" s="1"/>
      <c r="AZ73" s="1"/>
      <c r="BA73" s="1"/>
      <c r="BB73" s="1"/>
      <c r="BC73" s="1"/>
      <c r="BD73" s="1"/>
      <c r="BE73" s="1"/>
      <c r="BF73" s="1"/>
      <c r="BG73" s="1"/>
      <c r="BH73" s="1"/>
      <c r="BJ73" s="1"/>
      <c r="BK73" s="1"/>
      <c r="BL73" s="1"/>
      <c r="BM73" s="1"/>
      <c r="BN73" s="1"/>
      <c r="BO73" s="1"/>
      <c r="BP73" s="1"/>
      <c r="BQ73" s="1"/>
      <c r="BR73" s="1"/>
      <c r="BT73" s="82" t="s">
        <v>568</v>
      </c>
      <c r="BU73" s="8">
        <v>4.1900000000000004</v>
      </c>
      <c r="BV73" s="8">
        <v>6.13</v>
      </c>
      <c r="BW73" s="8">
        <v>3.69</v>
      </c>
      <c r="BX73" s="8">
        <v>5.35</v>
      </c>
      <c r="BY73" s="8">
        <v>5.49</v>
      </c>
      <c r="BZ73" s="8">
        <v>1.85</v>
      </c>
      <c r="CA73" s="8">
        <v>3.72</v>
      </c>
      <c r="CB73" s="9">
        <v>2.9</v>
      </c>
    </row>
    <row r="74" spans="12:80" ht="30">
      <c r="L74" s="52" t="s">
        <v>539</v>
      </c>
      <c r="M74" s="10">
        <f>M73-M63</f>
        <v>4.0925925925929807E-2</v>
      </c>
      <c r="N74" s="11">
        <f t="shared" ref="N74:T74" si="39">N73-N63</f>
        <v>1.55102040816395E-2</v>
      </c>
      <c r="O74" s="11">
        <f t="shared" si="39"/>
        <v>-7.2352941176460739E-2</v>
      </c>
      <c r="P74" s="11">
        <f t="shared" si="39"/>
        <v>0.47565217391305037</v>
      </c>
      <c r="Q74" s="11">
        <f t="shared" si="39"/>
        <v>0.20166666666666977</v>
      </c>
      <c r="R74" s="11">
        <f t="shared" si="39"/>
        <v>4.3999999999999595E-3</v>
      </c>
      <c r="S74" s="11">
        <f t="shared" si="39"/>
        <v>-0.18779999999999974</v>
      </c>
      <c r="T74" s="12">
        <f t="shared" si="39"/>
        <v>-0.39234042553191006</v>
      </c>
      <c r="AP74" s="82" t="s">
        <v>553</v>
      </c>
      <c r="AQ74" s="8">
        <v>2.99</v>
      </c>
      <c r="AR74" s="8">
        <v>4.18</v>
      </c>
      <c r="AS74" s="8">
        <v>5.28</v>
      </c>
      <c r="AT74" s="8">
        <v>5.69</v>
      </c>
      <c r="AU74" s="8">
        <v>4.22</v>
      </c>
      <c r="AV74" s="8">
        <v>4.3899999999999997</v>
      </c>
      <c r="AW74" s="8">
        <v>1.62</v>
      </c>
      <c r="AX74" s="9">
        <v>2.44</v>
      </c>
      <c r="AZ74" s="82" t="s">
        <v>553</v>
      </c>
      <c r="BA74" s="8">
        <v>2.84</v>
      </c>
      <c r="BB74" s="8">
        <v>5.41</v>
      </c>
      <c r="BC74" s="8">
        <v>5.0999999999999996</v>
      </c>
      <c r="BD74" s="8">
        <v>6.17</v>
      </c>
      <c r="BE74" s="8">
        <v>5.33</v>
      </c>
      <c r="BF74" s="8">
        <v>3.65</v>
      </c>
      <c r="BG74" s="8">
        <v>2.94</v>
      </c>
      <c r="BH74" s="9">
        <v>3.12</v>
      </c>
      <c r="BJ74" s="82" t="s">
        <v>553</v>
      </c>
      <c r="BK74" s="8">
        <v>3.86</v>
      </c>
      <c r="BL74" s="8">
        <v>4.24</v>
      </c>
      <c r="BM74" s="8">
        <v>3.37</v>
      </c>
      <c r="BN74" s="8">
        <v>4.38</v>
      </c>
      <c r="BO74" s="8">
        <v>3.57</v>
      </c>
      <c r="BP74" s="8">
        <v>3.19</v>
      </c>
      <c r="BQ74" s="8">
        <v>1.74</v>
      </c>
      <c r="BR74" s="9">
        <v>1.1200000000000001</v>
      </c>
      <c r="BT74" s="52" t="s">
        <v>539</v>
      </c>
      <c r="BU74" s="11">
        <f>BU73-BU63</f>
        <v>3.3400000000000003</v>
      </c>
      <c r="BV74" s="11">
        <f t="shared" ref="BV74:CB74" si="40">BV73-BV63</f>
        <v>5.5473076923076929</v>
      </c>
      <c r="BW74" s="11">
        <f t="shared" si="40"/>
        <v>3.5420833333333341</v>
      </c>
      <c r="BX74" s="11">
        <f t="shared" si="40"/>
        <v>3.8218421052631597</v>
      </c>
      <c r="BY74" s="11">
        <f t="shared" si="40"/>
        <v>3.4443478260869602</v>
      </c>
      <c r="BZ74" s="11">
        <f t="shared" si="40"/>
        <v>1.1533333333333331</v>
      </c>
      <c r="CA74" s="11">
        <f t="shared" si="40"/>
        <v>3.4021621621621634</v>
      </c>
      <c r="CB74" s="12">
        <f t="shared" si="40"/>
        <v>0.74545454545455003</v>
      </c>
    </row>
    <row r="75" spans="12:80" ht="15.75" thickBot="1">
      <c r="L75" s="53" t="s">
        <v>544</v>
      </c>
      <c r="M75" s="13">
        <f>(M74/M63)*100</f>
        <v>1.4415237101299412</v>
      </c>
      <c r="N75" s="14">
        <f t="shared" ref="N75:T75" si="41">(N74/N63)*100</f>
        <v>0.28912729209477916</v>
      </c>
      <c r="O75" s="14">
        <f t="shared" si="41"/>
        <v>-1.3988399863525931</v>
      </c>
      <c r="P75" s="14">
        <f t="shared" si="41"/>
        <v>8.29479111380709</v>
      </c>
      <c r="Q75" s="14">
        <f t="shared" si="41"/>
        <v>3.9324016899578136</v>
      </c>
      <c r="R75" s="14">
        <f t="shared" si="41"/>
        <v>0.11873920552676918</v>
      </c>
      <c r="S75" s="14">
        <f t="shared" si="41"/>
        <v>-6.1416704820459067</v>
      </c>
      <c r="T75" s="15">
        <f t="shared" si="41"/>
        <v>-11.397490574201001</v>
      </c>
      <c r="AP75" s="52" t="s">
        <v>539</v>
      </c>
      <c r="AQ75" s="11">
        <f>AQ74-AQ68</f>
        <v>0.74291666666667</v>
      </c>
      <c r="AR75" s="11">
        <f t="shared" ref="AR75:AX75" si="42">AR74-AR68</f>
        <v>3.01</v>
      </c>
      <c r="AS75" s="11">
        <f t="shared" si="42"/>
        <v>2.7478260869565303</v>
      </c>
      <c r="AT75" s="11">
        <f t="shared" si="42"/>
        <v>2.3739622641509506</v>
      </c>
      <c r="AU75" s="11">
        <f t="shared" si="42"/>
        <v>2.8188135593220398</v>
      </c>
      <c r="AV75" s="11">
        <f t="shared" si="42"/>
        <v>2.7876086956521799</v>
      </c>
      <c r="AW75" s="11">
        <f t="shared" si="42"/>
        <v>0.36555555555556007</v>
      </c>
      <c r="AX75" s="12">
        <f t="shared" si="42"/>
        <v>0.15666666666666984</v>
      </c>
      <c r="AZ75" s="52" t="s">
        <v>539</v>
      </c>
      <c r="BA75" s="11">
        <f>BA74-BA68</f>
        <v>2.299074074074074</v>
      </c>
      <c r="BB75" s="11">
        <f t="shared" ref="BB75:BH75" si="43">BB74-BB68</f>
        <v>1.2300000000000004</v>
      </c>
      <c r="BC75" s="11">
        <f t="shared" si="43"/>
        <v>4.7351724137931033</v>
      </c>
      <c r="BD75" s="11">
        <f t="shared" si="43"/>
        <v>4.5629629629629704</v>
      </c>
      <c r="BE75" s="11">
        <f t="shared" si="43"/>
        <v>2.7886792452830202</v>
      </c>
      <c r="BF75" s="11">
        <f t="shared" si="43"/>
        <v>1.7841509433962299</v>
      </c>
      <c r="BG75" s="11">
        <f t="shared" si="43"/>
        <v>2.2543859649122808</v>
      </c>
      <c r="BH75" s="12">
        <f t="shared" si="43"/>
        <v>1.90849056603774</v>
      </c>
      <c r="BJ75" s="52" t="s">
        <v>539</v>
      </c>
      <c r="BK75" s="11">
        <f>BK74-BK68</f>
        <v>-9.4108000000000001</v>
      </c>
      <c r="BL75" s="11">
        <f t="shared" ref="BL75:BR75" si="44">BL74-BL68</f>
        <v>2.7797872340425602</v>
      </c>
      <c r="BM75" s="11">
        <f t="shared" si="44"/>
        <v>1.95877192982457</v>
      </c>
      <c r="BN75" s="11">
        <f>BN74-BN68</f>
        <v>0.86874999999999991</v>
      </c>
      <c r="BO75" s="11">
        <f t="shared" si="44"/>
        <v>1.8057142857142898</v>
      </c>
      <c r="BP75" s="11">
        <f t="shared" si="44"/>
        <v>0.66551020408163986</v>
      </c>
      <c r="BQ75" s="11">
        <f t="shared" si="44"/>
        <v>1.510980392156863</v>
      </c>
      <c r="BR75" s="12">
        <f t="shared" si="44"/>
        <v>0.88250000000000117</v>
      </c>
      <c r="BT75" s="53" t="s">
        <v>544</v>
      </c>
      <c r="BU75" s="14">
        <f>(BU74/BU63)*100</f>
        <v>392.94117647058829</v>
      </c>
      <c r="BV75" s="14">
        <f t="shared" ref="BV75:CB75" si="45">(BV74/BV63)*100</f>
        <v>952.01320132013336</v>
      </c>
      <c r="BW75" s="14">
        <f t="shared" si="45"/>
        <v>2394.6478873239548</v>
      </c>
      <c r="BX75" s="14">
        <f t="shared" si="45"/>
        <v>250.09471327707985</v>
      </c>
      <c r="BY75" s="14">
        <f t="shared" si="45"/>
        <v>168.37407013815138</v>
      </c>
      <c r="BZ75" s="14">
        <f t="shared" si="45"/>
        <v>165.55023923444963</v>
      </c>
      <c r="CA75" s="14">
        <f t="shared" si="45"/>
        <v>1070.4081632653094</v>
      </c>
      <c r="CB75" s="15">
        <f t="shared" si="45"/>
        <v>34.599156118143746</v>
      </c>
    </row>
    <row r="76" spans="12:80" ht="15.75" thickBot="1">
      <c r="AP76" s="53" t="s">
        <v>544</v>
      </c>
      <c r="AQ76" s="14">
        <f>(AQ75/AQ68)*100</f>
        <v>33.061375857593376</v>
      </c>
      <c r="AR76" s="14">
        <f t="shared" ref="AR76:AX76" si="46">(AR75/AR68)*100</f>
        <v>257.26495726495727</v>
      </c>
      <c r="AS76" s="14">
        <f t="shared" si="46"/>
        <v>108.51648351648421</v>
      </c>
      <c r="AT76" s="14">
        <f t="shared" si="46"/>
        <v>71.5903271692749</v>
      </c>
      <c r="AU76" s="14">
        <f t="shared" si="46"/>
        <v>201.17333978468741</v>
      </c>
      <c r="AV76" s="14">
        <f t="shared" si="46"/>
        <v>173.96554063220836</v>
      </c>
      <c r="AW76" s="14">
        <f t="shared" si="46"/>
        <v>29.140832595217468</v>
      </c>
      <c r="AX76" s="15">
        <f t="shared" si="46"/>
        <v>6.861313868613288</v>
      </c>
      <c r="AZ76" s="53" t="s">
        <v>544</v>
      </c>
      <c r="BA76" s="14">
        <f>(BA75/BA68)*100</f>
        <v>425.02567613830877</v>
      </c>
      <c r="BB76" s="14">
        <f t="shared" ref="BB76:BH76" si="47">(BB75/BB68)*100</f>
        <v>29.425837320574178</v>
      </c>
      <c r="BC76" s="14">
        <f t="shared" si="47"/>
        <v>1297.9206049149359</v>
      </c>
      <c r="BD76" s="14">
        <f t="shared" si="47"/>
        <v>283.93639087347486</v>
      </c>
      <c r="BE76" s="14">
        <f t="shared" si="47"/>
        <v>109.73346202390685</v>
      </c>
      <c r="BF76" s="14">
        <f t="shared" si="47"/>
        <v>95.621397512387873</v>
      </c>
      <c r="BG76" s="14">
        <f t="shared" si="47"/>
        <v>328.81269191402265</v>
      </c>
      <c r="BH76" s="15">
        <f t="shared" si="47"/>
        <v>157.52997975393328</v>
      </c>
      <c r="BJ76" s="53" t="s">
        <v>544</v>
      </c>
      <c r="BK76" s="14">
        <f>(BK75/BK68)*100</f>
        <v>-70.91358471230069</v>
      </c>
      <c r="BL76" s="14">
        <f t="shared" ref="BL76:BQ76" si="48">(BL75/BL68)*100</f>
        <v>190.36864345038751</v>
      </c>
      <c r="BM76" s="14">
        <f>(BM75/BM68)*100</f>
        <v>138.79910492292538</v>
      </c>
      <c r="BN76" s="14">
        <f t="shared" si="48"/>
        <v>24.741901032395869</v>
      </c>
      <c r="BO76" s="14">
        <f t="shared" si="48"/>
        <v>102.34817813765231</v>
      </c>
      <c r="BP76" s="14">
        <f t="shared" si="48"/>
        <v>26.362166531932456</v>
      </c>
      <c r="BQ76" s="14">
        <f t="shared" si="48"/>
        <v>659.76027397260361</v>
      </c>
      <c r="BR76" s="15">
        <f>(BR75/BR68)*100</f>
        <v>371.57894736842314</v>
      </c>
    </row>
    <row r="77" spans="12:80" ht="15.75" thickBot="1"/>
    <row r="78" spans="12:80" ht="30">
      <c r="AP78" s="82" t="s">
        <v>568</v>
      </c>
      <c r="AQ78" s="8">
        <v>2.99</v>
      </c>
      <c r="AR78" s="8">
        <v>4.1900000000000004</v>
      </c>
      <c r="AS78" s="8">
        <v>5.3</v>
      </c>
      <c r="AT78" s="8">
        <v>5.73</v>
      </c>
      <c r="AU78" s="8">
        <v>4.24</v>
      </c>
      <c r="AV78" s="8">
        <v>4.45</v>
      </c>
      <c r="AW78" s="8">
        <v>1.61</v>
      </c>
      <c r="AX78" s="9">
        <v>2.42</v>
      </c>
      <c r="AZ78" s="82" t="s">
        <v>568</v>
      </c>
      <c r="BA78" s="7">
        <v>2.88</v>
      </c>
      <c r="BB78" s="8">
        <v>5.38</v>
      </c>
      <c r="BC78" s="8">
        <v>5.0999999999999996</v>
      </c>
      <c r="BD78" s="8">
        <v>6.21</v>
      </c>
      <c r="BE78" s="8">
        <v>5.33</v>
      </c>
      <c r="BF78" s="8">
        <v>3.71</v>
      </c>
      <c r="BG78" s="8">
        <v>2.87</v>
      </c>
      <c r="BH78" s="9">
        <v>3.05</v>
      </c>
      <c r="BJ78" s="82" t="s">
        <v>568</v>
      </c>
      <c r="BK78" s="8">
        <v>3.83</v>
      </c>
      <c r="BL78" s="8">
        <v>4.29</v>
      </c>
      <c r="BM78" s="8">
        <v>3.95</v>
      </c>
      <c r="BN78" s="8">
        <v>4.43</v>
      </c>
      <c r="BO78" s="8">
        <v>3.64</v>
      </c>
      <c r="BP78" s="8">
        <v>3.23</v>
      </c>
      <c r="BQ78" s="8">
        <v>1.7</v>
      </c>
      <c r="BR78" s="9">
        <v>1.1299999999999999</v>
      </c>
    </row>
    <row r="79" spans="12:80">
      <c r="AP79" s="52" t="s">
        <v>539</v>
      </c>
      <c r="AQ79" s="11">
        <f>AQ78-AQ68</f>
        <v>0.74291666666667</v>
      </c>
      <c r="AR79" s="11">
        <f t="shared" ref="AR79" si="49">AR78-AR68</f>
        <v>3.0200000000000005</v>
      </c>
      <c r="AS79" s="11">
        <f>AS78-AS68</f>
        <v>2.7678260869565299</v>
      </c>
      <c r="AT79" s="11">
        <f t="shared" ref="AT79" si="50">AT78-AT68</f>
        <v>2.4139622641509506</v>
      </c>
      <c r="AU79" s="11">
        <f>AU78-AU68</f>
        <v>2.8388135593220403</v>
      </c>
      <c r="AV79" s="11">
        <f t="shared" ref="AV79" si="51">AV78-AV68</f>
        <v>2.8476086956521804</v>
      </c>
      <c r="AW79" s="11">
        <f>AW78-AW68</f>
        <v>0.35555555555556007</v>
      </c>
      <c r="AX79" s="12">
        <f t="shared" ref="AX79" si="52">AX78-AX68</f>
        <v>0.13666666666666982</v>
      </c>
      <c r="AZ79" s="52" t="s">
        <v>539</v>
      </c>
      <c r="BA79" s="10">
        <f>BA78-BA68</f>
        <v>2.3390740740740741</v>
      </c>
      <c r="BB79" s="11">
        <f t="shared" ref="BB79:BH79" si="53">BB78-BB68</f>
        <v>1.2000000000000002</v>
      </c>
      <c r="BC79" s="11">
        <f t="shared" si="53"/>
        <v>4.7351724137931033</v>
      </c>
      <c r="BD79" s="11">
        <f t="shared" si="53"/>
        <v>4.6029629629629696</v>
      </c>
      <c r="BE79" s="11">
        <f t="shared" si="53"/>
        <v>2.7886792452830202</v>
      </c>
      <c r="BF79" s="11">
        <f t="shared" si="53"/>
        <v>1.84415094339623</v>
      </c>
      <c r="BG79" s="11">
        <f t="shared" si="53"/>
        <v>2.184385964912281</v>
      </c>
      <c r="BH79" s="12">
        <f t="shared" si="53"/>
        <v>1.8384905660377397</v>
      </c>
      <c r="BJ79" s="52" t="s">
        <v>539</v>
      </c>
      <c r="BK79" s="11">
        <f>BK78-BK68</f>
        <v>-9.4407999999999994</v>
      </c>
      <c r="BL79" s="11">
        <f t="shared" ref="BL79" si="54">BL78-BL68</f>
        <v>2.8297872340425601</v>
      </c>
      <c r="BM79" s="11">
        <f>BM78-BM68</f>
        <v>2.5387719298245699</v>
      </c>
      <c r="BN79" s="11">
        <f t="shared" ref="BN79" si="55">BN78-BN68</f>
        <v>0.91874999999999973</v>
      </c>
      <c r="BO79" s="11">
        <f>BO78-BO68</f>
        <v>1.8757142857142901</v>
      </c>
      <c r="BP79" s="11">
        <f t="shared" ref="BP79:BQ79" si="56">BP78-BP68</f>
        <v>0.70551020408163989</v>
      </c>
      <c r="BQ79" s="11">
        <f t="shared" si="56"/>
        <v>1.4709803921568629</v>
      </c>
      <c r="BR79" s="12">
        <f>BR78-BR68</f>
        <v>0.89250000000000096</v>
      </c>
    </row>
    <row r="80" spans="12:80" ht="15.75" thickBot="1">
      <c r="AP80" s="53" t="s">
        <v>544</v>
      </c>
      <c r="AQ80" s="14">
        <f>(AQ79/AQ68)*100</f>
        <v>33.061375857593376</v>
      </c>
      <c r="AR80" s="14">
        <f t="shared" ref="AR80" si="57">(AR79/AR68)*100</f>
        <v>258.1196581196582</v>
      </c>
      <c r="AS80" s="14">
        <f>(AS79/AS68)*100</f>
        <v>109.30631868131937</v>
      </c>
      <c r="AT80" s="14">
        <f t="shared" ref="AT80:AU80" si="58">(AT79/AT68)*100</f>
        <v>72.796586059744314</v>
      </c>
      <c r="AU80" s="14">
        <f t="shared" si="58"/>
        <v>202.60070158461488</v>
      </c>
      <c r="AV80" s="14">
        <f>(AV79/AV68)*100</f>
        <v>177.70994437661213</v>
      </c>
      <c r="AW80" s="14">
        <f t="shared" ref="AW80" si="59">(AW79/AW68)*100</f>
        <v>28.343666961913655</v>
      </c>
      <c r="AX80" s="15">
        <f>(AX79/AX68)*100</f>
        <v>5.9854014598541614</v>
      </c>
      <c r="AZ80" s="53" t="s">
        <v>544</v>
      </c>
      <c r="BA80" s="13">
        <f>(BA79/BA68)*100</f>
        <v>432.42040397124259</v>
      </c>
      <c r="BB80" s="14">
        <f t="shared" ref="BB80:BH80" si="60">(BB79/BB68)*100</f>
        <v>28.708133971291872</v>
      </c>
      <c r="BC80" s="14">
        <f t="shared" si="60"/>
        <v>1297.9206049149359</v>
      </c>
      <c r="BD80" s="14">
        <f t="shared" si="60"/>
        <v>286.42544365061241</v>
      </c>
      <c r="BE80" s="14">
        <f t="shared" si="60"/>
        <v>109.73346202390685</v>
      </c>
      <c r="BF80" s="14">
        <f t="shared" si="60"/>
        <v>98.837091718070965</v>
      </c>
      <c r="BG80" s="14">
        <f t="shared" si="60"/>
        <v>318.60286591606979</v>
      </c>
      <c r="BH80" s="15">
        <f t="shared" si="60"/>
        <v>151.75206354150527</v>
      </c>
      <c r="BJ80" s="53" t="s">
        <v>544</v>
      </c>
      <c r="BK80" s="14">
        <f>(BK79/BK68)*100</f>
        <v>-71.139644934743956</v>
      </c>
      <c r="BL80" s="14">
        <f t="shared" ref="BL80" si="61">(BL79/BL68)*100</f>
        <v>193.79280198164207</v>
      </c>
      <c r="BM80" s="14">
        <f>(BM79/BM68)*100</f>
        <v>179.89806066633685</v>
      </c>
      <c r="BN80" s="14">
        <f t="shared" ref="BN80:BP80" si="62">(BN79/BN68)*100</f>
        <v>26.16589533641865</v>
      </c>
      <c r="BO80" s="14">
        <f t="shared" si="62"/>
        <v>106.31578947368472</v>
      </c>
      <c r="BP80" s="14">
        <f t="shared" si="62"/>
        <v>27.946645109135371</v>
      </c>
      <c r="BQ80" s="14">
        <f>(BQ79/BQ68)*100</f>
        <v>642.29452054794604</v>
      </c>
      <c r="BR80" s="15">
        <f>(BR79/BR68)*100</f>
        <v>375.78947368421257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2024-10-08T11:49:38Z</dcterms:modified>
  <cp:category/>
  <cp:contentStatus/>
</cp:coreProperties>
</file>